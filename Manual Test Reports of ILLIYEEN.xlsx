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20" activeTab="3"/>
  </bookViews>
  <sheets>
    <sheet name="Testcase Execution" sheetId="1" r:id="rId1"/>
    <sheet name="Testcase" sheetId="3" r:id="rId2"/>
    <sheet name="Bug Report" sheetId="4" r:id="rId3"/>
    <sheet name="Test Report" sheetId="7" r:id="rId4"/>
  </sheets>
  <externalReferences>
    <externalReference r:id="rId5"/>
    <externalReference r:id="rId6"/>
    <externalReference r:id="rId7"/>
  </externalReferences>
  <definedNames>
    <definedName name="mm">[1]TestCase!$I$8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<sst xmlns="http://schemas.openxmlformats.org/spreadsheetml/2006/main" count="5224" uniqueCount="1264">
  <si>
    <t>Product Name</t>
  </si>
  <si>
    <t>ilyn.global</t>
  </si>
  <si>
    <t>TC Start Date</t>
  </si>
  <si>
    <t>TC Execution Start Date</t>
  </si>
  <si>
    <t>15/8/2025</t>
  </si>
  <si>
    <t>TEST CASE SUMMARY</t>
  </si>
  <si>
    <t>Module Name</t>
  </si>
  <si>
    <t>Sign Up</t>
  </si>
  <si>
    <t>TC End Date</t>
  </si>
  <si>
    <t>TC Execution End Date</t>
  </si>
  <si>
    <t>22/8/2025</t>
  </si>
  <si>
    <t>PASS</t>
  </si>
  <si>
    <t>Test Case Developed By</t>
  </si>
  <si>
    <t>Md. Fattahul Hasan Fahim</t>
  </si>
  <si>
    <t>Browser (Tested)</t>
  </si>
  <si>
    <t>FAIL</t>
  </si>
  <si>
    <t>Developer Name (TL)</t>
  </si>
  <si>
    <t>Test Case Reviewed By</t>
  </si>
  <si>
    <t>Performance (Tested)</t>
  </si>
  <si>
    <t>No</t>
  </si>
  <si>
    <t>WARNING</t>
  </si>
  <si>
    <t>Test Executed By</t>
  </si>
  <si>
    <t>TOTAL</t>
  </si>
  <si>
    <t>SIGN UP</t>
  </si>
  <si>
    <t>Test Case ID</t>
  </si>
  <si>
    <t>Test Case Description</t>
  </si>
  <si>
    <t>Test Data</t>
  </si>
  <si>
    <t>Step Description</t>
  </si>
  <si>
    <t>Expected Result</t>
  </si>
  <si>
    <t>Actual Result</t>
  </si>
  <si>
    <t>Status</t>
  </si>
  <si>
    <t>Bug Id</t>
  </si>
  <si>
    <t>Environment</t>
  </si>
  <si>
    <t>sign_up_01</t>
  </si>
  <si>
    <t>Verify that Sign Up  page appears after clicking on "Sign Up " button</t>
  </si>
  <si>
    <t>Sign Up Page</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</si>
  <si>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4.Observ the page.</t>
    </r>
  </si>
  <si>
    <t>Sign Up  page should  appear</t>
  </si>
  <si>
    <t>As Expected</t>
  </si>
  <si>
    <t>Windows 10 / Chrome</t>
  </si>
  <si>
    <t>sign_up_02</t>
  </si>
  <si>
    <t>Verify that Sign Up page contains Sign Up ,Sign In Instead form  and a info box</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</si>
  <si>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4.Observ the page</t>
    </r>
  </si>
  <si>
    <t>Sign Up page should contain Sign Up ,Sign In Instead form  and a info box</t>
  </si>
  <si>
    <t>sign_up_03</t>
  </si>
  <si>
    <t>Verify that "Note: If you have purchased from us before you are already a member. Please enter your phone number and click "Next". Then click "recover password" to set a new password for your account." text is visible</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</si>
  <si>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4.Observ the page
5.Check the text.</t>
    </r>
  </si>
  <si>
    <t>Text should visivble</t>
  </si>
  <si>
    <t>sign_up_04</t>
  </si>
  <si>
    <t>Verify that "With an Account you can:" info box is visiible and not clickable</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</si>
  <si>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4.Click the info box</t>
    </r>
  </si>
  <si>
    <t>"With an Account you can:" info box should visible but not clickable</t>
  </si>
  <si>
    <t>sign_up_05</t>
  </si>
  <si>
    <t>Verify the text content inside the info box</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</si>
  <si>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4.Check the content of info box</t>
    </r>
  </si>
  <si>
    <t>Shop Online,
Save Your Addresses For Faster Checkout,
View Your Order History,these three lines should visible</t>
  </si>
  <si>
    <t>sign_up_06</t>
  </si>
  <si>
    <t xml:space="preserve">Verify that email and Mobile section appears </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</si>
  <si>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t>
    </r>
  </si>
  <si>
    <t>Email and Mobile section should appear</t>
  </si>
  <si>
    <t>sign_up_07</t>
  </si>
  <si>
    <t>Verify that email dashboard appears after clicking on "email" section</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</si>
  <si>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4.Click email section</t>
    </r>
  </si>
  <si>
    <t xml:space="preserve"> Email dashboard  should appear</t>
  </si>
  <si>
    <t>sign_up_08</t>
  </si>
  <si>
    <t xml:space="preserve">Verify the placeholder "Enter an email address"  is visible in the  email field </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</si>
  <si>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4.Click "EMAIL" section</t>
    </r>
  </si>
  <si>
    <t>"Enter an email address" placeholder should visible</t>
  </si>
  <si>
    <t>sign_up_09</t>
  </si>
  <si>
    <t xml:space="preserve">Verify that "This site is protected by reCAPTCHA and the Google Privacy Policy and Terms of Service apply." text is visible </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</si>
  <si>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t>
    </r>
  </si>
  <si>
    <t>The text should visible</t>
  </si>
  <si>
    <t>sign_up_10</t>
  </si>
  <si>
    <t xml:space="preserve">Verify "Next" button is clickable </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</si>
  <si>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 Click "NEXT button</t>
    </r>
  </si>
  <si>
    <t>New page should appear contains OTP,Name,Password, and Confirm Password fields</t>
  </si>
  <si>
    <t>sign_up_11</t>
  </si>
  <si>
    <t>Verify the  text  ,"Please provide an email address."  message is  shown if we keep blank the field.</t>
  </si>
  <si>
    <r>
      <rPr>
        <sz val="10"/>
        <color rgb="FF000000"/>
        <rFont val="Calibri"/>
        <charset val="134"/>
      </rPr>
      <t xml:space="preserve">1.Go to </t>
    </r>
    <r>
      <rPr>
        <u/>
        <sz val="10"/>
        <color rgb="FF1155CC"/>
        <rFont val="Calibri"/>
        <charset val="134"/>
      </rPr>
      <t>https://ilyn.global/</t>
    </r>
    <r>
      <rPr>
        <sz val="10"/>
        <color rgb="FF000000"/>
        <rFont val="Calibri"/>
        <charset val="134"/>
      </rPr>
      <t xml:space="preserve">
2. Click on "SIGN IN " Link
3.Click  "SIGN UP"  button
3.Click "EMAIL" section.
4.Click the field and do not give any data and click outside of the field</t>
    </r>
  </si>
  <si>
    <t>"Please provide an email address."  message should  show</t>
  </si>
  <si>
    <t>"Please provide a email address."  message  shows</t>
  </si>
  <si>
    <t>sign_up_12</t>
  </si>
  <si>
    <t>Verify the text  ,"Please provide a valid email address."  message is  shown if we want to put a character on  the field.</t>
  </si>
  <si>
    <r>
      <rPr>
        <sz val="10"/>
        <rFont val="Calibri"/>
        <charset val="134"/>
      </rPr>
      <t xml:space="preserve">1.Go to </t>
    </r>
    <r>
      <rPr>
        <u/>
        <sz val="10"/>
        <color rgb="FF1155CC"/>
        <rFont val="Calibri"/>
        <charset val="134"/>
      </rPr>
      <t>https://ilyn.global/</t>
    </r>
    <r>
      <rPr>
        <sz val="10"/>
        <rFont val="Calibri"/>
        <charset val="134"/>
      </rPr>
      <t xml:space="preserve">
2. Click on "SIGN IN " Link
3.Click  "SIGN UP" button
4.Click "EMAIL"section.
5.Click the field and put only a character</t>
    </r>
  </si>
  <si>
    <t>"Please provide a valid email address."  message should  show</t>
  </si>
  <si>
    <t>sign_up_13</t>
  </si>
  <si>
    <t>Verify that email field doesn't accept invalid email address</t>
  </si>
  <si>
    <t>fahimhasan@</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</si>
  <si>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4.Click "EMAIL"section.
4.Insert invalid email in email field
5.click "NEXT" button</t>
    </r>
  </si>
  <si>
    <t>"There are invalid values that require your attention!"  message should show</t>
  </si>
  <si>
    <t>sign_up_14</t>
  </si>
  <si>
    <t>Verify that email field accepts valid email address</t>
  </si>
  <si>
    <t>fahimfattahulhasan@gmail.com</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</si>
  <si>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4.Click "EMAIL"section.
4.Insert valid email in email field
5.click "NEXT" button</t>
    </r>
  </si>
  <si>
    <t>Emiail field should  accept valid email</t>
  </si>
  <si>
    <t>sign_up_15</t>
  </si>
  <si>
    <t>Verify that Phone number dashboard comes after  clicking on "Mobile " section</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</si>
  <si>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4.Click "MOBILE"section.
</t>
    </r>
  </si>
  <si>
    <t>"Phone number" dashboard should come after clicking on "Mobile" section</t>
  </si>
  <si>
    <t>sign_up_16</t>
  </si>
  <si>
    <t>verify the text  "Please select a country and provide a phone number!" is shown if we keep blank the  phone number field.</t>
  </si>
  <si>
    <r>
      <rPr>
        <sz val="10"/>
        <rFont val="Calibri"/>
        <charset val="134"/>
      </rPr>
      <t xml:space="preserve">1.Go to </t>
    </r>
    <r>
      <rPr>
        <u/>
        <sz val="10"/>
        <color rgb="FF1155CC"/>
        <rFont val="Calibri"/>
        <charset val="134"/>
      </rPr>
      <t>https://ilyn.global/</t>
    </r>
    <r>
      <rPr>
        <sz val="10"/>
        <rFont val="Calibri"/>
        <charset val="134"/>
      </rPr>
      <t xml:space="preserve">
2. Click on "SIGN IN " Link
3.Click  "SIGN UP"  button
3.Click "MOBILE" section.
4.Click the field and do not give any data and click outside of the field</t>
    </r>
  </si>
  <si>
    <t>"Please select a country and provide a phone number!" should show</t>
  </si>
  <si>
    <t>sign_up_18</t>
  </si>
  <si>
    <t>Verify that phone number field doesn't accept invalid number</t>
  </si>
  <si>
    <t>1.Go to https://ilyn.global/
2.Click on "SIGN IN " Link
3.Click  "SIGN UP" button
4.Click "MOBILE"section.
4.Insert invalid phone number in phone number field
5.click "NEXT" button</t>
  </si>
  <si>
    <t>Phone number field should not accept invalid mobile number and it will show a proper alert message while inserting invalid phone number like : "Invalid phone number. Validation failed!"</t>
  </si>
  <si>
    <t>sign_up_19</t>
  </si>
  <si>
    <t>Verify that phone number field accepts valid number</t>
  </si>
  <si>
    <t>01701569945</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</si>
  <si>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4.Click "MOBILE"section.
4.Insert invalid phone number in phone number field
5.Click "NEXT" button</t>
    </r>
  </si>
  <si>
    <t>Phone number field should accept valid mobile number</t>
  </si>
  <si>
    <t>sign_up_20</t>
  </si>
  <si>
    <t>Verify that clicking on "NEXT" displays  OTP,Name,Password, and Confirm Password fields, without redirecting to a new page.</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</si>
  <si>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4.Insert valid data in the field
5.Click "NEXT" button</t>
    </r>
  </si>
  <si>
    <t>Should display OTP,Name,Password, and Confirm Password fields, without redirecting to a new page.</t>
  </si>
  <si>
    <t>sign_up_21</t>
  </si>
  <si>
    <t>Verify OTP received or not</t>
  </si>
  <si>
    <t>OTP should provide</t>
  </si>
  <si>
    <t>sign_up_22</t>
  </si>
  <si>
    <t>Verify OTP received within expected time</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</si>
  <si>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4.Insert valid data in the field
5.Click "NEXT" button
6.Note the time when OTP is received</t>
    </r>
  </si>
  <si>
    <t>OTP should provide within an exact time</t>
  </si>
  <si>
    <t xml:space="preserve">Verify OTP code should be valid only for one time </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</si>
  <si>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4.Insert valid data in the field
5.Click "NEXT" button
6.Fill up "OTP" field old generated OTP
7.Insert valid data in the field
8.Click  "SIGN UP" button</t>
    </r>
  </si>
  <si>
    <t>valid OTP  is accepted</t>
  </si>
  <si>
    <t>Verify that valid OTP  is accepted</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</si>
  <si>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4.Insert valid data in the field
5.Click "NEXT" button
6.Insert valid data in the field
7.Click  "SIGN UP" button</t>
    </r>
  </si>
  <si>
    <t>Valid OTP  should accept</t>
  </si>
  <si>
    <t>sign_up_23</t>
  </si>
  <si>
    <t>Verify that name field accepts valid name</t>
  </si>
  <si>
    <t>Fahim hasan</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</si>
  <si>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4.Insert valid data in the field
5.Click "NEXT" button
6.Insert valid data in all the fields
7.Click  "SIGN UP" button.</t>
    </r>
  </si>
  <si>
    <t>"NAME" field should accepts valid name</t>
  </si>
  <si>
    <t>sign_up_24</t>
  </si>
  <si>
    <t>Verify that the Name field  only accept alphabets and spaces</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</si>
  <si>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4.Insert valid data in the field 
5.Click "NEXT" button
6.Insert valid data in all the field except "NAME" field
7.Click  "SIGN UP" button</t>
    </r>
  </si>
  <si>
    <t>"The Name field only accept alphabets and spaces" message should show</t>
  </si>
  <si>
    <t>sign_up_25</t>
  </si>
  <si>
    <t>Verify that password field accept valid password</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</si>
  <si>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4.Insert valid data in the field
5.Click "NEXT" button
6.Insert valid data in all the fields
7.Click  "SIGN UP" button</t>
    </r>
  </si>
  <si>
    <t>User should be able to successfullly sign up</t>
  </si>
  <si>
    <t>sign_up_26</t>
  </si>
  <si>
    <t>Verify that password field doesn't accept invalid password</t>
  </si>
  <si>
    <t>1245 and 123457</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</si>
  <si>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4.Insert valid data in the field
5.Click "NEXT" button
6.Insert valid data in all the fields except password field
7.Click  "SIGN UP" button</t>
    </r>
  </si>
  <si>
    <t>ER1.if passsword less than 6 characters "Password length must be at least 6 characters long" text should be seen.
ER2.if password did not match "Password does not match. If you forgot your password please try Recover Password" text should be seen.</t>
  </si>
  <si>
    <t>sign_up_27</t>
  </si>
  <si>
    <t>Verify that missmatch with  confirm passwod doesn't accept</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</si>
  <si>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4.Insert valid data in the field
5.Click "NEXT" button
6.Insert valid data in "PASSWORD" field and invalid password to the "CONFIRM PASSWORD" field
7.Click  "SIGN UP" button</t>
    </r>
  </si>
  <si>
    <t>Password</t>
  </si>
  <si>
    <t>sign_up_28</t>
  </si>
  <si>
    <t>verify the text  ,"Password is required."  and "OTP is required!"  message is  shown if we keep blank the field.</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</si>
  <si>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"SIGN UP" button
4.Insert valid data in the field
5.Click "NEXT" button
6.Click the fields and do not give any data and click outside of the fields
</t>
    </r>
  </si>
  <si>
    <t>"Password is required."  and "OTP is required!"  message should  show</t>
  </si>
  <si>
    <t>sign_up_29</t>
  </si>
  <si>
    <t>Verify that user can be able to successfully submit inserting valid data in all the field.</t>
  </si>
  <si>
    <t>sign_up_30</t>
  </si>
  <si>
    <t>Verify that submit button is visible and clickable</t>
  </si>
  <si>
    <t>SIGN IN</t>
  </si>
  <si>
    <t>sign_in_01</t>
  </si>
  <si>
    <t>Verify that sign in and sign up form appears in a new page after clicking on "SIGN IN" link</t>
  </si>
  <si>
    <t>Sign in Page</t>
  </si>
  <si>
    <r>
      <rPr>
        <u/>
        <sz val="10"/>
        <color rgb="FF1155CC"/>
        <rFont val="Calibri"/>
        <charset val="134"/>
      </rPr>
      <t xml:space="preserve">1.Go to https://ilyn.global/
</t>
    </r>
    <r>
      <rPr>
        <u/>
        <sz val="10"/>
        <color rgb="FF000000"/>
        <rFont val="Calibri"/>
        <charset val="134"/>
      </rPr>
      <t xml:space="preserve">2. Click on "SIGN IN " Link
</t>
    </r>
    <r>
      <rPr>
        <sz val="10"/>
        <color rgb="FF000000"/>
        <rFont val="Calibri"/>
        <charset val="134"/>
      </rPr>
      <t>3.Ovserv the page</t>
    </r>
  </si>
  <si>
    <t>Sign In and sign up form should appear in a new page after clicking on "Sign In" link</t>
  </si>
  <si>
    <t>sign_in_02</t>
  </si>
  <si>
    <t>Verify "Don’t have an account? To join us" text is visible</t>
  </si>
  <si>
    <r>
      <rPr>
        <u/>
        <sz val="10"/>
        <color rgb="FF1155CC"/>
        <rFont val="Calibri"/>
        <charset val="134"/>
      </rPr>
      <t xml:space="preserve">1.Go to https://ilyn.global/
</t>
    </r>
    <r>
      <rPr>
        <sz val="10"/>
        <rFont val="Calibri"/>
        <charset val="134"/>
      </rPr>
      <t>2.</t>
    </r>
    <r>
      <rPr>
        <sz val="10"/>
        <color rgb="FF000000"/>
        <rFont val="Calibri"/>
        <charset val="134"/>
      </rPr>
      <t>Click on "SIGN IN " Link
3.</t>
    </r>
    <r>
      <rPr>
        <sz val="10"/>
        <rFont val="Calibri"/>
        <charset val="134"/>
      </rPr>
      <t>Check the text</t>
    </r>
  </si>
  <si>
    <t>"Don’t have an account? To join us" text should visible</t>
  </si>
  <si>
    <t>sign_in_03</t>
  </si>
  <si>
    <t>Verify "Sign Up" button is clickable</t>
  </si>
  <si>
    <r>
      <rPr>
        <sz val="10"/>
        <rFont val="Calibri"/>
        <charset val="134"/>
      </rPr>
      <t xml:space="preserve">1.Go to </t>
    </r>
    <r>
      <rPr>
        <u/>
        <sz val="10"/>
        <color rgb="FF1155CC"/>
        <rFont val="Calibri"/>
        <charset val="134"/>
      </rPr>
      <t>https://ilyn.global/</t>
    </r>
    <r>
      <rPr>
        <sz val="10"/>
        <rFont val="Calibri"/>
        <charset val="134"/>
      </rPr>
      <t xml:space="preserve">
2. Click on "SIGN IN " Link
3.Click the "Sign Up" button</t>
    </r>
  </si>
  <si>
    <t>Sgn up page will appears</t>
  </si>
  <si>
    <t>sign_in_04</t>
  </si>
  <si>
    <t>Verify "Forgot your password?" text is visible and "Recover Password" hyperlink is working</t>
  </si>
  <si>
    <r>
      <rPr>
        <sz val="10"/>
        <rFont val="Calibri"/>
        <charset val="134"/>
      </rPr>
      <t xml:space="preserve">1.Go to </t>
    </r>
    <r>
      <rPr>
        <u/>
        <sz val="10"/>
        <color rgb="FF1155CC"/>
        <rFont val="Calibri"/>
        <charset val="134"/>
      </rPr>
      <t>https://ilyn.global/</t>
    </r>
    <r>
      <rPr>
        <sz val="10"/>
        <rFont val="Calibri"/>
        <charset val="134"/>
      </rPr>
      <t xml:space="preserve">
2. Click on "SIGN IN " Link.
3.Observ the text.
4.Click the link.</t>
    </r>
  </si>
  <si>
    <t xml:space="preserve">ER1."Forgot your password?"Text should visible
ER2. "Forgot password" page willl be executed by clicking the link </t>
  </si>
  <si>
    <t>sign_in_05</t>
  </si>
  <si>
    <t>Verify that email dashboard comes after clicking on "email" section in sign in form</t>
  </si>
  <si>
    <r>
      <rPr>
        <sz val="10"/>
        <rFont val="Calibri"/>
        <charset val="134"/>
      </rPr>
      <t>1.Go to https://ilyn.global/
2. Click on "SIGN IN " Link.</t>
    </r>
    <r>
      <rPr>
        <sz val="10"/>
        <color rgb="FF000000"/>
        <rFont val="Calibri"/>
        <charset val="134"/>
      </rPr>
      <t xml:space="preserve">
3.click email sectio</t>
    </r>
    <r>
      <rPr>
        <sz val="10"/>
        <rFont val="Calibri"/>
        <charset val="134"/>
      </rPr>
      <t>n.</t>
    </r>
  </si>
  <si>
    <t>email dashboard should come after clicking on "email" section</t>
  </si>
  <si>
    <t>sign_in_06</t>
  </si>
  <si>
    <t>Verify the placeholder "Enter an email address" is shown in the email field and "Enter a password " in the Password field</t>
  </si>
  <si>
    <r>
      <rPr>
        <u/>
        <sz val="10"/>
        <color rgb="FF1155CC"/>
        <rFont val="Calibri"/>
        <charset val="134"/>
      </rPr>
      <t xml:space="preserve">1.Go to https://ilyn.global/
</t>
    </r>
    <r>
      <rPr>
        <sz val="10"/>
        <rFont val="Calibri"/>
        <charset val="134"/>
      </rPr>
      <t>2.Click on "SIGN IN " Link</t>
    </r>
    <r>
      <rPr>
        <sz val="10"/>
        <color rgb="FF000000"/>
        <rFont val="Calibri"/>
        <charset val="134"/>
      </rPr>
      <t xml:space="preserve">
3.click email sectio</t>
    </r>
    <r>
      <rPr>
        <sz val="10"/>
        <rFont val="Calibri"/>
        <charset val="134"/>
      </rPr>
      <t>n.</t>
    </r>
  </si>
  <si>
    <t>"Enter an email address" and "Enter a password " should show in the fields</t>
  </si>
  <si>
    <t>sign_in_07</t>
  </si>
  <si>
    <t>verify the text ,"Please provide an email address." and "Password is required!" message is shown if we keep blank the field.</t>
  </si>
  <si>
    <r>
      <rPr>
        <u/>
        <sz val="10"/>
        <color rgb="FF1155CC"/>
        <rFont val="Calibri"/>
        <charset val="134"/>
      </rPr>
      <t xml:space="preserve">1.Go to https://ilyn.global/
</t>
    </r>
    <r>
      <rPr>
        <sz val="10"/>
        <rFont val="Calibri"/>
        <charset val="134"/>
      </rPr>
      <t>2.Click on "SIGN IN " Link</t>
    </r>
    <r>
      <rPr>
        <sz val="10"/>
        <color rgb="FF000000"/>
        <rFont val="Calibri"/>
        <charset val="134"/>
      </rPr>
      <t xml:space="preserve">
3.click email section.
4.click the fields and do not give any data and click outside of the fiel</t>
    </r>
    <r>
      <rPr>
        <sz val="10"/>
        <rFont val="Calibri"/>
        <charset val="134"/>
      </rPr>
      <t>ds</t>
    </r>
  </si>
  <si>
    <t>"Please provide an email address." and "Password is required!" text should show</t>
  </si>
  <si>
    <t>sign_in_08</t>
  </si>
  <si>
    <t>Verify that Phone number dashboard comes after clicking on "Mobile " section</t>
  </si>
  <si>
    <r>
      <rPr>
        <u/>
        <sz val="10"/>
        <color rgb="FF1155CC"/>
        <rFont val="Calibri"/>
        <charset val="134"/>
      </rPr>
      <t xml:space="preserve">1.Go to https://ilyn.global/
</t>
    </r>
    <r>
      <rPr>
        <sz val="10"/>
        <rFont val="Calibri"/>
        <charset val="134"/>
      </rPr>
      <t>2.Click on "SIGN IN " Link</t>
    </r>
    <r>
      <rPr>
        <sz val="10"/>
        <color rgb="FF000000"/>
        <rFont val="Calibri"/>
        <charset val="134"/>
      </rPr>
      <t xml:space="preserve">
3.click mobile sectio</t>
    </r>
    <r>
      <rPr>
        <sz val="10"/>
        <rFont val="Calibri"/>
        <charset val="134"/>
      </rPr>
      <t>n.</t>
    </r>
  </si>
  <si>
    <t>sign_in_09</t>
  </si>
  <si>
    <t>verify the text "Please select a country and provide a phone number!" is shown if we keep blank the phone number field.</t>
  </si>
  <si>
    <r>
      <rPr>
        <u/>
        <sz val="10"/>
        <color rgb="FF1155CC"/>
        <rFont val="Calibri"/>
        <charset val="134"/>
      </rPr>
      <t xml:space="preserve">1.Go to https://ilyn.global/
</t>
    </r>
    <r>
      <rPr>
        <sz val="10"/>
        <rFont val="Calibri"/>
        <charset val="134"/>
      </rPr>
      <t>2.Click on "SIGN IN " Link</t>
    </r>
    <r>
      <rPr>
        <sz val="10"/>
        <color rgb="FF000000"/>
        <rFont val="Calibri"/>
        <charset val="134"/>
      </rPr>
      <t xml:space="preserve">
3.click mobile section.
4.click the field and do not give any data and click outside of the fie</t>
    </r>
    <r>
      <rPr>
        <sz val="10"/>
        <rFont val="Calibri"/>
        <charset val="134"/>
      </rPr>
      <t>ld</t>
    </r>
  </si>
  <si>
    <t>sign_in_10</t>
  </si>
  <si>
    <t>Sghgdsh@</t>
  </si>
  <si>
    <r>
      <rPr>
        <u/>
        <sz val="10"/>
        <color rgb="FF1155CC"/>
        <rFont val="Calibri"/>
        <charset val="134"/>
      </rPr>
      <t xml:space="preserve">1.Go to https://ilyn.global/
</t>
    </r>
    <r>
      <rPr>
        <sz val="10"/>
        <rFont val="Calibri"/>
        <charset val="134"/>
      </rPr>
      <t>2.Click on "SIGN IN " Link</t>
    </r>
    <r>
      <rPr>
        <sz val="10"/>
        <color rgb="FF000000"/>
        <rFont val="Calibri"/>
        <charset val="134"/>
      </rPr>
      <t xml:space="preserve">
3.click email section.
4.Insert valid data all the field except email field
5.click "sign in" bu</t>
    </r>
    <r>
      <rPr>
        <sz val="10"/>
        <rFont val="Calibri"/>
        <charset val="134"/>
      </rPr>
      <t>tton</t>
    </r>
  </si>
  <si>
    <t>"Record not found. Please SIGN UP first." text should show</t>
  </si>
  <si>
    <t>sign_in_11</t>
  </si>
  <si>
    <t>fahimfattahulhasangmail.com</t>
  </si>
  <si>
    <r>
      <rPr>
        <u/>
        <sz val="10"/>
        <color rgb="FF1155CC"/>
        <rFont val="Calibri"/>
        <charset val="134"/>
      </rPr>
      <t>1.Go to</t>
    </r>
    <r>
      <rPr>
        <strike/>
        <u/>
        <sz val="10"/>
        <color rgb="FF1155CC"/>
        <rFont val="Calibri"/>
        <charset val="134"/>
      </rPr>
      <t xml:space="preserve"> </t>
    </r>
    <r>
      <rPr>
        <u/>
        <sz val="10"/>
        <color rgb="FF1155CC"/>
        <rFont val="Calibri"/>
        <charset val="134"/>
      </rPr>
      <t xml:space="preserve">https://ilyn.global/
</t>
    </r>
    <r>
      <rPr>
        <sz val="10"/>
        <rFont val="Calibri"/>
        <charset val="134"/>
      </rPr>
      <t>2.Click on "SIGN IN " Link</t>
    </r>
    <r>
      <rPr>
        <sz val="10"/>
        <color rgb="FF000000"/>
        <rFont val="Calibri"/>
        <charset val="134"/>
      </rPr>
      <t xml:space="preserve">
3.click email section.
4.Insert valid data all the field
5.click "sign in" bu</t>
    </r>
    <r>
      <rPr>
        <sz val="10"/>
        <rFont val="Calibri"/>
        <charset val="134"/>
      </rPr>
      <t>tton</t>
    </r>
  </si>
  <si>
    <t>Emiail field should accept valid email</t>
  </si>
  <si>
    <t>sign_in_12</t>
  </si>
  <si>
    <t>1235 and 123457</t>
  </si>
  <si>
    <r>
      <rPr>
        <u/>
        <sz val="10"/>
        <color rgb="FF1155CC"/>
        <rFont val="Calibri"/>
        <charset val="134"/>
      </rPr>
      <t>1.Go to</t>
    </r>
    <r>
      <rPr>
        <strike/>
        <u/>
        <sz val="10"/>
        <color rgb="FF1155CC"/>
        <rFont val="Calibri"/>
        <charset val="134"/>
      </rPr>
      <t xml:space="preserve"> </t>
    </r>
    <r>
      <rPr>
        <u/>
        <sz val="10"/>
        <color rgb="FF1155CC"/>
        <rFont val="Calibri"/>
        <charset val="134"/>
      </rPr>
      <t xml:space="preserve">https://ilyn.global/
</t>
    </r>
    <r>
      <rPr>
        <sz val="10"/>
        <rFont val="Calibri"/>
        <charset val="134"/>
      </rPr>
      <t>2.Click on "SIGN IN " Link</t>
    </r>
    <r>
      <rPr>
        <sz val="10"/>
        <color rgb="FF000000"/>
        <rFont val="Calibri"/>
        <charset val="134"/>
      </rPr>
      <t xml:space="preserve">
3.click email section.
4.Insert valid data all the field except password field
5.click "sign in" bu</t>
    </r>
    <r>
      <rPr>
        <sz val="10"/>
        <rFont val="Calibri"/>
        <charset val="134"/>
      </rPr>
      <t>tton</t>
    </r>
  </si>
  <si>
    <t>sign_in_13</t>
  </si>
  <si>
    <t>password field should accept valid mobile number</t>
  </si>
  <si>
    <t>sign_in_14</t>
  </si>
  <si>
    <r>
      <rPr>
        <u/>
        <sz val="10"/>
        <color rgb="FF1155CC"/>
        <rFont val="Calibri"/>
        <charset val="134"/>
      </rPr>
      <t xml:space="preserve">1. Go to https://ilyn.global/
</t>
    </r>
    <r>
      <rPr>
        <sz val="10"/>
        <rFont val="Calibri"/>
        <charset val="134"/>
      </rPr>
      <t>2.Click on "SIGN IN " Link</t>
    </r>
    <r>
      <rPr>
        <sz val="10"/>
        <color rgb="FF000000"/>
        <rFont val="Calibri"/>
        <charset val="134"/>
      </rPr>
      <t xml:space="preserve">
3. Insert valid data all the field except phone number field.
4. Click on "Sign In" but</t>
    </r>
    <r>
      <rPr>
        <sz val="10"/>
        <rFont val="Calibri"/>
        <charset val="134"/>
      </rPr>
      <t>ton</t>
    </r>
  </si>
  <si>
    <t>sign_in_15</t>
  </si>
  <si>
    <r>
      <rPr>
        <u/>
        <sz val="10"/>
        <color rgb="FF1155CC"/>
        <rFont val="Calibri"/>
        <charset val="134"/>
      </rPr>
      <t xml:space="preserve">1. Go to https://ilyn.global/
</t>
    </r>
    <r>
      <rPr>
        <sz val="10"/>
        <rFont val="Calibri"/>
        <charset val="134"/>
      </rPr>
      <t>2.Click on "SIGN IN " Link</t>
    </r>
    <r>
      <rPr>
        <sz val="10"/>
        <color rgb="FF000000"/>
        <rFont val="Calibri"/>
        <charset val="134"/>
      </rPr>
      <t xml:space="preserve">
3. Insert valid data all the field.
4. Click on "sign in" but</t>
    </r>
    <r>
      <rPr>
        <sz val="10"/>
        <rFont val="Calibri"/>
        <charset val="134"/>
      </rPr>
      <t>ton</t>
    </r>
  </si>
  <si>
    <t>sign_in_16</t>
  </si>
  <si>
    <t>Verify that user can be able to successfully sign in inserting valid data in all the field.</t>
  </si>
  <si>
    <t>sign in Page</t>
  </si>
  <si>
    <r>
      <rPr>
        <sz val="10"/>
        <rFont val="Calibri"/>
        <charset val="134"/>
      </rPr>
      <t xml:space="preserve">1.Go to </t>
    </r>
    <r>
      <rPr>
        <u/>
        <sz val="10"/>
        <color rgb="FF1155CC"/>
        <rFont val="Calibri"/>
        <charset val="134"/>
      </rPr>
      <t>https://ilyn.global/</t>
    </r>
    <r>
      <rPr>
        <sz val="10"/>
        <rFont val="Calibri"/>
        <charset val="134"/>
      </rPr>
      <t xml:space="preserve">
2.Click on "SIGN IN " Link</t>
    </r>
    <r>
      <rPr>
        <sz val="10"/>
        <color rgb="FF000000"/>
        <rFont val="Calibri"/>
        <charset val="134"/>
      </rPr>
      <t xml:space="preserve">
3. Insert valid data all the field.
4. Click on "sign in" but</t>
    </r>
    <r>
      <rPr>
        <sz val="10"/>
        <rFont val="Calibri"/>
        <charset val="134"/>
      </rPr>
      <t>ton</t>
    </r>
  </si>
  <si>
    <t>1. User should be able to successfully register inserting valid data in all the field. 
2. Registration confirmation message should be displayed like: you have been successfully registered.</t>
  </si>
  <si>
    <t>sign_in_17</t>
  </si>
  <si>
    <t>Verify that "Forgot Password " page appeears clicking on "Recover Password" link</t>
  </si>
  <si>
    <t>Forgot password page</t>
  </si>
  <si>
    <r>
      <rPr>
        <sz val="10"/>
        <rFont val="Calibri"/>
        <charset val="134"/>
      </rPr>
      <t xml:space="preserve">1.Go to </t>
    </r>
    <r>
      <rPr>
        <u/>
        <sz val="10"/>
        <color rgb="FF1155CC"/>
        <rFont val="Calibri"/>
        <charset val="134"/>
      </rPr>
      <t>https://ilyn.global/</t>
    </r>
    <r>
      <rPr>
        <sz val="10"/>
        <rFont val="Calibri"/>
        <charset val="134"/>
      </rPr>
      <t xml:space="preserve">
2. Click on "SIGN IN " Link
3.Click "Recover Password" link</t>
    </r>
  </si>
  <si>
    <t>"Forgot password" page should appear</t>
  </si>
  <si>
    <t>sign_in_18</t>
  </si>
  <si>
    <t>Verify that "CHANGE YOUR PASSWORD" form appears in forgot password page.</t>
  </si>
  <si>
    <r>
      <rPr>
        <sz val="10"/>
        <rFont val="Calibri"/>
        <charset val="134"/>
      </rPr>
      <t xml:space="preserve">1.Go to </t>
    </r>
    <r>
      <rPr>
        <u/>
        <sz val="10"/>
        <color rgb="FF1155CC"/>
        <rFont val="Calibri"/>
        <charset val="134"/>
      </rPr>
      <t>https://ilyn.global/</t>
    </r>
    <r>
      <rPr>
        <sz val="10"/>
        <rFont val="Calibri"/>
        <charset val="134"/>
      </rPr>
      <t xml:space="preserve">
2. Click on "SIGN IN " Link
3.Click "Recover Password" link
4.Observ the form</t>
    </r>
  </si>
  <si>
    <t>"CHANGE YOUR PASSWORD" form should appear</t>
  </si>
  <si>
    <t>sign_in_19</t>
  </si>
  <si>
    <t xml:space="preserve">verify that "This site is protected by reCAPTCHA and the Google Privacy Policy and Terms of Service apply." text is visible </t>
  </si>
  <si>
    <r>
      <rPr>
        <sz val="10"/>
        <rFont val="Calibri"/>
        <charset val="134"/>
      </rPr>
      <t xml:space="preserve">1.Go to </t>
    </r>
    <r>
      <rPr>
        <u/>
        <sz val="10"/>
        <color rgb="FF1155CC"/>
        <rFont val="Calibri"/>
        <charset val="134"/>
      </rPr>
      <t>https://ilyn.global/</t>
    </r>
    <r>
      <rPr>
        <sz val="10"/>
        <rFont val="Calibri"/>
        <charset val="134"/>
      </rPr>
      <t xml:space="preserve">
2. Click on "SIGN IN " Link
3.Click "Recover Password" link
4.Observ the text</t>
    </r>
  </si>
  <si>
    <t xml:space="preserve"> "This site is protected by reCAPTCHA and the Google Privacy Policy and Terms of Service apply." text should visible </t>
  </si>
  <si>
    <t>sign_in_20</t>
  </si>
  <si>
    <r>
      <rPr>
        <sz val="10"/>
        <rFont val="Calibri"/>
        <charset val="134"/>
      </rPr>
      <t xml:space="preserve">1.Go to </t>
    </r>
    <r>
      <rPr>
        <u/>
        <sz val="10"/>
        <color rgb="FF1155CC"/>
        <rFont val="Calibri"/>
        <charset val="134"/>
      </rPr>
      <t>https://ilyn.global/</t>
    </r>
    <r>
      <rPr>
        <sz val="10"/>
        <rFont val="Calibri"/>
        <charset val="134"/>
      </rPr>
      <t xml:space="preserve">
2. Click on "SIGN IN " Link
3.Click "Recover Password" link
4.Click "NEXT"</t>
    </r>
  </si>
  <si>
    <t>sign_in_21</t>
  </si>
  <si>
    <t>verify the text  ,"Please provide an email address."  message is  shown if we keep blank the field.</t>
  </si>
  <si>
    <r>
      <rPr>
        <sz val="10"/>
        <rFont val="Calibri"/>
        <charset val="134"/>
      </rPr>
      <t xml:space="preserve">1.Go to </t>
    </r>
    <r>
      <rPr>
        <u/>
        <sz val="10"/>
        <color rgb="FF1155CC"/>
        <rFont val="Calibri"/>
        <charset val="134"/>
      </rPr>
      <t>https://ilyn.global/</t>
    </r>
    <r>
      <rPr>
        <sz val="10"/>
        <rFont val="Calibri"/>
        <charset val="134"/>
      </rPr>
      <t xml:space="preserve">
2. Click on "SIGN IN " Link
3.Click   "Recover Password"  link
3.Click "EMAIL" section.
4.Click the field and do not give any data and click outside of the field</t>
    </r>
  </si>
  <si>
    <t xml:space="preserve">"Please provide a email address."  shows </t>
  </si>
  <si>
    <t>sign_in_22</t>
  </si>
  <si>
    <t>verify the text  ,"Please provide a valid email address."  message is  shown if we want to put a character on  the field.</t>
  </si>
  <si>
    <r>
      <rPr>
        <sz val="10"/>
        <rFont val="Calibri"/>
        <charset val="134"/>
      </rPr>
      <t xml:space="preserve">1.Go to </t>
    </r>
    <r>
      <rPr>
        <u/>
        <sz val="10"/>
        <color rgb="FF1155CC"/>
        <rFont val="Calibri"/>
        <charset val="134"/>
      </rPr>
      <t>https://ilyn.global/</t>
    </r>
    <r>
      <rPr>
        <sz val="10"/>
        <rFont val="Calibri"/>
        <charset val="134"/>
      </rPr>
      <t xml:space="preserve">
2. Click on "SIGN IN " Link
3.Click   "Recover Password"  link
4.Click "EMAIL" section.
5.Click the field and do  give any character and click outside of the field</t>
    </r>
  </si>
  <si>
    <t>,"Please provide a valid email address."  message should  show</t>
  </si>
  <si>
    <t>sign_in_23</t>
  </si>
  <si>
    <t>fgdgyudg</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</si>
  <si>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"Recover Password"  link
4.Click "EMAIL" section.
4.Insert invalid data in the email field
5.click "NEXT" button</t>
    </r>
  </si>
  <si>
    <t>sign_in_24</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</si>
  <si>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"Recover Password"  link
4.Click "EMAIL" section.
4.Insert valid data in the email field
5.click "NEXT" button</t>
    </r>
  </si>
  <si>
    <t>sign_in_25</t>
  </si>
  <si>
    <r>
      <rPr>
        <sz val="10"/>
        <rFont val="Calibri"/>
        <charset val="134"/>
      </rPr>
      <t xml:space="preserve">1.Go to </t>
    </r>
    <r>
      <rPr>
        <u/>
        <sz val="10"/>
        <color rgb="FF1155CC"/>
        <rFont val="Calibri"/>
        <charset val="134"/>
      </rPr>
      <t>https://ilyn.global/</t>
    </r>
    <r>
      <rPr>
        <sz val="10"/>
        <rFont val="Calibri"/>
        <charset val="134"/>
      </rPr>
      <t xml:space="preserve">
2. Click on "SIGN IN " Link
3.Click   "Recover Password"  link
4.Click "MOBILE" section.</t>
    </r>
  </si>
  <si>
    <t>sign_in_26</t>
  </si>
  <si>
    <r>
      <rPr>
        <sz val="10"/>
        <rFont val="Calibri"/>
        <charset val="134"/>
      </rPr>
      <t xml:space="preserve">1.Go to </t>
    </r>
    <r>
      <rPr>
        <u/>
        <sz val="10"/>
        <color rgb="FF1155CC"/>
        <rFont val="Calibri"/>
        <charset val="134"/>
      </rPr>
      <t>https://ilyn.global/</t>
    </r>
    <r>
      <rPr>
        <sz val="10"/>
        <rFont val="Calibri"/>
        <charset val="134"/>
      </rPr>
      <t xml:space="preserve">
2. Click on "SIGN IN " Link
3.Click   "Recover Password"  link
4.Click "MOBILE" section.
5.Click the field and do  give any character and click outside of the field</t>
    </r>
  </si>
  <si>
    <t>sign_in_27</t>
  </si>
  <si>
    <r>
      <rPr>
        <sz val="10"/>
        <rFont val="Calibri"/>
        <charset val="134"/>
      </rPr>
      <t xml:space="preserve">1.Go to </t>
    </r>
    <r>
      <rPr>
        <u/>
        <sz val="10"/>
        <color rgb="FF1155CC"/>
        <rFont val="Calibri"/>
        <charset val="134"/>
      </rPr>
      <t>https://ilyn.global/</t>
    </r>
    <r>
      <rPr>
        <sz val="10"/>
        <rFont val="Calibri"/>
        <charset val="134"/>
      </rPr>
      <t xml:space="preserve">
2. Click on "SIGN IN " Link
3.Click   "Recover Password"  link
4.Click "MOBILE" section.
5.Check the text</t>
    </r>
  </si>
  <si>
    <t>"This site is protected by reCAPTCHA and the Google Privacy Policy and Terms of Service apply." text should visible</t>
  </si>
  <si>
    <t>sign_in_28</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</si>
  <si>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"Recover Password"  link
4.Click "MOIBILE" section.
4.Insert invalid data in the mobile field
5.click "NEXT" button</t>
    </r>
  </si>
  <si>
    <t>sign_in_29</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</si>
  <si>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"Recover Password"  link
4.Click "MOIBILE" section.
4.Insert valid data in the mobile field
5.click "NEXT" button</t>
    </r>
  </si>
  <si>
    <t>sign_in_30</t>
  </si>
  <si>
    <t>Verify that clicking on "NEXT" displays the "Change Your Password" form on the same page with OTP, Password, and Confirm Password fields, without redirecting to a new page.</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</si>
  <si>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"Recover Password"  link
4.Click "MOIBILE" section.
4.Insert valid data in the mobile field
5.click "NEXT" button
6.Observ the content</t>
    </r>
  </si>
  <si>
    <t>Should display the "Change Your Password" form on the same page with OTP, Password, and Confirm Password fields, without redirecting to a new page.</t>
  </si>
  <si>
    <r>
      <rPr>
        <sz val="10"/>
        <rFont val="Calibri"/>
        <charset val="134"/>
      </rPr>
      <t xml:space="preserve">1.Go to </t>
    </r>
    <r>
      <rPr>
        <u/>
        <sz val="10"/>
        <color rgb="FF1155CC"/>
        <rFont val="Calibri"/>
        <charset val="134"/>
      </rPr>
      <t>https://ilyn.global/</t>
    </r>
    <r>
      <rPr>
        <sz val="10"/>
        <rFont val="Calibri"/>
        <charset val="134"/>
      </rPr>
      <t xml:space="preserve">
2.Click on "SIGN IN " Link
3.Click   "Recover Password"  link
4.Insert valid data in the field
5.Click "NEXT" button
6.Note the time when OTP is received</t>
    </r>
  </si>
  <si>
    <r>
      <rPr>
        <sz val="10"/>
        <rFont val="Calibri"/>
        <charset val="134"/>
      </rPr>
      <t xml:space="preserve">1.Go to </t>
    </r>
    <r>
      <rPr>
        <u/>
        <sz val="10"/>
        <color rgb="FF1155CC"/>
        <rFont val="Calibri"/>
        <charset val="134"/>
      </rPr>
      <t>https://ilyn.global/</t>
    </r>
    <r>
      <rPr>
        <sz val="10"/>
        <rFont val="Calibri"/>
        <charset val="134"/>
      </rPr>
      <t xml:space="preserve">
2.Click on "SIGN IN " Link
3.Click   "Recover Password"  link
4.Insert valid data in the field
5.Click "NEXT" button
6.Insert valid data in the field
7.Click  "SIGN IN" button</t>
    </r>
  </si>
  <si>
    <r>
      <rPr>
        <sz val="10"/>
        <rFont val="Calibri"/>
        <charset val="134"/>
      </rPr>
      <t xml:space="preserve">1.Go to </t>
    </r>
    <r>
      <rPr>
        <u/>
        <sz val="10"/>
        <color rgb="FF1155CC"/>
        <rFont val="Calibri"/>
        <charset val="134"/>
      </rPr>
      <t>https://ilyn.global/</t>
    </r>
    <r>
      <rPr>
        <sz val="10"/>
        <rFont val="Calibri"/>
        <charset val="134"/>
      </rPr>
      <t xml:space="preserve">
2.Click on "SIGN IN " Link
3.Click   "Recover Password"  link
4.Insert valid data in the field
5.Click "NEXT" button
6.Insert valid data in all the fields
7.Click  "SIGN IN" button</t>
    </r>
  </si>
  <si>
    <r>
      <rPr>
        <sz val="10"/>
        <rFont val="Calibri"/>
        <charset val="134"/>
      </rPr>
      <t xml:space="preserve">1.Go to </t>
    </r>
    <r>
      <rPr>
        <u/>
        <sz val="10"/>
        <color rgb="FF1155CC"/>
        <rFont val="Calibri"/>
        <charset val="134"/>
      </rPr>
      <t>https://ilyn.global/</t>
    </r>
    <r>
      <rPr>
        <sz val="10"/>
        <rFont val="Calibri"/>
        <charset val="134"/>
      </rPr>
      <t xml:space="preserve">
2.Click on "SIGN IN " Link
3.Click   "Recover Password"  link
4.Insert valid data in the field 
5.Click "NEXT" button
6.Insert valid data in all the field except "NAME" field
7.Click  "SIGN IN" button.</t>
    </r>
  </si>
  <si>
    <r>
      <rPr>
        <sz val="10"/>
        <rFont val="Calibri"/>
        <charset val="134"/>
      </rPr>
      <t xml:space="preserve">1.Go to </t>
    </r>
    <r>
      <rPr>
        <u/>
        <sz val="10"/>
        <color rgb="FF1155CC"/>
        <rFont val="Calibri"/>
        <charset val="134"/>
      </rPr>
      <t>https://ilyn.global/</t>
    </r>
    <r>
      <rPr>
        <sz val="10"/>
        <rFont val="Calibri"/>
        <charset val="134"/>
      </rPr>
      <t xml:space="preserve">
2.Click on "SIGN IN " Link
3.Click   "Recover Password"  link
4.Insert valid data in the field
5.Click "NEXT" button
6.Insert valid data in all the fields except password field
7.Click  "SIGN IN" button</t>
    </r>
  </si>
  <si>
    <r>
      <rPr>
        <sz val="10"/>
        <rFont val="Calibri"/>
        <charset val="134"/>
      </rPr>
      <t xml:space="preserve">1.Go to </t>
    </r>
    <r>
      <rPr>
        <u/>
        <sz val="10"/>
        <color rgb="FF1155CC"/>
        <rFont val="Calibri"/>
        <charset val="134"/>
      </rPr>
      <t>https://ilyn.global/</t>
    </r>
    <r>
      <rPr>
        <sz val="10"/>
        <rFont val="Calibri"/>
        <charset val="134"/>
      </rPr>
      <t xml:space="preserve">
2.Click on "SIGN IN " Link
3.Click   "Recover Password"  link
4.Insert valid data in the field
5.Click "NEXT" button
6.Insert valid data in "PASSWORD" field and invalid password to the "CONFIRM PASSWORD" field
7.Click  "SIGN IN" button</t>
    </r>
  </si>
  <si>
    <r>
      <rPr>
        <sz val="10"/>
        <rFont val="Calibri"/>
        <charset val="134"/>
      </rPr>
      <t xml:space="preserve">1.Go to </t>
    </r>
    <r>
      <rPr>
        <u/>
        <sz val="10"/>
        <color rgb="FF1155CC"/>
        <rFont val="Calibri"/>
        <charset val="134"/>
      </rPr>
      <t>https://ilyn.global/</t>
    </r>
    <r>
      <rPr>
        <sz val="10"/>
        <rFont val="Calibri"/>
        <charset val="134"/>
      </rPr>
      <t xml:space="preserve">
2.Click on "SIGN IN " Link
3.Click   "Recover Password"  link
4.Insert valid data in the field
5.Click "NEXT" button
6.Click the fields and do not give any data and click outside of the fields
</t>
    </r>
  </si>
  <si>
    <t>HOMEPAGE</t>
  </si>
  <si>
    <t>home_page01</t>
  </si>
  <si>
    <t>Verify that the homepage loads correctly when accessing the website URL.</t>
  </si>
  <si>
    <t>Home Page</t>
  </si>
  <si>
    <r>
      <rPr>
        <u/>
        <sz val="10"/>
        <color rgb="FF0000FF"/>
        <rFont val="Calibri"/>
        <charset val="134"/>
      </rPr>
      <t xml:space="preserve">1. Go to </t>
    </r>
    <r>
      <rPr>
        <u/>
        <sz val="10"/>
        <color rgb="FF1155CC"/>
        <rFont val="Calibri"/>
        <charset val="134"/>
      </rPr>
      <t>https://ilyn.global/</t>
    </r>
    <r>
      <rPr>
        <sz val="10"/>
        <rFont val="Calibri"/>
        <charset val="134"/>
      </rPr>
      <t xml:space="preserve"> 
 2. Observe the page.</t>
    </r>
  </si>
  <si>
    <t>The homepage of “ILLIYEEN” should load successfully without any error, and all sections should display properly.</t>
  </si>
  <si>
    <t>home_page02</t>
  </si>
  <si>
    <t>Verify that the header section is added on the website.</t>
  </si>
  <si>
    <r>
      <rPr>
        <u/>
        <sz val="10"/>
        <color rgb="FF0000FF"/>
        <rFont val="Calibri"/>
        <charset val="134"/>
      </rPr>
      <t xml:space="preserve">1. Go to </t>
    </r>
    <r>
      <rPr>
        <u/>
        <sz val="10"/>
        <color rgb="FF1155CC"/>
        <rFont val="Calibri"/>
        <charset val="134"/>
      </rPr>
      <t>https://ilyn.global/</t>
    </r>
    <r>
      <rPr>
        <sz val="10"/>
        <rFont val="Calibri"/>
        <charset val="134"/>
      </rPr>
      <t xml:space="preserve"> 
 2. Observe the header section.</t>
    </r>
  </si>
  <si>
    <t>The “Logo”, “Search” field, “Sign in” link, and “Shopping bag” button should be visible in the header.</t>
  </si>
  <si>
    <t>home_page03</t>
  </si>
  <si>
    <t>Verify that icons are aligned properly with their corresponding text in the header.</t>
  </si>
  <si>
    <r>
      <rPr>
        <u/>
        <sz val="10"/>
        <color rgb="FF0000FF"/>
        <rFont val="Calibri"/>
        <charset val="134"/>
      </rPr>
      <t xml:space="preserve">1. Go to </t>
    </r>
    <r>
      <rPr>
        <u/>
        <sz val="10"/>
        <color rgb="FF1155CC"/>
        <rFont val="Calibri"/>
        <charset val="134"/>
      </rPr>
      <t>https://ilyn.global/</t>
    </r>
    <r>
      <rPr>
        <sz val="10"/>
        <rFont val="Calibri"/>
        <charset val="134"/>
      </rPr>
      <t xml:space="preserve"> 
 2. Check the icon and text alignment.</t>
    </r>
  </si>
  <si>
    <t>The “Search”, “Sign in”, and “Shopping bag” icons should be horizontally aligned with their respective text labels.</t>
  </si>
  <si>
    <t>home_page04</t>
  </si>
  <si>
    <t>Verify that each icon corresponds correctly to its link text.</t>
  </si>
  <si>
    <r>
      <rPr>
        <u/>
        <sz val="10"/>
        <color rgb="FF0000FF"/>
        <rFont val="Calibri"/>
        <charset val="134"/>
      </rPr>
      <t xml:space="preserve">1. Go to </t>
    </r>
    <r>
      <rPr>
        <u/>
        <sz val="10"/>
        <color rgb="FF1155CC"/>
        <rFont val="Calibri"/>
        <charset val="134"/>
      </rPr>
      <t>https://ilyn.global/</t>
    </r>
    <r>
      <rPr>
        <sz val="10"/>
        <rFont val="Calibri"/>
        <charset val="134"/>
      </rPr>
      <t xml:space="preserve"> 
 2. Observe each link text and its corresponding icon.</t>
    </r>
  </si>
  <si>
    <t>The “Search” field should have a “search icon”, the “Sign in” link should have a “user icon”, and the “Shopping bag” button should have a “bag icon”.</t>
  </si>
  <si>
    <t>home_page05</t>
  </si>
  <si>
    <t>Verify that the website logo is displayed on the header and aligned properly.</t>
  </si>
  <si>
    <r>
      <rPr>
        <u/>
        <sz val="10"/>
        <color rgb="FF0000FF"/>
        <rFont val="Calibri"/>
        <charset val="134"/>
      </rPr>
      <t xml:space="preserve">1. Go to </t>
    </r>
    <r>
      <rPr>
        <u/>
        <sz val="10"/>
        <color rgb="FF1155CC"/>
        <rFont val="Calibri"/>
        <charset val="134"/>
      </rPr>
      <t>https://ilyn.global/</t>
    </r>
    <r>
      <rPr>
        <sz val="10"/>
        <rFont val="Calibri"/>
        <charset val="134"/>
      </rPr>
      <t xml:space="preserve"> 
 2. Check the logo and its alignment.</t>
    </r>
  </si>
  <si>
    <t>The “Logo”, “Search” field, “Sign in” link, and “Shopping bag” button should be horizontally aligned in one line.</t>
  </si>
  <si>
    <t>home_page06</t>
  </si>
  <si>
    <t>Verify that the same header is used across all website pages.</t>
  </si>
  <si>
    <r>
      <rPr>
        <u/>
        <sz val="10"/>
        <color rgb="FF0000FF"/>
        <rFont val="Calibri"/>
        <charset val="134"/>
      </rPr>
      <t xml:space="preserve">1. Go to </t>
    </r>
    <r>
      <rPr>
        <u/>
        <sz val="10"/>
        <color rgb="FF1155CC"/>
        <rFont val="Calibri"/>
        <charset val="134"/>
      </rPr>
      <t>https://ilyn.global/</t>
    </r>
    <r>
      <rPr>
        <sz val="10"/>
        <rFont val="Calibri"/>
        <charset val="134"/>
      </rPr>
      <t xml:space="preserve"> 
 2. Click all the menu sections.</t>
    </r>
  </si>
  <si>
    <t>The same header should be visible on every page across the website.</t>
  </si>
  <si>
    <t>home_page07</t>
  </si>
  <si>
    <t>Verify that all menu bars are visible and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</si>
  <si>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Observe the menu bars. 
 3. Click each menu section.</t>
    </r>
  </si>
  <si>
    <t>1. All menu bars should be clearly visible. 
 2. Each menu should open its corresponding page correctly without any error.</t>
  </si>
  <si>
    <t>home_page08</t>
  </si>
  <si>
    <t>Verify that the promotional message "Save 5% On Entire Order With Digital Payment" appears below each section inside a bordered container.</t>
  </si>
  <si>
    <r>
      <rPr>
        <u/>
        <sz val="10"/>
        <color rgb="FF0000FF"/>
        <rFont val="Calibri"/>
        <charset val="134"/>
      </rPr>
      <t xml:space="preserve">1. Go to </t>
    </r>
    <r>
      <rPr>
        <u/>
        <sz val="10"/>
        <color rgb="FF1155CC"/>
        <rFont val="Calibri"/>
        <charset val="134"/>
      </rPr>
      <t>https://ilyn.global/</t>
    </r>
    <r>
      <rPr>
        <sz val="10"/>
        <rFont val="Calibri"/>
        <charset val="134"/>
      </rPr>
      <t xml:space="preserve"> 
 2. Scroll through each section of the homepage. 
 3. Observe if the promotional message appears consistently.</t>
    </r>
  </si>
  <si>
    <t>The promotional message "Save 5% On Entire Order With Digital Payment" should appear below each section inside a bordered or highlighted container. The text should be clearly readable and properly aligned.</t>
  </si>
  <si>
    <t>home_page09</t>
  </si>
  <si>
    <t>Verify that the "AW25 New Arrivals" and "IN STORES AND ONLINE" logo text are visible.</t>
  </si>
  <si>
    <r>
      <rPr>
        <u/>
        <sz val="10"/>
        <color rgb="FF0000FF"/>
        <rFont val="Calibri"/>
        <charset val="134"/>
      </rPr>
      <t xml:space="preserve">1. Go to </t>
    </r>
    <r>
      <rPr>
        <u/>
        <sz val="10"/>
        <color rgb="FF1155CC"/>
        <rFont val="Calibri"/>
        <charset val="134"/>
      </rPr>
      <t>https://ilyn.global/</t>
    </r>
    <r>
      <rPr>
        <sz val="10"/>
        <rFont val="Calibri"/>
        <charset val="134"/>
      </rPr>
      <t xml:space="preserve"> 
 2. Observe the section showing the “AW25 New Arrivals” banner. 
 3. Check for the “IN STORES AND ONLINE” text.</t>
    </r>
  </si>
  <si>
    <t>Both "AW25 New Arrivals" and "IN STORES AND ONLINE" logo texts should be clearly visible without distortion or overlap.</t>
  </si>
  <si>
    <t>home_page10</t>
  </si>
  <si>
    <t>Verify that the "AW25 New Arrivals" link is visible and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</si>
  <si>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Locate the “AW25 New Arrivals” link. 
 3. Click the link.</t>
    </r>
  </si>
  <si>
    <t>1. The “AW25 New Arrivals” link should be visible on the homepage. 
 2. Clicking it should open the corresponding New Arrivals page without any error.</t>
  </si>
  <si>
    <t>home_page11</t>
  </si>
  <si>
    <t>Verify that the homepage background image is visible.</t>
  </si>
  <si>
    <r>
      <rPr>
        <u/>
        <sz val="10"/>
        <color rgb="FF0000FF"/>
        <rFont val="Calibri"/>
        <charset val="134"/>
      </rPr>
      <t xml:space="preserve">1. Go to </t>
    </r>
    <r>
      <rPr>
        <u/>
        <sz val="10"/>
        <color rgb="FF1155CC"/>
        <rFont val="Calibri"/>
        <charset val="134"/>
      </rPr>
      <t>https://ilyn.global/</t>
    </r>
    <r>
      <rPr>
        <sz val="10"/>
        <rFont val="Calibri"/>
        <charset val="134"/>
      </rPr>
      <t xml:space="preserve"> 
 2. Observe the homepage background.</t>
    </r>
  </si>
  <si>
    <t>The homepage background image should load properly and be fully visible, without distortion or broken rendering.</t>
  </si>
  <si>
    <t>home_page12</t>
  </si>
  <si>
    <t>Verify that the "AW25 New Arrivals" link and "AW25 New Arrivals / IN STORES AND ONLINE" logo text are correctly aligned.</t>
  </si>
  <si>
    <r>
      <rPr>
        <u/>
        <sz val="10"/>
        <color rgb="FF0000FF"/>
        <rFont val="Calibri"/>
        <charset val="134"/>
      </rPr>
      <t xml:space="preserve">1. Go to </t>
    </r>
    <r>
      <rPr>
        <u/>
        <sz val="10"/>
        <color rgb="FF1155CC"/>
        <rFont val="Calibri"/>
        <charset val="134"/>
      </rPr>
      <t>https://ilyn.global/</t>
    </r>
    <r>
      <rPr>
        <sz val="10"/>
        <rFont val="Calibri"/>
        <charset val="134"/>
      </rPr>
      <t xml:space="preserve"> 
 2. Observe the “AW25 New Arrivals” link and related logo text. 
 3. Check the vertical and horizontal alignment.</t>
    </r>
  </si>
  <si>
    <t>The “AW25 New Arrivals” link and the “AW25 New Arrivals / IN STORES AND ONLINE” logo text should be properly aligned vertically and visually balanced.</t>
  </si>
  <si>
    <r>
      <rPr>
        <b/>
        <sz val="21"/>
        <color rgb="FFFFFFFF"/>
        <rFont val="Arial"/>
        <charset val="134"/>
        <scheme val="minor"/>
      </rPr>
      <t>AW25 NEW ARRIVALS MENUBAR</t>
    </r>
    <r>
      <rPr>
        <b/>
        <sz val="21"/>
        <color rgb="FFFFFFFF"/>
        <rFont val="Arial"/>
        <charset val="134"/>
      </rPr>
      <t xml:space="preserve">
</t>
    </r>
  </si>
  <si>
    <t>Aw25_new_arrivals_01</t>
  </si>
  <si>
    <t>Verify that "All", "Men", "Women", "Kids", "Footwear", "Accessories" sections appear in "AW25 NEW ARRIVALS" menu page and clickable</t>
  </si>
  <si>
    <t>AW25 New Arrivals Page</t>
  </si>
  <si>
    <r>
      <rPr>
        <sz val="10"/>
        <rFont val="Calibri"/>
        <charset val="134"/>
      </rPr>
      <t xml:space="preserve">1.Go to </t>
    </r>
    <r>
      <rPr>
        <u/>
        <sz val="10"/>
        <color rgb="FF1155CC"/>
        <rFont val="Calibri"/>
        <charset val="134"/>
      </rPr>
      <t>https://ilyn.global/</t>
    </r>
    <r>
      <rPr>
        <sz val="10"/>
        <rFont val="Calibri"/>
        <charset val="134"/>
      </rPr>
      <t xml:space="preserve"> 
2.click on "AW25 NEW ARRIVALS" menu</t>
    </r>
  </si>
  <si>
    <t>All sections "All", "Men", "Women", "Kids", "Footwear", "Accessories" should be visible and clickable on the AW25 NEW ARRIVALS menu page.</t>
  </si>
  <si>
    <t>Aw25_new_arrivals_02</t>
  </si>
  <si>
    <t>Verify that "All", "Men", "Women", "Kids", "Footwear", "Accessories" sections are clickable</t>
  </si>
  <si>
    <r>
      <rPr>
        <sz val="10"/>
        <rFont val="Calibri"/>
        <charset val="134"/>
      </rPr>
      <t xml:space="preserve">1.Go to </t>
    </r>
    <r>
      <rPr>
        <u/>
        <sz val="10"/>
        <color rgb="FF1155CC"/>
        <rFont val="Calibri"/>
        <charset val="134"/>
      </rPr>
      <t>https://ilyn.global/</t>
    </r>
    <r>
      <rPr>
        <sz val="10"/>
        <rFont val="Calibri"/>
        <charset val="134"/>
      </rPr>
      <t xml:space="preserve"> 
2.click on "AW25 NEW ARRIVALS" menu 
3.click on sections.</t>
    </r>
  </si>
  <si>
    <t>Clicking on each section should navigate to the correct section page without error.</t>
  </si>
  <si>
    <t>Aw25_new_arrivals_03</t>
  </si>
  <si>
    <t>Verify that "All" page shows all products exist in "All", "Men", "Women", "Kids", "Footwear", "Accessories" section</t>
  </si>
  <si>
    <r>
      <rPr>
        <sz val="10"/>
        <rFont val="Calibri"/>
        <charset val="134"/>
      </rPr>
      <t xml:space="preserve">1.Go to </t>
    </r>
    <r>
      <rPr>
        <u/>
        <sz val="10"/>
        <color rgb="FF1155CC"/>
        <rFont val="Calibri"/>
        <charset val="134"/>
      </rPr>
      <t>https://ilyn.global/</t>
    </r>
    <r>
      <rPr>
        <sz val="10"/>
        <rFont val="Calibri"/>
        <charset val="134"/>
      </rPr>
      <t xml:space="preserve"> 
2.Click "All" section.</t>
    </r>
  </si>
  <si>
    <t>The "All" page should display all products from every category: "All", "Men", "Women", "Kids", "Footwear", "Accessories".</t>
  </si>
  <si>
    <t>Aw25_new_arrivals_04</t>
  </si>
  <si>
    <t>Verify that the "breadcrumb","number of items",and" Filters &amp; Sort" section is visible in "All" page and horizontally allign</t>
  </si>
  <si>
    <t>The breadcrumb, number of items, and Filters &amp; Sort section should be visible and horizontally aligned on the "All" page.</t>
  </si>
  <si>
    <t>Aw25_new_arrivals_06</t>
  </si>
  <si>
    <t>Verify that clicking on "All" section correct breadcrumb comes</t>
  </si>
  <si>
    <r>
      <rPr>
        <sz val="10"/>
        <rFont val="Calibri"/>
        <charset val="134"/>
      </rPr>
      <t xml:space="preserve">1.Go to </t>
    </r>
    <r>
      <rPr>
        <u/>
        <sz val="10"/>
        <color rgb="FF1155CC"/>
        <rFont val="Calibri"/>
        <charset val="134"/>
      </rPr>
      <t>https://ilyn.global/</t>
    </r>
    <r>
      <rPr>
        <sz val="10"/>
        <rFont val="Calibri"/>
        <charset val="134"/>
      </rPr>
      <t xml:space="preserve"> 
2.Click "All" section. 
3.check the "breadcrumb".</t>
    </r>
  </si>
  <si>
    <t>Clicking on the "All" section should display the correct breadcrumb indicating the user is on the "All" products page.</t>
  </si>
  <si>
    <t>Aw25_new_arrivals_07</t>
  </si>
  <si>
    <t>Verify that number of items product are visible with the image in "All" webpage</t>
  </si>
  <si>
    <r>
      <rPr>
        <sz val="10"/>
        <rFont val="Calibri"/>
        <charset val="134"/>
      </rPr>
      <t xml:space="preserve">1.Go to </t>
    </r>
    <r>
      <rPr>
        <u/>
        <sz val="10"/>
        <color rgb="FF1155CC"/>
        <rFont val="Calibri"/>
        <charset val="134"/>
      </rPr>
      <t>https://ilyn.global/</t>
    </r>
    <r>
      <rPr>
        <sz val="10"/>
        <rFont val="Calibri"/>
        <charset val="134"/>
      </rPr>
      <t xml:space="preserve"> 
2.Click "All" section. 
3.check number of items match with number of product showed in the page</t>
    </r>
  </si>
  <si>
    <t>Each product image should display correctly and the total number of items should match the count displayed on the "All" page.</t>
  </si>
  <si>
    <t>Aw25_new_arrivals_08</t>
  </si>
  <si>
    <t>"Verify that product name, Product Code and BDT are attached with every product image in "All" section."</t>
  </si>
  <si>
    <r>
      <rPr>
        <sz val="10"/>
        <rFont val="Calibri"/>
        <charset val="134"/>
      </rPr>
      <t xml:space="preserve">1.Go to </t>
    </r>
    <r>
      <rPr>
        <u/>
        <sz val="10"/>
        <color rgb="FF1155CC"/>
        <rFont val="Calibri"/>
        <charset val="134"/>
      </rPr>
      <t>https://ilyn.global/</t>
    </r>
    <r>
      <rPr>
        <sz val="10"/>
        <rFont val="Calibri"/>
        <charset val="134"/>
      </rPr>
      <t xml:space="preserve"> 
2.Click "All" section. 
3.Check the image information.</t>
    </r>
  </si>
  <si>
    <t>Every product image in the "All" section should have the product name, product code, and BDT price displayed correctly.</t>
  </si>
  <si>
    <t>Aw25_new_arrivals_09</t>
  </si>
  <si>
    <t>Verify that clicking any image in "All" section expected breadcrumb comes</t>
  </si>
  <si>
    <t>Clicking any product image should navigate to the product detail page and display the correct breadcrumb.</t>
  </si>
  <si>
    <t>Aw25_new_arrivals_10</t>
  </si>
  <si>
    <t>Verify that "Panjabi", "Thobe And Kabli", "Sherwani and Waistcoats", "Shirts", "T-shirts And Polos", and "Trousers And Chinos" variants exist under "Men" section.</t>
  </si>
  <si>
    <r>
      <rPr>
        <sz val="10"/>
        <rFont val="Calibri"/>
        <charset val="134"/>
      </rPr>
      <t xml:space="preserve">1.Go to </t>
    </r>
    <r>
      <rPr>
        <u/>
        <sz val="10"/>
        <color rgb="FF1155CC"/>
        <rFont val="Calibri"/>
        <charset val="134"/>
      </rPr>
      <t>https://ilyn.global/</t>
    </r>
    <r>
      <rPr>
        <sz val="10"/>
        <rFont val="Calibri"/>
        <charset val="134"/>
      </rPr>
      <t xml:space="preserve"> 
2.Click "All" section.
 3.Click "MEN" section.</t>
    </r>
  </si>
  <si>
    <t>The "MEN" section should display all variants: "Panjabi", "Thobe And Kabli", "Sherwani and Waistcoats", "Shirts", "T-shirts And Polos", and "Trousers And Chinos".</t>
  </si>
  <si>
    <t>Aw25_new_arrivals_11</t>
  </si>
  <si>
    <t>Verify that clicking on "Men" section "Men" page appears.</t>
  </si>
  <si>
    <r>
      <rPr>
        <sz val="10"/>
        <rFont val="Calibri"/>
        <charset val="134"/>
      </rPr>
      <t xml:space="preserve">1.Go to </t>
    </r>
    <r>
      <rPr>
        <u/>
        <sz val="10"/>
        <color rgb="FF1155CC"/>
        <rFont val="Calibri"/>
        <charset val="134"/>
      </rPr>
      <t>https://ilyn.global/</t>
    </r>
    <r>
      <rPr>
        <sz val="10"/>
        <rFont val="Calibri"/>
        <charset val="134"/>
      </rPr>
      <t xml:space="preserve"> 
2.Click "All" section. 
3.Click "MEN" section.</t>
    </r>
  </si>
  <si>
    <t>Clicking the "MEN" section should navigate to the "MEN" category page successfully.</t>
  </si>
  <si>
    <t>Aw25_new_arrivals_12</t>
  </si>
  <si>
    <t>Verify that "MEN" section shows only "Panjabi", "Thobe And Kabli", "Sherwani and Waistcoats", "Shirts", "T-shirts And Polos", and "Trousers And Chinos" variants product.</t>
  </si>
  <si>
    <r>
      <rPr>
        <sz val="10"/>
        <rFont val="Calibri"/>
        <charset val="134"/>
      </rPr>
      <t xml:space="preserve">1.Go to </t>
    </r>
    <r>
      <rPr>
        <u/>
        <sz val="10"/>
        <color rgb="FF1155CC"/>
        <rFont val="Calibri"/>
        <charset val="134"/>
      </rPr>
      <t>https://ilyn.global/</t>
    </r>
    <r>
      <rPr>
        <sz val="10"/>
        <rFont val="Calibri"/>
        <charset val="134"/>
      </rPr>
      <t xml:space="preserve"> 
2.Click "All" section. 
3.Click "MEN" section. 
4.Check the products.</t>
    </r>
  </si>
  <si>
    <t>Only products from the listed variants should appear in the "MEN" section; no unrelated products should be displayed.</t>
  </si>
  <si>
    <t>Aw25_new_arrivals_13</t>
  </si>
  <si>
    <t>Verify that the "breadcrumb", "number of items", and "Filters &amp; Sort" section are visible and correctly aligned horizontally in the "MEN" page.</t>
  </si>
  <si>
    <r>
      <rPr>
        <sz val="10"/>
        <rFont val="Calibri"/>
        <charset val="134"/>
      </rPr>
      <t xml:space="preserve">1.Go to </t>
    </r>
    <r>
      <rPr>
        <u/>
        <sz val="10"/>
        <color rgb="FF1155CC"/>
        <rFont val="Calibri"/>
        <charset val="134"/>
      </rPr>
      <t>https://ilyn.global/</t>
    </r>
    <r>
      <rPr>
        <sz val="10"/>
        <rFont val="Calibri"/>
        <charset val="134"/>
      </rPr>
      <t xml:space="preserve"> 
2.Click "All" section. 
3.Click "MEN" section. 
4.Check the visibility and alignment.</t>
    </r>
  </si>
  <si>
    <t>The breadcrumb, number of items, and Filters &amp; Sort section should be visible and horizontally aligned in the "MEN" page.</t>
  </si>
  <si>
    <t>Aw25_new_arrivals_14</t>
  </si>
  <si>
    <t>Verify that clicking on the "MEN" section displays the correct breadcrumb.</t>
  </si>
  <si>
    <r>
      <rPr>
        <sz val="10"/>
        <rFont val="Calibri"/>
        <charset val="134"/>
      </rPr>
      <t xml:space="preserve">1.Go to </t>
    </r>
    <r>
      <rPr>
        <u/>
        <sz val="10"/>
        <color rgb="FF1155CC"/>
        <rFont val="Calibri"/>
        <charset val="134"/>
      </rPr>
      <t>https://ilyn.global/</t>
    </r>
    <r>
      <rPr>
        <sz val="10"/>
        <rFont val="Calibri"/>
        <charset val="134"/>
      </rPr>
      <t xml:space="preserve"> 
2.Click "All" section. 
3.Click "MEN" section. 
4.Check the breadcrumb.</t>
    </r>
  </si>
  <si>
    <t>Clicking on the "MEN" section should display the correct breadcrumb indicating the user is in the "MEN" category.</t>
  </si>
  <si>
    <t>Aw25_new_arrivals_15</t>
  </si>
  <si>
    <t>Verify that the number of product items are visible with the product images in the "MEN" webpage.</t>
  </si>
  <si>
    <r>
      <rPr>
        <sz val="10"/>
        <rFont val="Calibri"/>
        <charset val="134"/>
      </rPr>
      <t xml:space="preserve">1.Go to </t>
    </r>
    <r>
      <rPr>
        <u/>
        <sz val="10"/>
        <color rgb="FF1155CC"/>
        <rFont val="Calibri"/>
        <charset val="134"/>
      </rPr>
      <t>https://ilyn.global/</t>
    </r>
    <r>
      <rPr>
        <sz val="10"/>
        <rFont val="Calibri"/>
        <charset val="134"/>
      </rPr>
      <t xml:space="preserve"> 
2.Click "All" section. 
3.Click "MEN" section.
 4.check number of items match with number of product showed in the page</t>
    </r>
  </si>
  <si>
    <t>Each product image should be displayed with the total number of products matching the displayed count on the "MEN" page.</t>
  </si>
  <si>
    <t>Aw25_new_arrivals_16</t>
  </si>
  <si>
    <t>Verify that the product name, product code, and BDT price are attached with every product image in the "MEN" section.</t>
  </si>
  <si>
    <r>
      <rPr>
        <sz val="10"/>
        <rFont val="Calibri"/>
        <charset val="134"/>
      </rPr>
      <t xml:space="preserve">1.Go to </t>
    </r>
    <r>
      <rPr>
        <u/>
        <sz val="10"/>
        <color rgb="FF1155CC"/>
        <rFont val="Calibri"/>
        <charset val="134"/>
      </rPr>
      <t>https://ilyn.global/</t>
    </r>
    <r>
      <rPr>
        <sz val="10"/>
        <rFont val="Calibri"/>
        <charset val="134"/>
      </rPr>
      <t xml:space="preserve"> 
2.Click "All" section. 
3.Click "MEN" section. 4.Check the image information.</t>
    </r>
  </si>
  <si>
    <t>Each product image in the "MEN" section should have the product name, product code, and BDT price displayed correctly.</t>
  </si>
  <si>
    <t>Aw25_new_arrivals_17</t>
  </si>
  <si>
    <t>Verify that clicking any product image in the "MEN" section displays the expected breadcrumb.</t>
  </si>
  <si>
    <r>
      <rPr>
        <sz val="10"/>
        <rFont val="Calibri"/>
        <charset val="134"/>
      </rPr>
      <t xml:space="preserve">1.Go to </t>
    </r>
    <r>
      <rPr>
        <u/>
        <sz val="10"/>
        <color rgb="FF1155CC"/>
        <rFont val="Calibri"/>
        <charset val="134"/>
      </rPr>
      <t>https://ilyn.global/</t>
    </r>
    <r>
      <rPr>
        <sz val="10"/>
        <rFont val="Calibri"/>
        <charset val="134"/>
      </rPr>
      <t xml:space="preserve"> 
2.Click "All" section. 
3.Click "MEN" section. 4.check the "breadcrumb"</t>
    </r>
  </si>
  <si>
    <t>Clicking any product image in the "MEN" section should navigate to the product detail page and show the correct breadcrumb.</t>
  </si>
  <si>
    <t>Aw25_new_arrivals_18</t>
  </si>
  <si>
    <t>Verify that clicking on "Panjabi", "Thobe And Kabli", "Sherwani and Waistcoats", "Shirts", "T-shirts And Polos", and "Trousers And Chinos" shows only those type variants</t>
  </si>
  <si>
    <r>
      <rPr>
        <sz val="10"/>
        <rFont val="Calibri"/>
        <charset val="134"/>
      </rPr>
      <t xml:space="preserve">1.Go to </t>
    </r>
    <r>
      <rPr>
        <u/>
        <sz val="10"/>
        <color rgb="FF1155CC"/>
        <rFont val="Calibri"/>
        <charset val="134"/>
      </rPr>
      <t>https://ilyn.global/</t>
    </r>
    <r>
      <rPr>
        <sz val="10"/>
        <rFont val="Calibri"/>
        <charset val="134"/>
      </rPr>
      <t xml:space="preserve"> 
2.Click "All" section. 
3.Click "MEN" section. 4.Click the variants.</t>
    </r>
  </si>
  <si>
    <t>Clicking on any variant should display only the products of that variant type, without including unrelated products.</t>
  </si>
  <si>
    <t>Aw25_new_arrivals_21</t>
  </si>
  <si>
    <t>Verify that clicking on "Women" section "Women" page appears.</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</si>
  <si>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"WOMEN" section.</t>
    </r>
  </si>
  <si>
    <t>Clicking on the "WOMEN" section should navigate to the "WOMEN" category page successfully.</t>
  </si>
  <si>
    <t>Aw25_new_arrivals_22</t>
  </si>
  <si>
    <t>Verify that "WOMEN" section shows only "Co-ords Dress Set", "Tops", and "Trousers" variants product.</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</si>
  <si>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"WOMEN" section. 
 4.Check the products.</t>
    </r>
  </si>
  <si>
    <t>Only products from "Co-ords Dress Set", "Tops", and "Trousers" variants should be displayed in the "WOMEN" section.</t>
  </si>
  <si>
    <t>Aw25_new_arrivals_23</t>
  </si>
  <si>
    <t>Verify that the "breadcrumb", "number of items", and "Filters &amp; Sort" section are visible and correctly aligned horizontally in the "WOMEN" page.</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</si>
  <si>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"WOMEN" section. 
 4.Check the visibility and alignment.</t>
    </r>
  </si>
  <si>
    <t>The breadcrumb, number of items, and Filters &amp; Sort section should be visible and horizontally aligned on the "WOMEN" page.</t>
  </si>
  <si>
    <t>Aw25_new_arrivals_24</t>
  </si>
  <si>
    <t>Verify that clicking on the "WOMEN" section displays the correct breadcrumb.</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</si>
  <si>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"WOMEN" section. 
 4.Check the breadcrumb.</t>
    </r>
  </si>
  <si>
    <t>Clicking on the "WOMEN" section should display the correct breadcrumb indicating the user is in the "WOMEN" category.</t>
  </si>
  <si>
    <t>Aw25_new_arrivals_26</t>
  </si>
  <si>
    <t>Verify that the number of product items are visible with the product images in the "WOMEN" webpage.</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</si>
  <si>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"WOMEN" section. 
 4.Check number of items match with number of products shown on the page.</t>
    </r>
  </si>
  <si>
    <t>Each product image should be displayed correctly and the total number of items should match the displayed count on the "WOMEN" page.</t>
  </si>
  <si>
    <t>Aw25_new_arrivals_27</t>
  </si>
  <si>
    <t>Verify that the product name, product code, and BDT price are attached with every product image in the "WOMEN" section.</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</si>
  <si>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"WOMEN" section. 
 4.Check the image information.</t>
    </r>
  </si>
  <si>
    <t>Every product image in the "WOMEN" section should have the product name, product code, and BDT price displayed correctly.</t>
  </si>
  <si>
    <t>Aw25_new_arrivals_28</t>
  </si>
  <si>
    <t>Verify that clicking any product image in the "WOMEN" section displays the expected breadcrumb.</t>
  </si>
  <si>
    <t>Clicking any product image in the "WOMEN" section should navigate to the product detail page and show the correct breadcrumb.</t>
  </si>
  <si>
    <t>Aw25_new_arrivals_29</t>
  </si>
  <si>
    <t>Verify that clicking on "Co-ords Dress Set", "Tops", and "Trousers" shows only those type variants.</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</si>
  <si>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"WOMEN" section. 
 4.Click the variants.</t>
    </r>
  </si>
  <si>
    <t>Clicking any variant should display only the products of that variant type in the "WOMEN" section.</t>
  </si>
  <si>
    <t>Aw25_new_arrivals_25</t>
  </si>
  <si>
    <t>Verify that "Women" page shows only "Co-ords Dress Set", "Tops", and "Trousers" variants product.</t>
  </si>
  <si>
    <t>The "WOMEN" page should only display products from the variants "Co-ords Dress Set", "Tops", and "Trousers".</t>
  </si>
  <si>
    <t>Aw25_new_arrivals_30</t>
  </si>
  <si>
    <t>Verify that "Panjabi", "Waistcoats", "T-shirts And Polos", "Tops", and "Father And Son Collection" variants exist under "Kids" section.</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</si>
  <si>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"KIDS" section.</t>
    </r>
  </si>
  <si>
    <t>The "KIDS" section should display all listed variants: "Panjabi", "Waistcoats", "T-shirts And Polos", "Tops", "Father And Son Collection".</t>
  </si>
  <si>
    <t>Aw25_new_arrivals_31</t>
  </si>
  <si>
    <t>Verify that clicking on "Kids" section "Kids" page appears.</t>
  </si>
  <si>
    <t>Clicking on the "KIDS" section should navigate to the "KIDS" page successfully.</t>
  </si>
  <si>
    <t>Aw25_new_arrivals_32</t>
  </si>
  <si>
    <t>Verify that "KIDS" section shows only "Panjabi", "Waistcoats", "T-shirts And Polos", "Tops", and "Father And Son Collection" variants product.</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</si>
  <si>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"KIDS" section. 
 4.Check the products.</t>
    </r>
  </si>
  <si>
    <t>Only products from the listed variants should appear in the "KIDS" section.</t>
  </si>
  <si>
    <t>Aw25_new_arrivals_33</t>
  </si>
  <si>
    <t>Verify that the "breadcrumb", "number of items", and "Filters &amp; Sort" section are visible and correctly aligned horizontally in the "KIDS" page.</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</si>
  <si>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"KIDS" section. 
 4.Check the visibility and alignment.</t>
    </r>
  </si>
  <si>
    <t>The breadcrumb, number of items, and Filters &amp; Sort section should be visible and horizontally aligned in the "KIDS" page.</t>
  </si>
  <si>
    <t>Aw25_new_arrivals_34</t>
  </si>
  <si>
    <t>Verify that clicking on the "KIDS" section displays the correct breadcrumb.</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</si>
  <si>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"KIDS" section. 
 4.Check the breadcrumb.</t>
    </r>
  </si>
  <si>
    <t>Clicking on the "KIDS" section should display the correct breadcrumb indicating the user is in the "KIDS" category.</t>
  </si>
  <si>
    <t>Aw25_new_arrivals_35</t>
  </si>
  <si>
    <t>Verify that the number of product items are visible with the product images in the "KIDS" webpage.</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</si>
  <si>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"KIDS" section. 
 4.Check number of items match with number of products shown on the page</t>
    </r>
  </si>
  <si>
    <t>Each product image should display correctly and the total number of items should match the displayed count on the "KIDS" page.</t>
  </si>
  <si>
    <t>Aw25_new_arrivals_36</t>
  </si>
  <si>
    <t>Verify that the product name, product code, and BDT price are attached with every product image in the "KIDS" section.</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</si>
  <si>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"KIDS" section. 
 4.Check the image information.</t>
    </r>
  </si>
  <si>
    <t>Every product image in the "KIDS" section should have the product name, product code, and BDT price displayed correctly.</t>
  </si>
  <si>
    <t>Aw25_new_arrivals_37</t>
  </si>
  <si>
    <t>Verify that clicking any product image in the "KIDS" section displays the expected breadcrumb</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</si>
  <si>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"KIDS" section. 
 4.Check the breadcrumb</t>
    </r>
  </si>
  <si>
    <t>Clicking any product image in the "KIDS" section should navigate to the product detail page and show the correct breadcrumb.</t>
  </si>
  <si>
    <t>Aw25_new_arrivals_38</t>
  </si>
  <si>
    <t>Verify that clicking on "Panjabi", "Waistcoats", "T-shirts And Polos", "Tops", and "Father And Son Collection" shows only those type variants.</t>
  </si>
  <si>
    <r>
      <rPr>
        <u/>
        <sz val="10"/>
        <color rgb="FF0000FF"/>
        <rFont val="Calibri"/>
        <charset val="134"/>
      </rPr>
      <t xml:space="preserve">1.Go to </t>
    </r>
    <r>
      <rPr>
        <u/>
        <sz val="10"/>
        <color rgb="FF1155CC"/>
        <rFont val="Calibri"/>
        <charset val="134"/>
      </rPr>
      <t>https://ilyn.global/</t>
    </r>
    <r>
      <rPr>
        <sz val="10"/>
        <rFont val="Calibri"/>
        <charset val="134"/>
      </rPr>
      <t xml:space="preserve"> 
 2.Click "All" section. 
 3.Click "KIDS" section. 
 4.Click the variants.</t>
    </r>
  </si>
  <si>
    <t>Clicking any variant should display only the products of that variant type in the "KIDS" section.</t>
  </si>
  <si>
    <t>Aw25_new_arrivals_39</t>
  </si>
  <si>
    <t>Verify that "KIDS" page shows only "Panjabi", "Waistcoats", "T-shirts And Polos", "Tops", and "Father And Son Collection" variants product.</t>
  </si>
  <si>
    <t>The "KIDS" page should only display products from the listed variants.</t>
  </si>
  <si>
    <t>Aw25_new_arrivals_47</t>
  </si>
  <si>
    <t>Verify that clicking on "FOOTWEAR" section "FOOTWEAR" page appears.</t>
  </si>
  <si>
    <r>
      <rPr>
        <u/>
        <sz val="10"/>
        <color rgb="FF0000FF"/>
        <rFont val="Calibri"/>
        <charset val="134"/>
      </rPr>
      <t xml:space="preserve">1.Go to </t>
    </r>
    <r>
      <rPr>
        <u/>
        <sz val="10"/>
        <color rgb="FF1155CC"/>
        <rFont val="Calibri"/>
        <charset val="134"/>
      </rPr>
      <t>https://ilyn.global/</t>
    </r>
    <r>
      <rPr>
        <sz val="10"/>
        <rFont val="Calibri"/>
        <charset val="134"/>
      </rPr>
      <t xml:space="preserve"> 
 2.Click on "AW25 NEW ARRIVALS" menu 
 3.Click "FOOTWEAR" section.</t>
    </r>
  </si>
  <si>
    <t>Clicking on the "FOOTWEAR" section should navigate to the "FOOTWEAR" page successfully.</t>
  </si>
  <si>
    <t>Aw25_new_arrivals_53</t>
  </si>
  <si>
    <t>Verify that clicking on "ACCESSORIES" section "ACCESSORIES" page appears.</t>
  </si>
  <si>
    <r>
      <rPr>
        <u/>
        <sz val="10"/>
        <color rgb="FF0000FF"/>
        <rFont val="Calibri"/>
        <charset val="134"/>
      </rPr>
      <t xml:space="preserve">1.Go to </t>
    </r>
    <r>
      <rPr>
        <u/>
        <sz val="10"/>
        <color rgb="FF1155CC"/>
        <rFont val="Calibri"/>
        <charset val="134"/>
      </rPr>
      <t>https://ilyn.global/</t>
    </r>
    <r>
      <rPr>
        <sz val="10"/>
        <rFont val="Calibri"/>
        <charset val="134"/>
      </rPr>
      <t xml:space="preserve"> 
 2.Click on "AW25 NEW ARRIVALS" menu 
 3.Click "ACCESSORIES" section.</t>
    </r>
  </si>
  <si>
    <t>Clicking on the "ACCESSORIES" section should navigate to the "ACCESSORIES" page successfully.</t>
  </si>
  <si>
    <t>Aw25_new_arrivals_54</t>
  </si>
  <si>
    <t>Verify that the "breadcrumb", "number of items", and "Filters &amp; Sort" section is visible in "ACCESSORIES" page and horizontally aligned.</t>
  </si>
  <si>
    <r>
      <rPr>
        <u/>
        <sz val="10"/>
        <color rgb="FF0000FF"/>
        <rFont val="Calibri"/>
        <charset val="134"/>
      </rPr>
      <t xml:space="preserve">1.Go to </t>
    </r>
    <r>
      <rPr>
        <u/>
        <sz val="10"/>
        <color rgb="FF1155CC"/>
        <rFont val="Calibri"/>
        <charset val="134"/>
      </rPr>
      <t>https://ilyn.global/</t>
    </r>
    <r>
      <rPr>
        <sz val="10"/>
        <rFont val="Calibri"/>
        <charset val="134"/>
      </rPr>
      <t xml:space="preserve"> 
 2.Click "ACCESSORIES" section.</t>
    </r>
  </si>
  <si>
    <t>The breadcrumb, number of items, and Filters &amp; Sort section should be visible and horizontally aligned on the "ACCESSORIES" page.</t>
  </si>
  <si>
    <t>Aw25_new_arrivals_55</t>
  </si>
  <si>
    <t>Verify that clicking on "ACCESSORIES" section displays the correct breadcrumb.</t>
  </si>
  <si>
    <r>
      <rPr>
        <u/>
        <sz val="10"/>
        <color rgb="FF0000FF"/>
        <rFont val="Calibri"/>
        <charset val="134"/>
      </rPr>
      <t xml:space="preserve">1.Go to </t>
    </r>
    <r>
      <rPr>
        <u/>
        <sz val="10"/>
        <color rgb="FF1155CC"/>
        <rFont val="Calibri"/>
        <charset val="134"/>
      </rPr>
      <t>https://ilyn.global/</t>
    </r>
    <r>
      <rPr>
        <sz val="10"/>
        <rFont val="Calibri"/>
        <charset val="134"/>
      </rPr>
      <t xml:space="preserve"> 
 2.Click "ACCESSORIES" section. 
 3.Check the breadcrumb.</t>
    </r>
  </si>
  <si>
    <t>Clicking on the "ACCESSORIES" section should display the correct breadcrumb indicating the user is in the "ACCESSORIES" category.</t>
  </si>
  <si>
    <t>Aw25_new_arrivals_56</t>
  </si>
  <si>
    <t>Verify that number of items product are visible with the image in "ACCESSORIES" webpage.</t>
  </si>
  <si>
    <r>
      <rPr>
        <u/>
        <sz val="10"/>
        <color rgb="FF0000FF"/>
        <rFont val="Calibri"/>
        <charset val="134"/>
      </rPr>
      <t xml:space="preserve">1.Go to </t>
    </r>
    <r>
      <rPr>
        <u/>
        <sz val="10"/>
        <color rgb="FF1155CC"/>
        <rFont val="Calibri"/>
        <charset val="134"/>
      </rPr>
      <t>https://ilyn.global/</t>
    </r>
    <r>
      <rPr>
        <sz val="10"/>
        <rFont val="Calibri"/>
        <charset val="134"/>
      </rPr>
      <t xml:space="preserve"> 
 2.Click "ACCESSORIES" section. 
 3.Check number of items match with number of product showed in the page.</t>
    </r>
  </si>
  <si>
    <t>Each product image should display correctly and the total number of items should match the displayed count on the "ACCESSORIES" page.</t>
  </si>
  <si>
    <t>Aw25_new_arrivals_57</t>
  </si>
  <si>
    <t>Verify that product name, Product Code and BDT are attached with every product image in "ACCESSORIES" section.</t>
  </si>
  <si>
    <r>
      <rPr>
        <u/>
        <sz val="10"/>
        <color rgb="FF0000FF"/>
        <rFont val="Calibri"/>
        <charset val="134"/>
      </rPr>
      <t xml:space="preserve">1.Go to </t>
    </r>
    <r>
      <rPr>
        <u/>
        <sz val="10"/>
        <color rgb="FF1155CC"/>
        <rFont val="Calibri"/>
        <charset val="134"/>
      </rPr>
      <t>https://ilyn.global/</t>
    </r>
    <r>
      <rPr>
        <sz val="10"/>
        <rFont val="Calibri"/>
        <charset val="134"/>
      </rPr>
      <t xml:space="preserve"> 
 2.Click "ACCESSORIES" section. 
 3.Check the image information.</t>
    </r>
  </si>
  <si>
    <t>Every product image in the "ACCESSORIES" section should have the product name, product code, and BDT price displayed correctly.</t>
  </si>
  <si>
    <t>MEN MENU</t>
  </si>
  <si>
    <t>men_menu_01</t>
  </si>
  <si>
    <t>Verify that "Sherwani", "Thobe", "Kabli", "Panjabi", "Waistcoats", "Shirts", "T-Shirts And Polos", "Jeans", "Joggers And L-Chinos", "Jackets And Outerwear", "Trousers And Chinos", "Essentials" section appears in "MEN" menu pages.</t>
  </si>
  <si>
    <t>Men Menu page</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</si>
  <si>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Observe the sections listed under the MEN menu</t>
    </r>
  </si>
  <si>
    <t>All the listed sections should be visible and properly displayed under the "MEN" menu.</t>
  </si>
  <si>
    <t>men_menu_02</t>
  </si>
  <si>
    <t>Verify that "Premium" &amp; "Platinum" variants are exist under "Sherwani" and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</si>
  <si>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Hover over or click "Sherwani" section 
 4. Observe variants "Premium" and "Platinum"</t>
    </r>
  </si>
  <si>
    <t>"Premium" and "Platinum" variants should be visible and clickable under "Sherwani".</t>
  </si>
  <si>
    <t>men_menu_03</t>
  </si>
  <si>
    <t>Verify that clicking on "Sherwani" section "Sherwani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</si>
  <si>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"Sherwani" section</t>
    </r>
  </si>
  <si>
    <t>Clicking "Sherwani" should navigate to the Sherwani category page without errors.</t>
  </si>
  <si>
    <t>men_menu_04</t>
  </si>
  <si>
    <t>Verify that Sherwani page shows only "Platinum" and "Sahara"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</si>
  <si>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"Sherwani" section 
 4. Observe displayed products</t>
    </r>
  </si>
  <si>
    <t>The Sherwani page should display only products belonging to "Platinum" and "Sahara" variants.</t>
  </si>
  <si>
    <t>men_menu_05</t>
  </si>
  <si>
    <t>Verify that "Premium", "Platinum" &amp; "Sahara" variants exist under "Thobe"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</si>
  <si>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Hover over or click "Thobe" section 
 4. Observe variants</t>
    </r>
  </si>
  <si>
    <t>"Premium", "Platinum", and "Sahara" variants should be visible and clickable under the Thobe section.</t>
  </si>
  <si>
    <t>men_menu_06</t>
  </si>
  <si>
    <t>Verify that clicking on "Thobe" section "Thobe"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</si>
  <si>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"Thobe" section</t>
    </r>
  </si>
  <si>
    <t>Clicking "Thobe" should navigate to the Thobe category page successfully.</t>
  </si>
  <si>
    <t>men_menu_07</t>
  </si>
  <si>
    <t>Verify that "Thobe" page shows only "Platinum", Premium and "Sahara"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</si>
  <si>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"Thobe" section 
 4. Observe displayed products</t>
    </r>
  </si>
  <si>
    <t>The Thobe page should display only products from "Platinum", "Premium", and "Sahara" variants.</t>
  </si>
  <si>
    <t>men_menu_08</t>
  </si>
  <si>
    <t>Verify that "Premium" &amp; "Platinum" variants exist under "Kabli"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</si>
  <si>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Hover over or click "Kabli" section 
 4. Observe variants</t>
    </r>
  </si>
  <si>
    <t>"Premium" and "Platinum" variants should be visible and clickable under the Kabli section.</t>
  </si>
  <si>
    <t>men_menu_09</t>
  </si>
  <si>
    <t>Verify that clicking on "Kabali" section "Kabali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</si>
  <si>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"Kabli" section</t>
    </r>
  </si>
  <si>
    <t>Clicking "Kabli" should navigate to the Kabli category page without errors.</t>
  </si>
  <si>
    <t>men_menu_10</t>
  </si>
  <si>
    <t>Verify that "Kabali page" shows only "Platinum" and "Sahara"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</si>
  <si>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"Kabli" section 
 4. Observe displayed products</t>
    </r>
  </si>
  <si>
    <t>The Kabli page should display only products belonging to "Platinum" and "Sahara" variants.</t>
  </si>
  <si>
    <t>men_menu_11</t>
  </si>
  <si>
    <t>Verify that "Premium", "Luxury", "Platinum", "Sahara", "Ambassador", "Legends" variants exist under "Punjabi" and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</si>
  <si>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Hover over or click "Punjabi" section 
 4. Observe all variants listed</t>
    </r>
  </si>
  <si>
    <t>All listed variants under "Punjabi" should be visible and clickable.</t>
  </si>
  <si>
    <t>men_menu_12</t>
  </si>
  <si>
    <t>Verify that clicking on "Punjabi" section "Panjabi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</si>
  <si>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"Punjabi" section</t>
    </r>
  </si>
  <si>
    <t>Clicking "Punjabi" should navigate to the Punjabi category page successfully.</t>
  </si>
  <si>
    <t>men_menu_13</t>
  </si>
  <si>
    <t>Verify that "Punjabi" page shows only "Premium", "Luxury", "Platinum", "Sahara", "Ambassador", "Legends"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</si>
  <si>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"Punjabi" section 
 4. Observe displayed products</t>
    </r>
  </si>
  <si>
    <t>The Punjabi page should display only products from the listed variants.</t>
  </si>
  <si>
    <t>men_menu_14</t>
  </si>
  <si>
    <t>Verify that "Premium", "Platinum" &amp; "Sahara" variants exist under "Waistcoats"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</si>
  <si>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Hover over or click "Waistcoats" section 
 4. Observe listed variants</t>
    </r>
  </si>
  <si>
    <t>"Premium", "Platinum", and "Sahara" variants should be visible and clickable under the Waistcoats section.</t>
  </si>
  <si>
    <t>men_menu_15</t>
  </si>
  <si>
    <t>Verify that clicking on "Waistcoats" section "Waistcoats"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</si>
  <si>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"Waistcoats" section</t>
    </r>
  </si>
  <si>
    <t>Clicking "Waistcoats" should navigate to the Waistcoats category page successfully.</t>
  </si>
  <si>
    <t>men_menu_16</t>
  </si>
  <si>
    <t>Verify that "Waistcoats" page shows only "Platinum" and "Sahara"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</si>
  <si>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"Waistcoats" section 
 4. Observe displayed products</t>
    </r>
  </si>
  <si>
    <t>The Waistcoats page should display only products from "Platinum" and "Sahara" variants.</t>
  </si>
  <si>
    <t>men_menu_17</t>
  </si>
  <si>
    <t>Verify that "Premium", "Luxury", "Platinum", "Exicutiv" and "Holiday Island" variants exist under "Shirts"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</si>
  <si>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Hover over or click "Shirts" section 
 4. Observe listed variants</t>
    </r>
  </si>
  <si>
    <t>All listed variants under "Shirts" should be visible and clickable.</t>
  </si>
  <si>
    <t>men_menu_18</t>
  </si>
  <si>
    <t>Verify that clicking on "Shirts" section "Shirts"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</si>
  <si>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"Shirts" section</t>
    </r>
  </si>
  <si>
    <t>Clicking "Shirts" should navigate to the Shirts category page successfully.</t>
  </si>
  <si>
    <t>men_menu_19</t>
  </si>
  <si>
    <t>Verify that "Shirts" page shows only "Premium", "Luxury", "Platinum", "Exicutiv" and "Holiday Island"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</si>
  <si>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"Shirts" section 
 4. Observe displayed products</t>
    </r>
  </si>
  <si>
    <t>The Shirts page should display only products from the listed variants.</t>
  </si>
  <si>
    <t>men_menu_20</t>
  </si>
  <si>
    <t>Verify that "Premium", "Luxury" variants exist under "T-Shirts And Polos"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</si>
  <si>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Hover over or click "T-Shirts And Polos" section 
 4. Observe variants</t>
    </r>
  </si>
  <si>
    <t>"Premium" and "Luxury" variants should be visible and clickable under the T-Shirts And Polos section.</t>
  </si>
  <si>
    <t>men_menu_21</t>
  </si>
  <si>
    <t>Verify that clicking on "T-Shirts And Polos" section "T-Shirts And Polos"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</si>
  <si>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"T-Shirts And Polos" section</t>
    </r>
  </si>
  <si>
    <t>Clicking "T-Shirts And Polos" should navigate to the T-Shirts And Polos category page successfully.</t>
  </si>
  <si>
    <t>men_menu_22</t>
  </si>
  <si>
    <t>Verify that "T-Shirts And Polos" shows only "Platinum" and "Sahara"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</si>
  <si>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"T-Shirts And Polos" section 
 4. Observe displayed products</t>
    </r>
  </si>
  <si>
    <t>The T-Shirts And Polos page should display only products from "Platinum" and "Sahara" variants.</t>
  </si>
  <si>
    <t>men_menu_23</t>
  </si>
  <si>
    <t>Verify that "Platinum", "Premium" &amp; "Max" variants exist under "Jeans"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</si>
  <si>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Hover over or click "Jeans" section 
 4. Observe variants</t>
    </r>
  </si>
  <si>
    <t>"Platinum", "Premium", and "Max" variants should be visible and clickable under the Jeans section.</t>
  </si>
  <si>
    <t>men_menu_24</t>
  </si>
  <si>
    <t>Verify that "Jeans" page shows only "Platinum", "Premium" &amp; "Max"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</si>
  <si>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"Jeans" section 
 4. Observe displayed products</t>
    </r>
  </si>
  <si>
    <t>The Jeans page should display only products from "Platinum", "Premium", and "Max" variants.</t>
  </si>
  <si>
    <t>men_menu_25</t>
  </si>
  <si>
    <t>Verify that clicking on "Jeans" section "Jeans"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</si>
  <si>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"Jeans" section</t>
    </r>
  </si>
  <si>
    <t>Clicking "Jeans" should navigate to the Jeans category page successfully.</t>
  </si>
  <si>
    <t>men_menu_26</t>
  </si>
  <si>
    <t>Verify that "Jeans" shows only "Platinum", "Premium" &amp; "Max" variants product</t>
  </si>
  <si>
    <t>men_menu_27</t>
  </si>
  <si>
    <t>Verify that "Premium" &amp; "Max" variants exist under "Joggers And L-Chinos"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</si>
  <si>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Hover over or click "Joggers And L-Chinos" section 
 4. Observe variants</t>
    </r>
  </si>
  <si>
    <t>"Premium" and "Max" variants should be visible and clickable under the Joggers And L-Chinos section.</t>
  </si>
  <si>
    <t>men_menu_28</t>
  </si>
  <si>
    <t>Verify that clicking on "Joggers And L-Chinos" section "Joggers And L-Chinos"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</si>
  <si>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"Joggers And L-Chinos" section</t>
    </r>
  </si>
  <si>
    <t>Clicking "Joggers And L-Chinos" should navigate to the Joggers And L-Chinos category page successfully.</t>
  </si>
  <si>
    <t>men_menu_29</t>
  </si>
  <si>
    <t>Verify that "Joggers And L-Chinos" shows only "Platinum" &amp; "Max"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</si>
  <si>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"Joggers And L-Chinos" section 
 4. Observe displayed products</t>
    </r>
  </si>
  <si>
    <t>The Joggers And L-Chinos page should display only products from "Platinum" and "Max" variants.</t>
  </si>
  <si>
    <t>men_menu_30</t>
  </si>
  <si>
    <t>Verify that "Premium", "Platinum" &amp; "Max" variants exist under "Jackets And Outerwear"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</si>
  <si>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Hover over or click "Jackets And Outerwear" section 
 4. Observe variants</t>
    </r>
  </si>
  <si>
    <t>"Premium", "Platinum", and "Max" variants should be visible and clickable under the Jackets And Outerwear section.</t>
  </si>
  <si>
    <t>men_menu_31</t>
  </si>
  <si>
    <t>Verify that clicking on "Jackets And Outerwear" section "Jackets And Outerwear"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</si>
  <si>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"Jackets And Outerwear" section</t>
    </r>
  </si>
  <si>
    <t>Clicking "Jackets And Outerwear" should navigate to the Jackets And Outerwear category page successfully.</t>
  </si>
  <si>
    <t>men_menu_32</t>
  </si>
  <si>
    <t>Verify that "Jackets And Outerwear" shows only "Platinum", "Premium" &amp; "Max"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</si>
  <si>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"Jackets And Outerwear" section 
 4. Observe displayed products</t>
    </r>
  </si>
  <si>
    <t>The Jackets And Outerwear page should display only products from "Platinum", "Premium", and "Max" variants.</t>
  </si>
  <si>
    <t>men_menu_33</t>
  </si>
  <si>
    <t>Verify that "Premium", "Luxury", "Platinum", "Max" &amp; "Exicutiv" variants exist under "Trousers And Chinos"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</si>
  <si>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Hover over or click "Trousers And Chinos" section 
 4. Observe variants</t>
    </r>
  </si>
  <si>
    <t>All listed variants under "Trousers And Chinos" should be visible and clickable.</t>
  </si>
  <si>
    <t>men_menu_34</t>
  </si>
  <si>
    <t>Verify that clicking on "Trousers And Chinos" section "Trousers And Chinos"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</si>
  <si>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"Trousers And Chinos" section</t>
    </r>
  </si>
  <si>
    <t>Clicking "Trousers And Chinos" should navigate to the Trousers And Chinos category page successfully.</t>
  </si>
  <si>
    <t>men_menu_35</t>
  </si>
  <si>
    <t>Verify that "Trousers And Chinos" shows only "Premium", "Luxury", "Platinum", "Max" &amp; "Exicutiv"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</si>
  <si>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"Trousers And Chinos" section 
 4. Observe displayed products</t>
    </r>
  </si>
  <si>
    <t>The Trousers And Chinos page should display only products from "Premium", "Luxury", "Platinum", "Max", and "Exicutiv" variants.</t>
  </si>
  <si>
    <t>men_menu_36</t>
  </si>
  <si>
    <t>Verify that "Innerwear" variants exist under "Essentials"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</si>
  <si>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Hover over or click "Essentials" section 
 4. Observe variants</t>
    </r>
  </si>
  <si>
    <t>"Innerwear" variants should be visible and clickable under the Essentials section.</t>
  </si>
  <si>
    <t>men_menu_37</t>
  </si>
  <si>
    <t>Verify that clicking on "Essentials" section "Essentials"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</si>
  <si>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"Essentials" section</t>
    </r>
  </si>
  <si>
    <t>Clicking "Essentials" should navigate to the Essentials category page successfully.</t>
  </si>
  <si>
    <t>men_menu_38</t>
  </si>
  <si>
    <t>Verify that "Essentials" shows only "Innerwear" variant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</si>
  <si>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"MEN" menu 
 3. Click "Essentials" section 
 4. Observe displayed products</t>
    </r>
  </si>
  <si>
    <t>The Essentials page should display only products from the "Innerwear" variant.</t>
  </si>
  <si>
    <t>WOMEN MENU</t>
  </si>
  <si>
    <t>women_menu_01</t>
  </si>
  <si>
    <t>Verify that "Abaya", "Tops", "Co-ords Dress Set", "Scarf", "Trousers", "Accessories", "Footwear", "Essentials" section appears in "WOMEN" menu pages.</t>
  </si>
  <si>
    <t>Women Menu Page</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</si>
  <si>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Observe the sections listed under the WOMEN menu</t>
    </r>
  </si>
  <si>
    <t>All the listed sections should be visible and properly displayed under the "WOMEN" menu.</t>
  </si>
  <si>
    <t>women_menu_02</t>
  </si>
  <si>
    <t>Verify that "Premium", "Luxury", "Platinum", "Sahara" and "Benazir Esita" variants exist under "Abaya"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</si>
  <si>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Hover over or click "Abaya" section 
 4. Observe variants</t>
    </r>
  </si>
  <si>
    <t>All listed variants under "Abaya" should be visible and clickable.</t>
  </si>
  <si>
    <t>women_menu_03</t>
  </si>
  <si>
    <t>Verify that clicking on "Abaya" section "Abaya"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</si>
  <si>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Click "Abaya" section</t>
    </r>
  </si>
  <si>
    <t>Clicking "Abaya" should navigate to the Abaya category page successfully.</t>
  </si>
  <si>
    <t>women_menu_04</t>
  </si>
  <si>
    <t>Verify that "Abaya" page shows only "Premium", "Luxury", "Platinum","Sahara" ,"Benazir Esita"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</si>
  <si>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Click "Abaya" section 
 4. Observe displayed products</t>
    </r>
  </si>
  <si>
    <t>The Abaya page should display only products from "Premium", "Luxury", "Platinum","Sahara", and "Benazir Esita" variants.</t>
  </si>
  <si>
    <t>women_menu_05</t>
  </si>
  <si>
    <t>Verify that "Premium", "Luxury" &amp; "Benazir Esita" variants exist under "Tops"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</si>
  <si>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Hover over or click "Tops" section 
 4. Observe variants</t>
    </r>
  </si>
  <si>
    <t>"Premium", "Luxury", and "Benazir Esita" variants should be visible and clickable under the Tops section.</t>
  </si>
  <si>
    <t>women_menu_06</t>
  </si>
  <si>
    <t>Verify that clicking on "Tops" section "Tops"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</si>
  <si>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Click "Tops" section</t>
    </r>
  </si>
  <si>
    <t>Clicking "Tops" should navigate to the Tops category page successfully.</t>
  </si>
  <si>
    <t>women_menu_07</t>
  </si>
  <si>
    <t>Verify that "Tops" page shows only "Premium", "Luxury" &amp; "Benazir Esita"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</si>
  <si>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Click "Tops" section 
 4. Observe displayed products</t>
    </r>
  </si>
  <si>
    <t>The Tops page should display only products from "Premium", "Luxury", and "Benazir Esita" variants.</t>
  </si>
  <si>
    <t>women_menu_08</t>
  </si>
  <si>
    <t>Verify that "Luxury" &amp; "Premium" variants exist under "Co-ords Dress Set"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</si>
  <si>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Hover over or click "Co-ords Dress Set" section 
 4. Observe variants</t>
    </r>
  </si>
  <si>
    <t>"Luxury" and "Premium" variants should be visible and clickable under the Co-ords Dress Set section.</t>
  </si>
  <si>
    <t>women_menu_09</t>
  </si>
  <si>
    <t>Verify that clicking on "Co-ords Dress Set" section "Co-ords Dress Set"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</si>
  <si>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Click "Co-ords Dress Set" section</t>
    </r>
  </si>
  <si>
    <t>Clicking "Co-ords Dress Set" should navigate to the Co-ords Dress Set category page successfully.</t>
  </si>
  <si>
    <t>women_menu_10</t>
  </si>
  <si>
    <t>Verify that "Co-ords Dress Set" page shows only "Luxury" &amp; "Premium"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</si>
  <si>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Click "Co-ords Dress Set" section 
 4. Observe displayed products</t>
    </r>
  </si>
  <si>
    <t>The Co-ords Dress Set page should display only products from "Luxury" and "Premium" variants.</t>
  </si>
  <si>
    <t>women_menu_11</t>
  </si>
  <si>
    <t>Verify that "Premium", "Luxury", "Sahara" &amp; "Benazir Esita" variants exist under "Scarf"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</si>
  <si>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Hover over or click "Scarf" section 
 4. Observe variants</t>
    </r>
  </si>
  <si>
    <t>All listed variants under "Scarf" should be visible and clickable.</t>
  </si>
  <si>
    <t>women_menu_12</t>
  </si>
  <si>
    <t>Verify that clicking on "Scarf" section "Scarf"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</si>
  <si>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Click "Scarf" section</t>
    </r>
  </si>
  <si>
    <t>Clicking "Scarf" should navigate to the Scarf category page successfully.</t>
  </si>
  <si>
    <t>women_menu_13</t>
  </si>
  <si>
    <t>Verify that "Scarf" page shows only "Premium", "Luxury", "Sahara" &amp; "Benazir Esita"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</si>
  <si>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Click "Scarf" section 
 4. Observe displayed products</t>
    </r>
  </si>
  <si>
    <t>The Scarf page should display only products from "Premium", "Luxury", "Sahara", and "Benazir Esita" variants.</t>
  </si>
  <si>
    <t>women_menu_14</t>
  </si>
  <si>
    <t>Verify that "Platinum" &amp; "Premium" variants exist under "Trousers"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</si>
  <si>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Hover over or click "Trousers" section 
 4. Observe variants</t>
    </r>
  </si>
  <si>
    <t>"Platinum" and "Premium" variants should be visible and clickable under the Trousers section.</t>
  </si>
  <si>
    <t>women_menu_15</t>
  </si>
  <si>
    <t>Verify that clicking on "Trousers" section "Trousers"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</si>
  <si>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Click "Trousers" section</t>
    </r>
  </si>
  <si>
    <t>Clicking "Trousers" should navigate to the Trousers category page successfully.</t>
  </si>
  <si>
    <t>women_menu_16</t>
  </si>
  <si>
    <t>Verify that "Trousers" page shows only "Platinum" &amp; "Premium"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</si>
  <si>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Click "Trousers" section 
 4. Observe displayed products</t>
    </r>
  </si>
  <si>
    <t>The Trousers page should display only products from "Platinum" and "Premium" variants.</t>
  </si>
  <si>
    <t>women_menu_17</t>
  </si>
  <si>
    <t>Verify that "Innerwear" variants exist under "Essentials"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</si>
  <si>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Hover over or click "Essentials" section 
 4. Observe variants</t>
    </r>
  </si>
  <si>
    <t>women_menu_18</t>
  </si>
  <si>
    <t>Verify that clicking on "Essentials" section "Essentials"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</si>
  <si>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Click "Essentials" section</t>
    </r>
  </si>
  <si>
    <t>women_menu_19</t>
  </si>
  <si>
    <t>Verify that "Essentials" page shows only "Innerwear" variant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</si>
  <si>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"WOMEN" menu 
 3. Click "Essentials" section 
 4. Observe displayed products</t>
    </r>
  </si>
  <si>
    <t>KIDS MENU</t>
  </si>
  <si>
    <t>kids_menu_-01</t>
  </si>
  <si>
    <t>Verify that "Panjabi", "Waistcoats", "Shirts", "Panjabi With Waistcoat Set", "Father and Son Collection", "T-shirts And Polos", "Abaya", "Tops", "Dress" section appears in "KIDS" menu pages and clickable</t>
  </si>
  <si>
    <t>Kids Menu Page</t>
  </si>
  <si>
    <r>
      <rPr>
        <u/>
        <sz val="10"/>
        <color rgb="FF0000FF"/>
        <rFont val="Calibri"/>
        <charset val="134"/>
      </rPr>
      <t xml:space="preserve">1. Go to </t>
    </r>
    <r>
      <rPr>
        <u/>
        <sz val="10"/>
        <color rgb="FF1155CC"/>
        <rFont val="Calibri"/>
        <charset val="134"/>
      </rPr>
      <t>https://ilyn.global/</t>
    </r>
    <r>
      <rPr>
        <sz val="10"/>
        <rFont val="Calibri"/>
        <charset val="134"/>
      </rPr>
      <t xml:space="preserve"> 
 2. Click "KIDS" menu 
 3. Observe all sections under the KIDS menu</t>
    </r>
  </si>
  <si>
    <t>All listed sections should be visible and clickable under the KIDS menu.</t>
  </si>
  <si>
    <t>kids_menu_-02</t>
  </si>
  <si>
    <t>Verify that clicking on "Panjabi" section "Panjabi"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</si>
  <si>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"KIDS" menu 
 3. Click "Panjabi" section</t>
    </r>
  </si>
  <si>
    <t>Clicking "Panjabi" should navigate to the Panjabi category page successfully.</t>
  </si>
  <si>
    <t>kids_menu_-03</t>
  </si>
  <si>
    <t>Verify that "Panjabi" page shows only "Panjabi"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</si>
  <si>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"KIDS" menu 
 3. Click "Panjabi" section 
 4. Observe displayed products</t>
    </r>
  </si>
  <si>
    <t>The Panjabi page should display only Panjabi-type products.</t>
  </si>
  <si>
    <t>kids_menu_-04</t>
  </si>
  <si>
    <r>
      <rPr>
        <u/>
        <sz val="10"/>
        <color rgb="FF0000FF"/>
        <rFont val="Calibri"/>
        <charset val="134"/>
      </rPr>
      <t xml:space="preserve">1. Go to </t>
    </r>
    <r>
      <rPr>
        <u/>
        <sz val="10"/>
        <color rgb="FF1155CC"/>
        <rFont val="Calibri"/>
        <charset val="134"/>
      </rPr>
      <t>https://ilyn.global/</t>
    </r>
    <r>
      <rPr>
        <sz val="10"/>
        <rFont val="Calibri"/>
        <charset val="134"/>
      </rPr>
      <t xml:space="preserve"> 
 2. Click "KIDS" menu 
 3. Click "Waistcoats" section</t>
    </r>
  </si>
  <si>
    <t>kids_menu_-05</t>
  </si>
  <si>
    <t>Verify that "Waistcoats" page shows only "Waistcoats"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</si>
  <si>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"KIDS" menu 
 3. Click "Waistcoats" section 
 4. Observe displayed products</t>
    </r>
  </si>
  <si>
    <t>The Waistcoats page should display only Waistcoat-type products.</t>
  </si>
  <si>
    <t>kids_menu_-06</t>
  </si>
  <si>
    <r>
      <rPr>
        <u/>
        <sz val="10"/>
        <color rgb="FF0000FF"/>
        <rFont val="Calibri"/>
        <charset val="134"/>
      </rPr>
      <t xml:space="preserve">1. Go to </t>
    </r>
    <r>
      <rPr>
        <u/>
        <sz val="10"/>
        <color rgb="FF1155CC"/>
        <rFont val="Calibri"/>
        <charset val="134"/>
      </rPr>
      <t>https://ilyn.global/</t>
    </r>
    <r>
      <rPr>
        <sz val="10"/>
        <rFont val="Calibri"/>
        <charset val="134"/>
      </rPr>
      <t xml:space="preserve"> 
 2. Click "KIDS" menu 
 3. Click "Shirts" section</t>
    </r>
  </si>
  <si>
    <t>kids_menu_-07</t>
  </si>
  <si>
    <t>Verify that "Shirts" page shows only "Shirts"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</si>
  <si>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"KIDS" menu 
 3. Click "Shirts" section 
 4. Observe displayed products</t>
    </r>
  </si>
  <si>
    <t>The Shirts page should display only Shirts-type products.</t>
  </si>
  <si>
    <t>kids_menu_-08</t>
  </si>
  <si>
    <t>Verify that clicking on "Panjabi With Waistcoat Set" section "Panjabi With Waistcoat Set"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</si>
  <si>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"KIDS" menu 
 3. Click "Panjabi With Waistcoat Set" section</t>
    </r>
  </si>
  <si>
    <t>Clicking "Panjabi With Waistcoat Set" should navigate to that category page successfully.</t>
  </si>
  <si>
    <t>kids_menu_-09</t>
  </si>
  <si>
    <t>Verify that "Panjabi With Waistcoat Set" page shows only "Panjabi With Waistcoat Set"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</si>
  <si>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"KIDS" menu 
 3. Click "Panjabi With Waistcoat Set" section 
 4. Observe displayed products</t>
    </r>
  </si>
  <si>
    <t>The Panjabi With Waistcoat Set page should display only products of that variant.</t>
  </si>
  <si>
    <t>kids_menu_-10</t>
  </si>
  <si>
    <r>
      <rPr>
        <u/>
        <sz val="10"/>
        <color rgb="FF0000FF"/>
        <rFont val="Calibri"/>
        <charset val="134"/>
      </rPr>
      <t xml:space="preserve">1. Go to </t>
    </r>
    <r>
      <rPr>
        <u/>
        <sz val="10"/>
        <color rgb="FF1155CC"/>
        <rFont val="Calibri"/>
        <charset val="134"/>
      </rPr>
      <t>https://ilyn.global/</t>
    </r>
    <r>
      <rPr>
        <sz val="10"/>
        <rFont val="Calibri"/>
        <charset val="134"/>
      </rPr>
      <t xml:space="preserve"> 
 2. Click "KIDS" menu 
 3. Observe all sections</t>
    </r>
  </si>
  <si>
    <t>kids_menu_-11</t>
  </si>
  <si>
    <t>kids_menu_-12</t>
  </si>
  <si>
    <t>kids_menu_-13</t>
  </si>
  <si>
    <t>kids_menu_-14</t>
  </si>
  <si>
    <t>kids_menu_-15</t>
  </si>
  <si>
    <t>kids_menu_-16</t>
  </si>
  <si>
    <t>kids_menu_-17</t>
  </si>
  <si>
    <t>kids_menu_-18</t>
  </si>
  <si>
    <t>kids_menu_-19</t>
  </si>
  <si>
    <t>kids_menu_-20</t>
  </si>
  <si>
    <t>kids_menu_-21</t>
  </si>
  <si>
    <t>kids_menu_-22</t>
  </si>
  <si>
    <t>kids_menu_-23</t>
  </si>
  <si>
    <t>kids_menu_-24</t>
  </si>
  <si>
    <t>kids_menu_-25</t>
  </si>
  <si>
    <t>kids_menu_-26</t>
  </si>
  <si>
    <t>kids_menu_-27</t>
  </si>
  <si>
    <t>kids_menu_-28</t>
  </si>
  <si>
    <t>kids_menu_-29</t>
  </si>
  <si>
    <t>kids_menu_-30</t>
  </si>
  <si>
    <t>FRAGRANCE MENU</t>
  </si>
  <si>
    <t>fragrance_menu_01</t>
  </si>
  <si>
    <t>Verify that "All Fragrance", "Premium", "Luxury", "Al Haramain" section appears in "FRAGRANCE" menu page and clickable</t>
  </si>
  <si>
    <t>Fragrance Menu Page</t>
  </si>
  <si>
    <r>
      <rPr>
        <u/>
        <sz val="10"/>
        <color rgb="FF0000FF"/>
        <rFont val="Calibri"/>
        <charset val="134"/>
      </rPr>
      <t xml:space="preserve">1. Go to </t>
    </r>
    <r>
      <rPr>
        <u/>
        <sz val="10"/>
        <color rgb="FF1155CC"/>
        <rFont val="Calibri"/>
        <charset val="134"/>
      </rPr>
      <t>https://ilyn.global/</t>
    </r>
    <r>
      <rPr>
        <sz val="10"/>
        <rFont val="Calibri"/>
        <charset val="134"/>
      </rPr>
      <t xml:space="preserve"> 
 2. Click "FRAGRANCE" menu 
 3. Observe all sections listed under FRAGRANCE menu</t>
    </r>
  </si>
  <si>
    <t>All sections "All Fragrance", "Premium", "Luxury", "Al Haramain" should be visible and clickable.</t>
  </si>
  <si>
    <t>fragrance_menu_02</t>
  </si>
  <si>
    <t>Verify that clicking on "All Fragrance" section "All Fragrance"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</si>
  <si>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"FRAGRANCE" menu 
 3. Click "All Fragrance" section</t>
    </r>
  </si>
  <si>
    <t>Clicking "All Fragrance" should navigate to the All Fragrance page successfully.</t>
  </si>
  <si>
    <t>fragrance_menu_03</t>
  </si>
  <si>
    <t>Verify that clicking on "All Fragrance" section shows all the product of "Premium", "Luxury", "Al Haramain" section</t>
  </si>
  <si>
    <r>
      <rPr>
        <u/>
        <sz val="10"/>
        <color rgb="FF0000FF"/>
        <rFont val="Calibri"/>
        <charset val="134"/>
      </rPr>
      <t xml:space="preserve">1. Go to </t>
    </r>
    <r>
      <rPr>
        <u/>
        <sz val="10"/>
        <color rgb="FF1155CC"/>
        <rFont val="Calibri"/>
        <charset val="134"/>
      </rPr>
      <t>https://ilyn.global/</t>
    </r>
    <r>
      <rPr>
        <sz val="10"/>
        <rFont val="Calibri"/>
        <charset val="134"/>
      </rPr>
      <t xml:space="preserve"> 
 2. Click "FRAGRANCE" menu 
 3. Click "All Fragrance" section 
 4. Observe displayed products</t>
    </r>
  </si>
  <si>
    <t>The All Fragrance page should display all products from "Premium", "Luxury", and "Al Haramain" variants.</t>
  </si>
  <si>
    <t>fragrance_menu_04</t>
  </si>
  <si>
    <t>Verify that clicking on "Premium" section "Premium"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</si>
  <si>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"FRAGRANCE" menu 
 3. Click "Premium" section</t>
    </r>
  </si>
  <si>
    <t>Clicking "Premium" should navigate to the Premium page successfully.</t>
  </si>
  <si>
    <t>fragrance_menu_05</t>
  </si>
  <si>
    <t>Verify that "Premium" page shows only "Premium"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</si>
  <si>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"FRAGRANCE" menu 
 3. Click "Premium" section 
 4. Observe displayed products</t>
    </r>
  </si>
  <si>
    <t>The Premium page should display only products belonging to the "Premium" variant.</t>
  </si>
  <si>
    <t>fragrance_menu_06</t>
  </si>
  <si>
    <t>Verify that clicking on "Luxury" section "Luxury"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</si>
  <si>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"FRAGRANCE" menu 
 3. Click "Luxury" section</t>
    </r>
  </si>
  <si>
    <t>Clicking "Luxury" should navigate to the Luxury page successfully.</t>
  </si>
  <si>
    <t>fragrance_menu_07</t>
  </si>
  <si>
    <t>Verify that "Luxury" page shows only "Luxury"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</si>
  <si>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"FRAGRANCE" menu 
 3. Click "Luxury" section 
 4. Observe displayed products</t>
    </r>
  </si>
  <si>
    <t>The Luxury page should display only products belonging to the "Luxury" variant.</t>
  </si>
  <si>
    <t>fragrance_menu_08</t>
  </si>
  <si>
    <t>Verify that clicking on "Al Haramain" section "Al Haramain"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</si>
  <si>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"FRAGRANCE" menu 
 3. Click "Al Haramain" section</t>
    </r>
  </si>
  <si>
    <t>Clicking "Al Haramain" should navigate to the Al Haramain page successfully.</t>
  </si>
  <si>
    <t>fragrance_menu_09</t>
  </si>
  <si>
    <t>Verify that "Al Haramain" page shows only "Al Haramain"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</si>
  <si>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"FRAGRANCE" menu 
 3. Click "Al Haramain" section 
 4. Observe displayed products</t>
    </r>
  </si>
  <si>
    <t>The Al Haramain page should display only products belonging to the "Al Haramain" variant.</t>
  </si>
  <si>
    <t>ACCESSORIES MENU</t>
  </si>
  <si>
    <t>accessories_menu_01</t>
  </si>
  <si>
    <t>Verify that "All Accessories", "Bags", "Home Decor", "Watches", "Wallets", "Cardholder", "Prayer Caps", "Handbags", "Clutch", "Prayer Mats", "Button Set", "Rings", "Belt", "Bed Sheet" section appears in "ACCESSORIES" menu page and clickable</t>
  </si>
  <si>
    <t>Accessories Menu Page</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</si>
  <si>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Observe all listed sections under ACCESSORIES menu</t>
    </r>
  </si>
  <si>
    <t>All listed sections should be visible and clickable under ACCESSORIES menu.</t>
  </si>
  <si>
    <t>accessories_menu_02</t>
  </si>
  <si>
    <t>Verify that clicking on "All ACCESSORIES" section "All ACCESSORIES"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</si>
  <si>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"All Accessories" section</t>
    </r>
  </si>
  <si>
    <t>Clicking "All Accessories" should navigate to the All Accessories page successfully.</t>
  </si>
  <si>
    <t>accessories_menu_03</t>
  </si>
  <si>
    <t>Verify that clicking on "All Accessories" section shows all the product of "All Accessories", "Bags", "Home Decor", "Watches", "Wallets", "Cardholder", "Prayer Caps", "Handbags", "Clutch", "Prayer Mats", "Button Set", "Rings", "Belt", "Bed Sheet" section</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</si>
  <si>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"All Accessories" section 
 4. Observe all products</t>
    </r>
  </si>
  <si>
    <t>All products from all listed sections should be displayed correctly.</t>
  </si>
  <si>
    <t>accessories_menu_04</t>
  </si>
  <si>
    <t>Verify that clicking on "Bags" section "Bags"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</si>
  <si>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"Bags" section</t>
    </r>
  </si>
  <si>
    <t>Clicking "Bags" should navigate to the Bags category page successfully.</t>
  </si>
  <si>
    <t>accessories_menu_05</t>
  </si>
  <si>
    <t>Verify that "Bags" page shows only "Bags"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</si>
  <si>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"Bags" section 
 4. Observe displayed products</t>
    </r>
  </si>
  <si>
    <t>The Bags page should display only products of the Bags type.</t>
  </si>
  <si>
    <t>accessories_menu_06</t>
  </si>
  <si>
    <t>Verify that clicking on "Home Decor" section "Home Decor"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</si>
  <si>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"Home Decor" section</t>
    </r>
  </si>
  <si>
    <t>Clicking "Home Decor" should navigate to the Home Decor page successfully.</t>
  </si>
  <si>
    <t>accessories_menu_07</t>
  </si>
  <si>
    <t>Verify that "Home Decor" page shows only "Home Decor"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</si>
  <si>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"Home Decor" section 
 4. Observe displayed products</t>
    </r>
  </si>
  <si>
    <t>The Home Decor page should display only Home Decor products.</t>
  </si>
  <si>
    <t>accessories_menu_08</t>
  </si>
  <si>
    <t>Verify that clicking on "Watches" section "Watches"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</si>
  <si>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"Watches" section</t>
    </r>
  </si>
  <si>
    <t>Clicking "Watches" should navigate to the Watches page successfully.</t>
  </si>
  <si>
    <t>accessories_menu_09</t>
  </si>
  <si>
    <t>Verify that "Watches" page shows only "Watches"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</si>
  <si>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"Watches" section 
 4. Observe displayed products</t>
    </r>
  </si>
  <si>
    <t>The Watches page should display only Watches products.</t>
  </si>
  <si>
    <t>accessories_menu_10</t>
  </si>
  <si>
    <t>Verify that clicking on "Wallets" section "Wallets"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</si>
  <si>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"Wallets" section</t>
    </r>
  </si>
  <si>
    <t>Clicking "Wallets" should navigate to the Wallets page successfully.</t>
  </si>
  <si>
    <t>accessories_menu_11</t>
  </si>
  <si>
    <t>Verify that "Wallets" page shows only "Wallets"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</si>
  <si>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"Wallets" section 
 4. Observe displayed products</t>
    </r>
  </si>
  <si>
    <t>The Wallets page should display only Wallets products.</t>
  </si>
  <si>
    <t>accessories_menu_12</t>
  </si>
  <si>
    <t>Verify that clicking on "Cardholder" section "Cardholder"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</si>
  <si>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"Cardholder" section</t>
    </r>
  </si>
  <si>
    <t>Clicking "Cardholder" should navigate to the Cardholder page successfully.</t>
  </si>
  <si>
    <t>accessories_menu_13</t>
  </si>
  <si>
    <t>Verify that "Cardholder" page shows only "Cardholder"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</si>
  <si>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"Cardholder" section 
 4. Observe displayed products</t>
    </r>
  </si>
  <si>
    <t>The Cardholder page should display only Cardholder products.</t>
  </si>
  <si>
    <t>accessories_menu_14</t>
  </si>
  <si>
    <t>Verify that clicking on "Prayer Caps" section "Prayer Caps"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</si>
  <si>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"Prayer Caps" section</t>
    </r>
  </si>
  <si>
    <t>Clicking "Prayer Caps" should navigate to the Prayer Caps page successfully.</t>
  </si>
  <si>
    <t>accessories_menu_15</t>
  </si>
  <si>
    <t>Verify that "Prayer Caps" page shows only "Prayer Caps"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</si>
  <si>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"Prayer Caps" section 
 4. Observe displayed products</t>
    </r>
  </si>
  <si>
    <t>The Prayer Caps page should display only Prayer Caps products.</t>
  </si>
  <si>
    <t>accessories_menu_16</t>
  </si>
  <si>
    <t>Verify that clicking on "Handbags" section "Handbags"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</si>
  <si>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"Handbags" section</t>
    </r>
  </si>
  <si>
    <t>Clicking "Handbags" should navigate to the Handbags page successfully.</t>
  </si>
  <si>
    <t>accessories_menu_17</t>
  </si>
  <si>
    <t>Verify that "Handbags" page shows only "Handbags" type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</si>
  <si>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"ACCESSORIES" menu 
 3. Click "Handbags" section 
 4. Observe displayed products</t>
    </r>
  </si>
  <si>
    <t>The Handbags page should display only Handbags products.</t>
  </si>
  <si>
    <t>accessories_menu_18</t>
  </si>
  <si>
    <t>accessories_menu_19</t>
  </si>
  <si>
    <t>accessories_menu_20</t>
  </si>
  <si>
    <t>accessories_menu_21</t>
  </si>
  <si>
    <t>Clicking "Bags" should navigate to the Bags page successfully.</t>
  </si>
  <si>
    <t>accessories_menu_22</t>
  </si>
  <si>
    <t>The Bags page should display only Bags products.</t>
  </si>
  <si>
    <t>accessories_menu_23</t>
  </si>
  <si>
    <t>accessories_menu_24</t>
  </si>
  <si>
    <t>accessories_menu_25</t>
  </si>
  <si>
    <t>accessories_menu_26</t>
  </si>
  <si>
    <t>accessories_menu_27</t>
  </si>
  <si>
    <t>accessories_menu_28</t>
  </si>
  <si>
    <t>accessories_menu_29</t>
  </si>
  <si>
    <t>accessories_menu_30</t>
  </si>
  <si>
    <t>accessories_menu_31</t>
  </si>
  <si>
    <t>FURNITURE MENU</t>
  </si>
  <si>
    <t>furniture_menu_01</t>
  </si>
  <si>
    <t>Verify that "All Accessories", "All Products", "Luxury", "Premium", "Business", "Industriè" section exists under "Furniture" menu page and clickable</t>
  </si>
  <si>
    <t>Furniture Menu page</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</si>
  <si>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Observe the sections listed under Furniture</t>
    </r>
  </si>
  <si>
    <t>All listed sections should be visible and clickable under the Furniture menu.</t>
  </si>
  <si>
    <t>furniture_menu_02</t>
  </si>
  <si>
    <t>Verify that "Bed", "Bedside Table", "Dressing Table", "Wardrobe", "Chest Of Drawers", "TV Cabinet", "Showcase", "Tea Trolley", "Executive Table", "Workstation", "Cpu Cabinet", "Bookshelf", "Reading Table" variants exist under "All Products"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</si>
  <si>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Hover over or click "All Products" section 
 4. Observe variants</t>
    </r>
  </si>
  <si>
    <t>All listed variants should be visible and clickable under the "All Products" section.</t>
  </si>
  <si>
    <t>furniture_menu_03</t>
  </si>
  <si>
    <t>Verify that clicking on "All Products" section "All Products"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</si>
  <si>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Click "All Products" section</t>
    </r>
  </si>
  <si>
    <t>Clicking "All Products" should navigate to the All Products category page successfully.</t>
  </si>
  <si>
    <t>furniture_menu_04</t>
  </si>
  <si>
    <t>Verify that "All Products" page shows only "Bed", "Bedside Table", "Dressing Table", "Wardrobe", "Chest Of Drawers", "TV Cabinet", "Showcase", "Tea Trolley", "Executive Table", "Workstation", "Cpu Cabinet", "Bookshelf", "Reading Table"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</si>
  <si>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Click "All Products" section 
 4. Observe displayed products</t>
    </r>
  </si>
  <si>
    <t>The All Products page should display only the listed variants.</t>
  </si>
  <si>
    <t>furniture_menu_05</t>
  </si>
  <si>
    <t>Verify that "Luxury", "Skynoma", "Stellar", "Credence", "Artline", "Serene", "Avalona", "Tessella", "Lumen", "Cascada", "Skyline", "Minnora" variants exist under "Luxury"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</si>
  <si>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Hover over or click "Luxury" section 
 4. Observe variants</t>
    </r>
  </si>
  <si>
    <t>All listed variants should be visible and clickable under the Luxury section.</t>
  </si>
  <si>
    <t>furniture_menu_06</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</si>
  <si>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Click "Luxury" section</t>
    </r>
  </si>
  <si>
    <t>Clicking "Luxury" should navigate to the Luxury category page successfully.</t>
  </si>
  <si>
    <t>furniture_menu_07</t>
  </si>
  <si>
    <t>Verify that "Luxury" page shows only "Luxury", "Skynoma", "Stellar", "Credence", "Artline", "Serene", "Avalona", "Tessella", "Lumen", "Cascada", "Skyline", "Minnora"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</si>
  <si>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Click "Luxury" section 
 4. Observe displayed products</t>
    </r>
  </si>
  <si>
    <t>The Luxury page should display only the listed variants.</t>
  </si>
  <si>
    <t>furniture_menu_08</t>
  </si>
  <si>
    <t>Verify that "Premium", "Nimbus", "Atelio", "Origo", "Eklive", "Vertex", "Vesper", "Sylva", "Axis", "Ferrera", "Arcana", "Aurora", "Vista", "Riviera", "Verto", "Astral", "Arbor", "Nuvanta", "Primo", "Novo", "Auresta" variants exist under "Premium"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</si>
  <si>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Hover over or click "Premium" section 
 4. Observe variants</t>
    </r>
  </si>
  <si>
    <t>All listed variants should be visible and clickable under the Premium section.</t>
  </si>
  <si>
    <t>furniture_menu_09</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</si>
  <si>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Click "Premium" section</t>
    </r>
  </si>
  <si>
    <t>Clicking "Premium" should navigate to the Premium category page successfully.</t>
  </si>
  <si>
    <t>furniture_menu_10</t>
  </si>
  <si>
    <t>Verify that "Premium" page shows only "Premium", "Nimbus", "Atelio", "Origo", "Eklive", "Vertex", "Vesper", "Sylva", "Axis", "Ferrera", "Arcana", "Aurora", "Vista", "Riviera", "Verto", "Astral", "Arbor", "Nuvanta", "Primo", "Novo", "Auresta"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</si>
  <si>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Click "Premium" section 
 4. Observe displayed products</t>
    </r>
  </si>
  <si>
    <t>The Premium page should display only the listed variants.</t>
  </si>
  <si>
    <t>furniture_menu_11</t>
  </si>
  <si>
    <t>Verify that "Business", "Arktek", "Myrran", "Alverra", "Novara", "Nexor", "Zafir", "Astrello", "Synerra", "Klarion" variants exist under "Business"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</si>
  <si>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Hover over or click "Business" section 
 4. Observe variants</t>
    </r>
  </si>
  <si>
    <t>All listed variants should be visible and clickable under the Business section.</t>
  </si>
  <si>
    <t>furniture_menu_12</t>
  </si>
  <si>
    <t>Verify that clicking on "Business" section "Business"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</si>
  <si>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Click "Business" section</t>
    </r>
  </si>
  <si>
    <t>Clicking "Business" should navigate to the Business category page successfully.</t>
  </si>
  <si>
    <t>furniture_menu_13</t>
  </si>
  <si>
    <t>Verify that "Business" page shows only "Business", "Arktek", "Myrran", "Alverra", "Novara", "Nexor", "Zafir", "Astrello", "Synerra", "Klarion"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</si>
  <si>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Click "Business" section 
 4. Observe displayed products</t>
    </r>
  </si>
  <si>
    <t>The Business page should display only the listed variants.</t>
  </si>
  <si>
    <t>furniture_menu_14</t>
  </si>
  <si>
    <t>Verify that "Industriè", "Rovniak", "Brassmont", "Sylven", "Alenvion", "Roxven", "Ferrovia", "Sulverin", "Torven", "Elarion", "Axven", "Axebridge", "Orvian", "Kryden", "Corvin", "Dravik", "Merovin", "Ostren", "Drakmire", "Draxion", "Lomira", "Drakemont" variants exist under "Industriè" and are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</si>
  <si>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Hover over or click "Industriè" section 
 4. Observe variants</t>
    </r>
  </si>
  <si>
    <t>All listed variants should be visible and clickable under the Industriè section.</t>
  </si>
  <si>
    <t>furniture_menu_15</t>
  </si>
  <si>
    <t>Verify that clicking on "Industriè" section "Industriè"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</si>
  <si>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Click "Industriè" section</t>
    </r>
  </si>
  <si>
    <t>Clicking "Industriè" should navigate to the Industriè category page successfully.</t>
  </si>
  <si>
    <t>furniture_menu_16</t>
  </si>
  <si>
    <t>Verify that "Industriè" page shows only "Industriè", "Rovniak", "Brassmont", "Sylven", "Alenvion", "Roxven", "Ferrovia", "Sulverin", "Torven", "Elarion", "Axven", "Axebridge", "Orvian", "Kryden", "Corvin", "Dravik", "Merovin", "Ostren", "Drakmire", "Draxion", "Lomira", "Drakemont" variants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</si>
  <si>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"Furniture" menu 
 3. Click "Industriè" section 
 4. Observe displayed products</t>
    </r>
  </si>
  <si>
    <t>The Industriè page should display only the listed variants.</t>
  </si>
  <si>
    <t>GIFT CARD</t>
  </si>
  <si>
    <t>gift_card_01</t>
  </si>
  <si>
    <t>Verify that clicking on "GIFT CARD" "GIFT CARD" page appears</t>
  </si>
  <si>
    <t>Gift Card Menu Page</t>
  </si>
  <si>
    <r>
      <rPr>
        <sz val="10"/>
        <rFont val="Calibri"/>
        <charset val="134"/>
      </rPr>
      <t xml:space="preserve">1. Go to </t>
    </r>
    <r>
      <rPr>
        <u/>
        <sz val="10"/>
        <color rgb="FF1155CC"/>
        <rFont val="Calibri"/>
        <charset val="134"/>
      </rPr>
      <t>https://ilyn.global/</t>
    </r>
    <r>
      <rPr>
        <sz val="10"/>
        <rFont val="Calibri"/>
        <charset val="134"/>
      </rPr>
      <t xml:space="preserve"> 
 2. Click "GIFT CARD" menu 
</t>
    </r>
  </si>
  <si>
    <t>Clicking "GIFT CARD" should navigate to the Gift Card page successfully.</t>
  </si>
  <si>
    <t>gift_card_02</t>
  </si>
  <si>
    <t>Verify that "GIFT CARD" page shows only "GIFT CARD" related product</t>
  </si>
  <si>
    <r>
      <rPr>
        <sz val="10"/>
        <rFont val="Calibri"/>
        <charset val="134"/>
      </rPr>
      <t xml:space="preserve">1. Go to </t>
    </r>
    <r>
      <rPr>
        <u/>
        <sz val="10"/>
        <color rgb="FF1155CC"/>
        <rFont val="Calibri"/>
        <charset val="134"/>
      </rPr>
      <t>https://ilyn.global/</t>
    </r>
    <r>
      <rPr>
        <sz val="10"/>
        <rFont val="Calibri"/>
        <charset val="134"/>
      </rPr>
      <t xml:space="preserve"> 
 2. Click "GIFT CARD" menu 
 3. Observe displayed products</t>
    </r>
  </si>
  <si>
    <t>The Gift Card page should display only products related to Gift Cards.</t>
  </si>
  <si>
    <t>COTTOCOOL TECHNOLOGY MENU</t>
  </si>
  <si>
    <t>cottocool_technology_01</t>
  </si>
  <si>
    <t>Verify that clicking on "COTTOCOOL TECHNOLOGY MENU" COTTOCOOL TECHNOLOGY MENU page appears</t>
  </si>
  <si>
    <t>Cottocool Technology Menu</t>
  </si>
  <si>
    <r>
      <rPr>
        <u/>
        <sz val="10"/>
        <color rgb="FF0000FF"/>
        <rFont val="Calibri"/>
        <charset val="134"/>
      </rPr>
      <t xml:space="preserve">1. Go to </t>
    </r>
    <r>
      <rPr>
        <u/>
        <sz val="10"/>
        <color rgb="FF1155CC"/>
        <rFont val="Calibri"/>
        <charset val="134"/>
      </rPr>
      <t>https://ilyn.global/</t>
    </r>
    <r>
      <rPr>
        <sz val="10"/>
        <rFont val="Calibri"/>
        <charset val="134"/>
      </rPr>
      <t xml:space="preserve"> 
 2. Click "COTTOCOOL TECHNOLOGY" menu</t>
    </r>
  </si>
  <si>
    <t>Clicking "COTTOCOOL TECHNOLOGY" should navigate to the Cottocool Technology category page successfully.</t>
  </si>
  <si>
    <t>cottocool_technology_02</t>
  </si>
  <si>
    <t>Verify that "COTTOCOOL TECHNOLOGY MENU" page shows only "COTTOCOOL TECHNOLOGY MENU" related product</t>
  </si>
  <si>
    <r>
      <rPr>
        <u/>
        <sz val="10"/>
        <color rgb="FF0000FF"/>
        <rFont val="Calibri"/>
        <charset val="134"/>
      </rPr>
      <t xml:space="preserve">1. Go to </t>
    </r>
    <r>
      <rPr>
        <u/>
        <sz val="10"/>
        <color rgb="FF1155CC"/>
        <rFont val="Calibri"/>
        <charset val="134"/>
      </rPr>
      <t>https://ilyn.global/</t>
    </r>
    <r>
      <rPr>
        <sz val="10"/>
        <rFont val="Calibri"/>
        <charset val="134"/>
      </rPr>
      <t xml:space="preserve"> 
 2. Click "COTTOCOOL TECHNOLOGY" menu 
 3. Observe displayed products</t>
    </r>
  </si>
  <si>
    <t>The Cottocool Technology page should display only products related to the Cottocool Technology category.</t>
  </si>
  <si>
    <t>APPS MENU</t>
  </si>
  <si>
    <t>apps_menu_01</t>
  </si>
  <si>
    <t>Verify that "Waqt Al Salaah" and "Memorize Quran" section exists under "Furniture" menu and clickable</t>
  </si>
  <si>
    <t>Apps Menu Page</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</si>
  <si>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"Waqt Al Salaah" and "Memorize Quran" sections</t>
    </r>
  </si>
  <si>
    <t>Both sections should be visible under "Furniture" menu and clickable.</t>
  </si>
  <si>
    <t>apps_menu_02</t>
  </si>
  <si>
    <t>Verify that clicking on "Waqt Al Salaah" section "Waqt Al Salaah" page appears</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</si>
  <si>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t>
    </r>
  </si>
  <si>
    <t>Clicking "Waqt Al Salaah" should navigate to its dedicated page successfully.</t>
  </si>
  <si>
    <t>apps_menu_03</t>
  </si>
  <si>
    <t>Verify that the logo of “Waqt Al Salaah” is displayed clearly at the top-left corner</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</si>
  <si>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logo</t>
    </r>
  </si>
  <si>
    <t>The Waqt Al Salaah logo should be visible clearly at the top-left corner.</t>
  </si>
  <si>
    <t>apps_menu_04</t>
  </si>
  <si>
    <t>Verify that the page title is displayed as “Waqt Al Salaah: Prayer Times”</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</si>
  <si>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page title</t>
    </r>
  </si>
  <si>
    <t>The page title should be “Waqt Al Salaah: Prayer Times”.</t>
  </si>
  <si>
    <t>apps_menu_05</t>
  </si>
  <si>
    <t>Verify that the descriptive message is visible under "Waqt Al Salaah" headline</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</si>
  <si>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description text</t>
    </r>
  </si>
  <si>
    <t>The message describing the app features should be visible under the headline.</t>
  </si>
  <si>
    <t>apps_menu_06</t>
  </si>
  <si>
    <t>Verify that the mobile mockup image of the app is visible and properly aligned</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</si>
  <si>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mobile mockup image</t>
    </r>
  </si>
  <si>
    <t>The mockup image should be visible and properly aligned.</t>
  </si>
  <si>
    <t>apps_menu_07</t>
  </si>
  <si>
    <t>Verify that the Google Play Store button is displayed under description text</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</si>
  <si>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Play Store button</t>
    </r>
  </si>
  <si>
    <t>The Google Play Store button should be visible under the description.</t>
  </si>
  <si>
    <t>apps_menu_08</t>
  </si>
  <si>
    <t>Verify that the App Store button is displayed next to the Play Store button</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</si>
  <si>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App Store button</t>
    </r>
  </si>
  <si>
    <t>The App Store button should be visible next to the Play Store button.</t>
  </si>
  <si>
    <t>apps_menu_09</t>
  </si>
  <si>
    <t>Verify that clicking on the App Store button redirects to the correct app page on Apple App Store</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</si>
  <si>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Click App Store button</t>
    </r>
  </si>
  <si>
    <t>Clicking the App Store button should redirect to the correct Apple App Store page.</t>
  </si>
  <si>
    <t>apps_menu_10</t>
  </si>
  <si>
    <t>(Empty/placeholder)</t>
  </si>
  <si>
    <t>N/A</t>
  </si>
  <si>
    <t>apps_menu_11</t>
  </si>
  <si>
    <t>Verify the “Qibla Locator” card displays the correct icon, title, and description</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</si>
  <si>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Qibla Locator card</t>
    </r>
  </si>
  <si>
    <t>The Qibla Locator card should display the correct icon, title, and description.</t>
  </si>
  <si>
    <t>apps_menu_12</t>
  </si>
  <si>
    <t>Verify the “Tasbih” card displays the correct icon, title, and description</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</si>
  <si>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Tasbih card</t>
    </r>
  </si>
  <si>
    <t>The Tasbih card should display the correct icon, title, and description.</t>
  </si>
  <si>
    <t>apps_menu_13</t>
  </si>
  <si>
    <t>Verify the “Suhoor and Iftar Time” card displays the correct image and description</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</si>
  <si>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Suhoor and Iftar Time card</t>
    </r>
  </si>
  <si>
    <t>The card should display the correct image and description; no title or icon present.</t>
  </si>
  <si>
    <t>apps_menu_14</t>
  </si>
  <si>
    <t>Verify the “Hijri Calendar” card displays the correct image and description</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</si>
  <si>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Hijri Calendar card</t>
    </r>
  </si>
  <si>
    <t>apps_menu_15</t>
  </si>
  <si>
    <t>Verify the “Find Mosque Nearby” card displays the correct icon, title, and description</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</si>
  <si>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Find Mosque Nearby card</t>
    </r>
  </si>
  <si>
    <t>The card should display the correct icon, title, and description.</t>
  </si>
  <si>
    <t>apps_menu_16</t>
  </si>
  <si>
    <t>Verify that the “Find Mosque Nearby” card displays the background Google Map image correctly</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</si>
  <si>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background map</t>
    </r>
  </si>
  <si>
    <t>The Find Mosque Nearby card should display the Google Map background image correctly.</t>
  </si>
  <si>
    <t>apps_menu_17</t>
  </si>
  <si>
    <t>Verify that the continuous line graphic is visible on the map image in the “Find Mosque Nearby” card</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</si>
  <si>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map line graphic</t>
    </r>
  </si>
  <si>
    <t>The continuous line graphic should be visible on the map image.</t>
  </si>
  <si>
    <t>apps_menu_18</t>
  </si>
  <si>
    <t>Verify that "Choose from multiple color themes including the Dark Mode for an optimal experience!" text is visible under the features</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</si>
  <si>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color theme description</t>
    </r>
  </si>
  <si>
    <t>The text should be visible under the features.</t>
  </si>
  <si>
    <t>apps_menu_19</t>
  </si>
  <si>
    <t>Verify that "Light Mode" toggle button is visible and working</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</si>
  <si>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Light Mode toggle button</t>
    </r>
  </si>
  <si>
    <t>The Light Mode toggle button should be visible and functional.</t>
  </si>
  <si>
    <t>apps_menu_20</t>
  </si>
  <si>
    <t>Verify that clicking on "Light Mode" toggles to "Dark Mode" and "Dark Mode" text is visible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</si>
  <si>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Click Light Mode toggle</t>
    </r>
  </si>
  <si>
    <t>The toggle should switch to Dark Mode and display the "Dark Mode" text.</t>
  </si>
  <si>
    <t>apps_menu_21</t>
  </si>
  <si>
    <t>Verify that clicking on "Light Mode" changes toggling direction</t>
  </si>
  <si>
    <t>The toggle direction should change when switching between modes.</t>
  </si>
  <si>
    <t>apps_menu_22</t>
  </si>
  <si>
    <t>Verify that "Radio Buttons" are visible and clickable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</si>
  <si>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radio buttons</t>
    </r>
  </si>
  <si>
    <t>Radio buttons should be visible and clickable.</t>
  </si>
  <si>
    <t>apps_menu_23</t>
  </si>
  <si>
    <t>Verify that selecting each radio button updates the image correctly</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</si>
  <si>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Click each radio button and observe image</t>
    </r>
  </si>
  <si>
    <t>Selecting each radio button should update the image according to the selected option.</t>
  </si>
  <si>
    <t>apps_menu_24</t>
  </si>
  <si>
    <t>Verify that only one radio button can be active at a time</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</si>
  <si>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Select multiple radio buttons</t>
    </r>
  </si>
  <si>
    <t>Only one radio button should be active at any time.</t>
  </si>
  <si>
    <t>apps_menu_25</t>
  </si>
  <si>
    <t>Verify that the image is visible</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</si>
  <si>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image</t>
    </r>
  </si>
  <si>
    <t>The image should be visible.</t>
  </si>
  <si>
    <t>apps_menu_26</t>
  </si>
  <si>
    <t>Verify that "Powered by illiyeen" image is visible and aligned</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</si>
  <si>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"Powered by illiyeen" image</t>
    </r>
  </si>
  <si>
    <t>The image should be visible and properly aligned.</t>
  </si>
  <si>
    <t>apps_menu_27</t>
  </si>
  <si>
    <t>Verify that "Waqt Al Salaah: Prayer Times, An Essential App For All Muslims Worldwide." text is visible and aligned</t>
  </si>
  <si>
    <t>Apps Menu Page.</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</si>
  <si>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text</t>
    </r>
  </si>
  <si>
    <t>The text should be visible and properly aligned.</t>
  </si>
  <si>
    <t>apps_menu_28</t>
  </si>
  <si>
    <t>Verify that "Download the app and never miss salaah" text is visible and aligned</t>
  </si>
  <si>
    <t>apps_menu_29</t>
  </si>
  <si>
    <t>Verify that "QR scan code" is visible and aligned</t>
  </si>
  <si>
    <r>
      <rPr>
        <u/>
        <sz val="10"/>
        <color rgb="FF0000FF"/>
        <rFont val="Calibri"/>
        <charset val="134"/>
      </rPr>
      <t xml:space="preserve">1. Go to </t>
    </r>
    <r>
      <rPr>
        <u/>
        <sz val="10"/>
        <color rgb="FF1155CC"/>
        <rFont val="Calibri"/>
        <charset val="134"/>
      </rPr>
      <t>https://ilyn.global/</t>
    </r>
    <r>
      <rPr>
        <sz val="10"/>
        <rFont val="Calibri"/>
        <charset val="134"/>
      </rPr>
      <t xml:space="preserve"> 
 2. Click "APPS" menu 
 3. Click "Waqt Al Salaah" section 
 4. Observe the QR scan code</t>
    </r>
  </si>
  <si>
    <t>The QR scan code should be visible and properly aligned.</t>
  </si>
  <si>
    <t>apps_menu_30</t>
  </si>
  <si>
    <t>Verify that the Google Play Store button is displayed right to the "QR scan code"</t>
  </si>
  <si>
    <t>The Play Store button should be displayed to the right of the QR scan code.</t>
  </si>
  <si>
    <t>apps_menu_31</t>
  </si>
  <si>
    <t>Verify that the App Store button is displayed down to the Play Store button</t>
  </si>
  <si>
    <t>The App Store button should be displayed below the Play Store button.</t>
  </si>
  <si>
    <t xml:space="preserve">TC Execution </t>
  </si>
  <si>
    <t>Severity</t>
  </si>
  <si>
    <t>Priority</t>
  </si>
  <si>
    <r>
      <rPr>
        <sz val="10"/>
        <color rgb="FF800080"/>
        <rFont val="Calibri"/>
        <charset val="134"/>
      </rPr>
      <t xml:space="preserve">1.Go to </t>
    </r>
    <r>
      <rPr>
        <u/>
        <sz val="10"/>
        <color rgb="FF800080"/>
        <rFont val="Calibri"/>
        <charset val="134"/>
      </rPr>
      <t>https://ilyn.global/</t>
    </r>
    <r>
      <rPr>
        <sz val="10"/>
        <color rgb="FF800080"/>
        <rFont val="Calibri"/>
        <charset val="134"/>
      </rPr>
      <t xml:space="preserve">
2.Click on "SIGN IN " Link
3.Click  "SIGN UP" button
4.Observ the page.</t>
    </r>
  </si>
  <si>
    <t>Verify that Sign Up page appears after clicking on "Sign Up" button</t>
  </si>
  <si>
    <t>Critical</t>
  </si>
  <si>
    <t>P1</t>
  </si>
  <si>
    <t>Verify that Sign Up page contains Sign Up, Sign In Instead form and a info box</t>
  </si>
  <si>
    <t>Major</t>
  </si>
  <si>
    <t>Verify that "Note: If you have purchased from us before you are already a member..." text is visible</t>
  </si>
  <si>
    <t>Minor</t>
  </si>
  <si>
    <t>P3</t>
  </si>
  <si>
    <t>Verify that "With an Account you can:" info box is visible and not clickable</t>
  </si>
  <si>
    <t>Verify that email and Mobile section appears</t>
  </si>
  <si>
    <t>Verify the placeholder "Enter an email address" is visible in the email field</t>
  </si>
  <si>
    <t>Trivial</t>
  </si>
  <si>
    <t>Verify that "This site is protected by reCAPTCHA and the Google Privacy Policy and Terms of Service apply." text is visible</t>
  </si>
  <si>
    <t>Verify "Next" button is clickable</t>
  </si>
  <si>
    <t>Verify the text "Please provide an email address." message is shown if we keep blank the field</t>
  </si>
  <si>
    <t>Verify the text "Please provide a valid email address." message is shown if we enter an invalid character</t>
  </si>
  <si>
    <t>Verify that Phone number dashboard comes after clicking on "Mobile" section</t>
  </si>
  <si>
    <t>Verify the text "Please select a country and provide a phone number!" is shown if we keep blank the phone number field</t>
  </si>
  <si>
    <t>Verify that clicking on "NEXT" displays OTP, Name, Password, and Confirm Password fields without redirecting</t>
  </si>
  <si>
    <t>Verify OTP code should be valid only for one time</t>
  </si>
  <si>
    <t>Verify that valid OTP is accepted</t>
  </si>
  <si>
    <t>Verify that the Name field only accepts alphabets and spaces</t>
  </si>
  <si>
    <t>Verify that password field accepts valid password</t>
  </si>
  <si>
    <t>Verify that mismatch with confirm password doesn't accept</t>
  </si>
  <si>
    <t>Verify the text "Password is required." and "OTP is required!" message is shown if fields are blank</t>
  </si>
  <si>
    <t>Verify that user can successfully submit inserting valid data in all fields</t>
  </si>
  <si>
    <t>erify that sign in and sign up form appears in a new page after clicking on "SIGN IN" link</t>
  </si>
  <si>
    <t>Verify the placeholder "Enter an email address" is shown in the email field and "Enter a password" in the Password field</t>
  </si>
  <si>
    <t>Verify the text "Please provide an email address." and "Password is required!" message is shown if we keep blank the field</t>
  </si>
  <si>
    <t>Verify that user can be able to successfully sign in inserting valid data in all the field</t>
  </si>
  <si>
    <t>Verify that "Forgot Password" page appears clicking on "Recover Password" link</t>
  </si>
  <si>
    <t>Verify that "CHANGE YOUR PASSWORD" form appears in forgot password page</t>
  </si>
  <si>
    <t>Verify "This site is protected by reCAPTCHA and the Google Privacy Policy and Terms of Service apply." text is visible</t>
  </si>
  <si>
    <t>Verify the text "Please provide a valid email address." message is shown if we enter invalid character</t>
  </si>
  <si>
    <t>Verify that clicking on "NEXT" displays the "Change Your Password" form on the same page with OTP, Password, and Confirm Password fields, without redirecting to a new page</t>
  </si>
  <si>
    <t>Verify that the Name field only accept alphabets and spaces</t>
  </si>
  <si>
    <t>Verify the text "Password is required." and "OTP is required!" message is shown if we keep blank the field</t>
  </si>
  <si>
    <t>Verify that user can be able to successfully submit inserting valid data in all the field</t>
  </si>
  <si>
    <t>Verify that the homepage loads correctly when accessing the website URL</t>
  </si>
  <si>
    <t>Verify that the header section is added on the website</t>
  </si>
  <si>
    <t>Verify that icons are aligned properly with their corresponding text in the header</t>
  </si>
  <si>
    <t>Verify that each icon corresponds correctly to its link text</t>
  </si>
  <si>
    <t>Verify that the website logo is displayed on the header and aligned properly</t>
  </si>
  <si>
    <t>Verify that the same header is used across all website pages</t>
  </si>
  <si>
    <t>Verify that all menu bars are visible and clickable</t>
  </si>
  <si>
    <t>Verify that the promotional message "Save 5% On Entire Order With Digital Payment" appears below each section inside a bordered container</t>
  </si>
  <si>
    <t>Verify that the "AW25 New Arrivals" and "IN STORES AND ONLINE" logo text are visible</t>
  </si>
  <si>
    <t>Verify that the "AW25 New Arrivals" link is visible and clickable</t>
  </si>
  <si>
    <t>Verify that the homepage background image is visible</t>
  </si>
  <si>
    <t>Verify that the "AW25 New Arrivals" link and "AW25 New Arrivals / IN STORES AND ONLINE" logo text are correctly aligned</t>
  </si>
  <si>
    <t>Verify that the "breadcrumb", "number of items", and "Filters &amp; Sort" section is visible in "All" page and horizontally aligned</t>
  </si>
  <si>
    <t>Verify that product name, Product Code and BDT are attached with every product image in "All" section</t>
  </si>
  <si>
    <t>Verify that "Panjabi", "Thobe And Kabli", "Sherwani and Waistcoats", "Shirts", "T-shirts And Polos", and "Trousers And Chinos" variants exist under "Men" section</t>
  </si>
  <si>
    <t>Verify that clicking on "Men" section "Men" page appears</t>
  </si>
  <si>
    <t>Verify that "MEN" section shows only "Panjabi", "Thobe And Kabli", "Sherwani and Waistcoats", "Shirts", "T-shirts And Polos", and "Trousers And Chinos" variants product</t>
  </si>
  <si>
    <t>Verify that the "breadcrumb", "number of items", and "Filters &amp; Sort" section are visible and correctly aligned horizontally in the "MEN" page</t>
  </si>
  <si>
    <t>Verify that clicking on the "MEN" section displays the correct breadcrumb</t>
  </si>
  <si>
    <t>Verify that the number of product items are visible with the product images in the "MEN" webpage</t>
  </si>
  <si>
    <t>Verify that the product name, product code, and BDT price are attached with every product image in the "MEN" section</t>
  </si>
  <si>
    <t>Verify that clicking any product image in the "MEN" section displays the expected breadcrumb</t>
  </si>
  <si>
    <t>Verify that clicking on "Women" section "Women" page appears</t>
  </si>
  <si>
    <t>Verify that "WOMEN" section shows only "Co-ords Dress Set", "Tops", and "Trousers" variants product</t>
  </si>
  <si>
    <t>Verify that the "breadcrumb", "number of items", and "Filters &amp; Sort" section are visible and correctly aligned horizontally in the "WOMEN" page</t>
  </si>
  <si>
    <t>Verify that clicking on the "WOMEN" section displays the correct breadcrumb</t>
  </si>
  <si>
    <t>Verify that the number of product items are visible with the product images in the "WOMEN" webpage</t>
  </si>
  <si>
    <t>Verify that the product name, product code, and BDT price are attached with every product image in the "WOMEN" section</t>
  </si>
  <si>
    <t>Verify that clicking any product image in the "WOMEN" section displays the expected breadcrumb</t>
  </si>
  <si>
    <t>Verify that clicking on "Co-ords Dress Set", "Tops", and "Trousers" shows only those type variants</t>
  </si>
  <si>
    <t>Verify that "Women" page shows only "Co-ords Dress Set", "Tops", and "Trousers" variants product</t>
  </si>
  <si>
    <t>Verify that "Panjabi", "Waistcoats", "T-shirts And Polos", "Tops", and "Father And Son Collection" variants exist under "Kids" section</t>
  </si>
  <si>
    <t>Verify that clicking on "Kids" section "Kids" page appears</t>
  </si>
  <si>
    <t>Verify that "KIDS" section shows only "Panjabi", "Waistcoats", "T-shirts And Polos", "Tops", and "Father And Son Collection" variants product</t>
  </si>
  <si>
    <t>Verify that the "breadcrumb", "number of items", and "Filters &amp; Sort" section are visible and correctly aligned horizontally in the "KIDS" page</t>
  </si>
  <si>
    <t>Verify that clicking on the "KIDS" section displays the correct breadcrumb</t>
  </si>
  <si>
    <t>Verify that the number of product items are visible with the product images in the "KIDS" webpage</t>
  </si>
  <si>
    <t>Verify that the product name, product code, and BDT price are attached with every product image in the "KIDS" section</t>
  </si>
  <si>
    <t>Verify that clicking on "Panjabi", "Waistcoats", "T-shirts And Polos", "Tops", and "Father And Son Collection" shows only those type variants</t>
  </si>
  <si>
    <t>Verify that "KIDS" page shows only "Panjabi", "Waistcoats", "T-shirts And Polos", "Tops", and "Father And Son Collection" variants product</t>
  </si>
  <si>
    <t>Verify that clicking on "FOOTWEAR" section "FOOTWEAR" page appears</t>
  </si>
  <si>
    <t>Verify that clicking on "ACCESSORIES" section "ACCESSORIES" page appears</t>
  </si>
  <si>
    <t>Verify that the "breadcrumb", "number of items", and "Filters &amp; Sort" section is visible in "ACCESSORIES" page and horizontally aligned</t>
  </si>
  <si>
    <t>Verify that clicking on "ACCESSORIES" section displays the correct breadcrumb</t>
  </si>
  <si>
    <t>Verify that number of items product are visible with the image in "ACCESSORIES" webpage</t>
  </si>
  <si>
    <t>Verify that product name, Product Code and BDT are attached with every product image in "ACCESSORIES" section</t>
  </si>
  <si>
    <t>Verify that "Sherwani", "Thobe", "Kabli", "Panjabi", "Waistcoats", "Shirts", "T-Shirts And Polos", "Jeans", "Joggers And L-Chinos", "Jackets And Outerwear", "Trousers And Chinos", "Essentials" section appears in "MEN" menu pages</t>
  </si>
  <si>
    <t>Verify that "Premium" &amp; "Platinum" variants exist under "Sherwani" and clickable</t>
  </si>
  <si>
    <t>Verify that "Thobe" page shows only "Platinum", "Premium" and "Sahara" variants product</t>
  </si>
  <si>
    <t>Verify that "Abaya", "Tops", "Co-ords Dress Set", "Scarf", "Trousers", "Accessories", "Footwear", "Essentials" section appears in "WOMEN" menu pages</t>
  </si>
  <si>
    <t>Verify that "Premium", "Luxury", "Platinum", "Sahara" and "Benazir Esita" variants exist under "Abaya" and are clickable</t>
  </si>
  <si>
    <t>Verify that clicking on "Abaya" section "Abaya" page appears</t>
  </si>
  <si>
    <t>Verify that "Abaya" page shows only "Premium", "Luxury", "Platinum","Sahara","Benazir Esita" variants product</t>
  </si>
  <si>
    <t>Verify that "Premium", "Luxury" &amp; "Benazir Esita" variants exist under "Tops" and are clickable</t>
  </si>
  <si>
    <t>Verify that clicking on "Tops" section "Tops" page appears</t>
  </si>
  <si>
    <t>Verify that "Tops" page shows only "Premium", "Luxury" &amp; "Benazir Esita" variants product</t>
  </si>
  <si>
    <t>Verify that "Luxury" &amp; "Premium" variants exist under "Co-ords Dress Set" and are clickable</t>
  </si>
  <si>
    <t>Verify that clicking on "Co-ords Dress Set" section "Co-ords Dress Set" page appears</t>
  </si>
  <si>
    <t>Verify that "Co-ords Dress Set" page shows only "Luxury" &amp; "Premium" variants product</t>
  </si>
  <si>
    <t>Verify that "Premium", "Luxury", "Sahara" &amp; "Benazir Esita" variants exist under "Scarf" and are clickable</t>
  </si>
  <si>
    <t>Verify that clicking on "Scarf" section "Scarf" page appears</t>
  </si>
  <si>
    <t>Verify that "Scarf" page shows only "Premium", "Luxury", "Sahara" &amp; "Benazir Esita" variants product</t>
  </si>
  <si>
    <t>Verify that "Platinum" &amp; "Premium" variants exist under "Trousers" and are clickable</t>
  </si>
  <si>
    <t>Verify that clicking on "Trousers" section "Trousers" page appears</t>
  </si>
  <si>
    <t>Verify that "Trousers" page shows only "Platinum" &amp; "Premium" variants product</t>
  </si>
  <si>
    <t>Verify that "Essentials" page shows only "Innerwear" variant product</t>
  </si>
  <si>
    <t>Verify that "Panjabi", "Waistcoats", "Shirts", "Panjabi With Waistcoat Set", "Father and Son Collection", "T-shirts And Polos", "Abaya", "Tops", "Dress" sections appear in "KIDS" menu pages and are clickable</t>
  </si>
  <si>
    <t>Verify that clicking on "Panjabi" section navigates to "Panjabi" page</t>
  </si>
  <si>
    <t>Verify that "Panjabi" page shows only "Panjabi" type products</t>
  </si>
  <si>
    <t>Verify that clicking on "Waistcoats" section navigates to "Waistcoats" page</t>
  </si>
  <si>
    <t>Verify that "Waistcoats" page shows only "Waistcoats" type products</t>
  </si>
  <si>
    <t>Verify that clicking on "Shirts" section navigates to "Shirts" page</t>
  </si>
  <si>
    <t>Verify that "Shirts" page shows only "Shirts" type products</t>
  </si>
  <si>
    <t>Verify that clicking on "Panjabi With Waistcoat Set" section navigates to "Panjabi With Waistcoat Set" page</t>
  </si>
  <si>
    <t>Verify that "Panjabi With Waistcoat Set" page shows only "Panjabi With Waistcoat Set" type products</t>
  </si>
  <si>
    <t>Verify that clicking on "All Accessories" section shows all the product of all listed sections</t>
  </si>
  <si>
    <t>Verify that "Clutch", "Prayer Mats", "Button Set", "Rings", "Belt", "Bed Sheet" sections appear and clickable in "ACCESSORIES" menu page</t>
  </si>
  <si>
    <t>Verify that clicking on each section navigates to the correct product page</t>
  </si>
  <si>
    <t>Verify that each product page shows only the corresponding product type</t>
  </si>
  <si>
    <t>P2</t>
  </si>
  <si>
    <t>Bug ID</t>
  </si>
  <si>
    <t>Bug Title</t>
  </si>
  <si>
    <t>Steps to Reproduce</t>
  </si>
  <si>
    <t>Screenshot</t>
  </si>
  <si>
    <r>
      <rPr>
        <sz val="10"/>
        <color rgb="FF800080"/>
        <rFont val="Calibri"/>
        <charset val="134"/>
      </rPr>
      <t xml:space="preserve">1.Go to </t>
    </r>
    <r>
      <rPr>
        <u/>
        <sz val="10"/>
        <color rgb="FF800080"/>
        <rFont val="Calibri"/>
        <charset val="134"/>
      </rPr>
      <t>https://ilyn.global/</t>
    </r>
    <r>
      <rPr>
        <sz val="10"/>
        <color rgb="FF800080"/>
        <rFont val="Calibri"/>
        <charset val="134"/>
      </rPr>
      <t xml:space="preserve">
2. Click on "SIGN IN " Link
3.Click  "SIGN UP"  button
3.Click "EMAIL" section.
4.Click the field and do not give any data and click outside of the field</t>
    </r>
  </si>
  <si>
    <t>https://prnt.sc/rSDiOhAVi1ey</t>
  </si>
  <si>
    <t>Test Case Report</t>
  </si>
  <si>
    <t xml:space="preserve">Total No. </t>
  </si>
  <si>
    <t>Result :</t>
  </si>
  <si>
    <t xml:space="preserve">Project Name   </t>
  </si>
  <si>
    <r>
      <rPr>
        <b/>
        <sz val="11"/>
        <color theme="0"/>
        <rFont val="Calibri"/>
        <charset val="134"/>
      </rPr>
      <t>Module Name</t>
    </r>
    <r>
      <rPr>
        <b/>
        <sz val="11"/>
        <rFont val="Calibri"/>
        <charset val="1"/>
      </rPr>
      <t xml:space="preserve">   </t>
    </r>
  </si>
  <si>
    <t>Test Case Version</t>
  </si>
  <si>
    <t>Not Executed</t>
  </si>
  <si>
    <t>New Features</t>
  </si>
  <si>
    <t>Testing Scope</t>
  </si>
  <si>
    <t>Testing Environment :</t>
  </si>
  <si>
    <t>Written By</t>
  </si>
  <si>
    <t>Out of Scope</t>
  </si>
  <si>
    <t xml:space="preserve">Test Environment </t>
  </si>
  <si>
    <t xml:space="preserve">Google Chrome Browser </t>
  </si>
  <si>
    <t>Executed By</t>
  </si>
  <si>
    <t>Reviewed By</t>
  </si>
  <si>
    <t>TEST EXECUTION REPORT</t>
  </si>
  <si>
    <t>Test Case</t>
  </si>
  <si>
    <t>Out Of Scope</t>
  </si>
  <si>
    <t>Total TC</t>
  </si>
  <si>
    <t xml:space="preserve">Grand Total  </t>
  </si>
  <si>
    <t>LIMITATIONS</t>
  </si>
  <si>
    <t>Documents</t>
  </si>
  <si>
    <t xml:space="preserve">Received </t>
  </si>
  <si>
    <t>Useful</t>
  </si>
  <si>
    <t>PRD</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</si>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</sst>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dd/yyyy"/>
  </numFmts>
  <fonts count="65">
    <font>
      <sz val="10"/>
      <color rgb="FF000000"/>
      <name val="Arial"/>
      <charset val="134"/>
      <scheme val="minor"/>
    </font>
    <font>
      <b/>
      <sz val="24"/>
      <color rgb="FFFFFFFF"/>
      <name val="Calibri"/>
      <charset val="1"/>
    </font>
    <font>
      <b/>
      <sz val="11"/>
      <color theme="0"/>
      <name val="Calibri"/>
      <charset val="134"/>
    </font>
    <font>
      <b/>
      <sz val="11"/>
      <name val="Calibri"/>
      <charset val="1"/>
    </font>
    <font>
      <b/>
      <sz val="11"/>
      <name val="Calibri"/>
      <charset val="134"/>
    </font>
    <font>
      <b/>
      <sz val="11"/>
      <color theme="0"/>
      <name val="Calibri"/>
      <charset val="1"/>
    </font>
    <font>
      <b/>
      <sz val="11"/>
      <name val="Comfortaa"/>
      <charset val="1"/>
    </font>
    <font>
      <b/>
      <sz val="12"/>
      <name val="Calibri"/>
      <charset val="1"/>
    </font>
    <font>
      <sz val="11"/>
      <name val="Calibri"/>
      <charset val="1"/>
    </font>
    <font>
      <sz val="11"/>
      <color theme="0"/>
      <name val="Calibri"/>
      <charset val="1"/>
    </font>
    <font>
      <b/>
      <sz val="14"/>
      <name val="Calibri"/>
      <charset val="1"/>
    </font>
    <font>
      <sz val="10"/>
      <name val="Calibri"/>
      <charset val="134"/>
    </font>
    <font>
      <sz val="11"/>
      <name val="Calibri"/>
      <charset val="134"/>
    </font>
    <font>
      <b/>
      <sz val="10"/>
      <color rgb="FF000000"/>
      <name val="Arial"/>
      <charset val="134"/>
    </font>
    <font>
      <sz val="10"/>
      <color rgb="FF000000"/>
      <name val="Arial"/>
      <charset val="134"/>
    </font>
    <font>
      <b/>
      <sz val="10"/>
      <name val="Arial"/>
      <charset val="134"/>
    </font>
    <font>
      <b/>
      <sz val="12"/>
      <color rgb="FF222222"/>
      <name val="Arial"/>
      <charset val="134"/>
    </font>
    <font>
      <sz val="10"/>
      <name val="Arial"/>
      <charset val="134"/>
    </font>
    <font>
      <sz val="10"/>
      <color rgb="FF222222"/>
      <name val="Arial"/>
      <charset val="134"/>
    </font>
    <font>
      <sz val="11"/>
      <color rgb="FF000000"/>
      <name val="Calibri"/>
      <charset val="1"/>
    </font>
    <font>
      <sz val="10"/>
      <color rgb="FF000000"/>
      <name val="Calibri"/>
      <charset val="134"/>
    </font>
    <font>
      <b/>
      <sz val="10"/>
      <color theme="1"/>
      <name val="Calibri"/>
      <charset val="134"/>
    </font>
    <font>
      <b/>
      <sz val="10"/>
      <color rgb="FF000000"/>
      <name val="Calibri"/>
      <charset val="134"/>
    </font>
    <font>
      <sz val="10"/>
      <color rgb="FF800080"/>
      <name val="Calibri"/>
      <charset val="134"/>
    </font>
    <font>
      <u/>
      <sz val="11"/>
      <color rgb="FF0000FF"/>
      <name val="Arial"/>
      <charset val="134"/>
      <scheme val="minor"/>
    </font>
    <font>
      <sz val="10"/>
      <color theme="1"/>
      <name val="Calibri"/>
      <charset val="134"/>
    </font>
    <font>
      <sz val="12"/>
      <color rgb="FF000000"/>
      <name val="Arial"/>
      <charset val="134"/>
      <scheme val="minor"/>
    </font>
    <font>
      <sz val="22"/>
      <color rgb="FF000000"/>
      <name val="Arial"/>
      <charset val="134"/>
      <scheme val="minor"/>
    </font>
    <font>
      <b/>
      <sz val="10"/>
      <color rgb="FF000000"/>
      <name val="Arial"/>
      <charset val="134"/>
      <scheme val="minor"/>
    </font>
    <font>
      <b/>
      <u/>
      <sz val="12"/>
      <color rgb="FF0000FF"/>
      <name val="Calibri"/>
      <charset val="134"/>
    </font>
    <font>
      <b/>
      <sz val="12"/>
      <color theme="1"/>
      <name val="Calibri"/>
      <charset val="134"/>
    </font>
    <font>
      <sz val="12"/>
      <color theme="1"/>
      <name val="Calibri"/>
      <charset val="134"/>
    </font>
    <font>
      <b/>
      <sz val="21"/>
      <color rgb="FFFFFFFF"/>
      <name val="Arial"/>
      <charset val="134"/>
      <scheme val="minor"/>
    </font>
    <font>
      <b/>
      <sz val="10"/>
      <color theme="1"/>
      <name val="Arial"/>
      <charset val="134"/>
    </font>
    <font>
      <u/>
      <sz val="10"/>
      <color rgb="FF1155CC"/>
      <name val="Calibri"/>
      <charset val="134"/>
    </font>
    <font>
      <u/>
      <sz val="10"/>
      <color rgb="FF0000FF"/>
      <name val="Calibri"/>
      <charset val="134"/>
    </font>
    <font>
      <sz val="12"/>
      <color theme="1"/>
      <name val="Arial"/>
      <charset val="134"/>
      <scheme val="minor"/>
    </font>
    <font>
      <sz val="10"/>
      <color theme="1"/>
      <name val="Arial"/>
      <charset val="134"/>
    </font>
    <font>
      <b/>
      <sz val="10"/>
      <color theme="1"/>
      <name val="Arial"/>
      <charset val="134"/>
      <scheme val="minor"/>
    </font>
    <font>
      <sz val="10"/>
      <color theme="1"/>
      <name val="Arial"/>
      <charset val="134"/>
      <scheme val="minor"/>
    </font>
    <font>
      <sz val="12"/>
      <name val="Calibri"/>
      <charset val="134"/>
    </font>
    <font>
      <sz val="22"/>
      <color theme="1"/>
      <name val="Arial"/>
      <charset val="134"/>
      <scheme val="minor"/>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trike/>
      <u/>
      <sz val="10"/>
      <color rgb="FF1155CC"/>
      <name val="Calibri"/>
      <charset val="134"/>
    </font>
    <font>
      <b/>
      <sz val="21"/>
      <color rgb="FFFFFFFF"/>
      <name val="Arial"/>
      <charset val="134"/>
    </font>
    <font>
      <u/>
      <sz val="10"/>
      <color rgb="FF000000"/>
      <name val="Calibri"/>
      <charset val="134"/>
    </font>
    <font>
      <u/>
      <sz val="10"/>
      <color rgb="FF800080"/>
      <name val="Calibri"/>
      <charset val="134"/>
    </font>
  </fonts>
  <fills count="61">
    <fill>
      <patternFill patternType="none"/>
    </fill>
    <fill>
      <patternFill patternType="gray125"/>
    </fill>
    <fill>
      <patternFill patternType="solid">
        <fgColor theme="9" tint="-0.499984740745262"/>
        <bgColor theme="1"/>
      </patternFill>
    </fill>
    <fill>
      <patternFill patternType="solid">
        <fgColor theme="3" tint="-0.249946592608417"/>
        <bgColor rgb="FFD9D9D9"/>
      </patternFill>
    </fill>
    <fill>
      <patternFill patternType="solid">
        <fgColor theme="0"/>
        <bgColor rgb="FFC6D9F0"/>
      </patternFill>
    </fill>
    <fill>
      <patternFill patternType="solid">
        <fgColor theme="0"/>
        <bgColor rgb="FFDBEEF4"/>
      </patternFill>
    </fill>
    <fill>
      <patternFill patternType="solid">
        <fgColor theme="0"/>
        <bgColor rgb="FF95B3D7"/>
      </patternFill>
    </fill>
    <fill>
      <patternFill patternType="solid">
        <fgColor theme="0"/>
        <bgColor rgb="FFD6E3BC"/>
      </patternFill>
    </fill>
    <fill>
      <patternFill patternType="solid">
        <fgColor rgb="FF99FF66"/>
        <bgColor rgb="FFC3D69B"/>
      </patternFill>
    </fill>
    <fill>
      <patternFill patternType="solid">
        <fgColor rgb="FFC00000"/>
        <bgColor rgb="FFCC4125"/>
      </patternFill>
    </fill>
    <fill>
      <patternFill patternType="solid">
        <fgColor rgb="FFFFFF99"/>
        <bgColor rgb="FFFFE599"/>
      </patternFill>
    </fill>
    <fill>
      <patternFill patternType="solid">
        <fgColor theme="0" tint="-0.0499893185216834"/>
        <bgColor rgb="FFFAC090"/>
      </patternFill>
    </fill>
    <fill>
      <patternFill patternType="solid">
        <fgColor rgb="FFB6DDE8"/>
        <bgColor rgb="FFB6DDE8"/>
      </patternFill>
    </fill>
    <fill>
      <patternFill patternType="solid">
        <fgColor theme="0"/>
        <bgColor rgb="FFB6DDE8"/>
      </patternFill>
    </fill>
    <fill>
      <patternFill patternType="solid">
        <fgColor theme="0"/>
        <bgColor indexed="64"/>
      </patternFill>
    </fill>
    <fill>
      <patternFill patternType="solid">
        <fgColor theme="0"/>
        <bgColor rgb="FFD9EAD3"/>
      </patternFill>
    </fill>
    <fill>
      <patternFill patternType="solid">
        <fgColor rgb="FFFFFFFF"/>
        <bgColor rgb="FFFFFFFF"/>
      </patternFill>
    </fill>
    <fill>
      <patternFill patternType="solid">
        <fgColor theme="0" tint="-0.0499893185216834"/>
        <bgColor rgb="FFBFBFBF"/>
      </patternFill>
    </fill>
    <fill>
      <patternFill patternType="solid">
        <fgColor theme="0"/>
        <bgColor rgb="FFE6B9B8"/>
      </patternFill>
    </fill>
    <fill>
      <patternFill patternType="solid">
        <fgColor theme="0" tint="-0.149998474074526"/>
        <bgColor indexed="64"/>
      </patternFill>
    </fill>
    <fill>
      <patternFill patternType="solid">
        <fgColor rgb="FFD6E3BC"/>
        <bgColor indexed="64"/>
      </patternFill>
    </fill>
    <fill>
      <patternFill patternType="solid">
        <fgColor rgb="FFD6E3BC"/>
        <bgColor rgb="FFD6E3BC"/>
      </patternFill>
    </fill>
    <fill>
      <patternFill patternType="solid">
        <fgColor rgb="FF0B5394"/>
        <bgColor indexed="64"/>
      </patternFill>
    </fill>
    <fill>
      <patternFill patternType="solid">
        <fgColor rgb="FFD8D8D8"/>
        <bgColor rgb="FFD8D8D8"/>
      </patternFill>
    </fill>
    <fill>
      <patternFill patternType="solid">
        <fgColor rgb="FFFABF8F"/>
        <bgColor indexed="64"/>
      </patternFill>
    </fill>
    <fill>
      <patternFill patternType="solid">
        <fgColor rgb="FFFABF8F"/>
        <bgColor rgb="FFFABF8F"/>
      </patternFill>
    </fill>
    <fill>
      <patternFill patternType="solid">
        <fgColor rgb="FF6D9EEB"/>
        <bgColor rgb="FF6D9EEB"/>
      </patternFill>
    </fill>
    <fill>
      <patternFill patternType="solid">
        <fgColor rgb="FF27F931"/>
        <bgColor rgb="FF27F931"/>
      </patternFill>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right style="thin">
        <color auto="1"/>
      </right>
      <top/>
      <bottom style="medium">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auto="1"/>
      </right>
      <top style="medium">
        <color auto="1"/>
      </top>
      <bottom style="medium">
        <color auto="1"/>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rgb="FF000000"/>
      </bottom>
      <diagonal/>
    </border>
    <border>
      <left style="thin">
        <color auto="1"/>
      </left>
      <right style="thin">
        <color auto="1"/>
      </right>
      <top style="thin">
        <color rgb="FF000000"/>
      </top>
      <bottom style="thin">
        <color auto="1"/>
      </bottom>
      <diagonal/>
    </border>
    <border>
      <left/>
      <right style="medium">
        <color auto="1"/>
      </right>
      <top/>
      <bottom style="thin">
        <color auto="1"/>
      </bottom>
      <diagonal/>
    </border>
    <border>
      <left/>
      <right style="medium">
        <color auto="1"/>
      </right>
      <top/>
      <bottom style="medium">
        <color auto="1"/>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42" fillId="0" borderId="0" applyFont="0" applyFill="0" applyBorder="0" applyAlignment="0" applyProtection="0">
      <alignment vertical="center"/>
    </xf>
    <xf numFmtId="44" fontId="42" fillId="0" borderId="0" applyFont="0" applyFill="0" applyBorder="0" applyAlignment="0" applyProtection="0">
      <alignment vertical="center"/>
    </xf>
    <xf numFmtId="9" fontId="42" fillId="0" borderId="0" applyFont="0" applyFill="0" applyBorder="0" applyAlignment="0" applyProtection="0">
      <alignment vertical="center"/>
    </xf>
    <xf numFmtId="177" fontId="42" fillId="0" borderId="0" applyFont="0" applyFill="0" applyBorder="0" applyAlignment="0" applyProtection="0">
      <alignment vertical="center"/>
    </xf>
    <xf numFmtId="42" fontId="42" fillId="0" borderId="0" applyFont="0" applyFill="0" applyBorder="0" applyAlignment="0" applyProtection="0">
      <alignment vertical="center"/>
    </xf>
    <xf numFmtId="0" fontId="24"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2" fillId="30" borderId="36"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37" applyNumberFormat="0" applyFill="0" applyAlignment="0" applyProtection="0">
      <alignment vertical="center"/>
    </xf>
    <xf numFmtId="0" fontId="48" fillId="0" borderId="37" applyNumberFormat="0" applyFill="0" applyAlignment="0" applyProtection="0">
      <alignment vertical="center"/>
    </xf>
    <xf numFmtId="0" fontId="49" fillId="0" borderId="38" applyNumberFormat="0" applyFill="0" applyAlignment="0" applyProtection="0">
      <alignment vertical="center"/>
    </xf>
    <xf numFmtId="0" fontId="49" fillId="0" borderId="0" applyNumberFormat="0" applyFill="0" applyBorder="0" applyAlignment="0" applyProtection="0">
      <alignment vertical="center"/>
    </xf>
    <xf numFmtId="0" fontId="50" fillId="31" borderId="39" applyNumberFormat="0" applyAlignment="0" applyProtection="0">
      <alignment vertical="center"/>
    </xf>
    <xf numFmtId="0" fontId="51" fillId="32" borderId="40" applyNumberFormat="0" applyAlignment="0" applyProtection="0">
      <alignment vertical="center"/>
    </xf>
    <xf numFmtId="0" fontId="52" fillId="32" borderId="39" applyNumberFormat="0" applyAlignment="0" applyProtection="0">
      <alignment vertical="center"/>
    </xf>
    <xf numFmtId="0" fontId="53" fillId="33" borderId="41" applyNumberFormat="0" applyAlignment="0" applyProtection="0">
      <alignment vertical="center"/>
    </xf>
    <xf numFmtId="0" fontId="54" fillId="0" borderId="42" applyNumberFormat="0" applyFill="0" applyAlignment="0" applyProtection="0">
      <alignment vertical="center"/>
    </xf>
    <xf numFmtId="0" fontId="55" fillId="0" borderId="43" applyNumberFormat="0" applyFill="0" applyAlignment="0" applyProtection="0">
      <alignment vertical="center"/>
    </xf>
    <xf numFmtId="0" fontId="56" fillId="34" borderId="0" applyNumberFormat="0" applyBorder="0" applyAlignment="0" applyProtection="0">
      <alignment vertical="center"/>
    </xf>
    <xf numFmtId="0" fontId="57" fillId="35" borderId="0" applyNumberFormat="0" applyBorder="0" applyAlignment="0" applyProtection="0">
      <alignment vertical="center"/>
    </xf>
    <xf numFmtId="0" fontId="58" fillId="36" borderId="0" applyNumberFormat="0" applyBorder="0" applyAlignment="0" applyProtection="0">
      <alignment vertical="center"/>
    </xf>
    <xf numFmtId="0" fontId="59" fillId="37" borderId="0" applyNumberFormat="0" applyBorder="0" applyAlignment="0" applyProtection="0">
      <alignment vertical="center"/>
    </xf>
    <xf numFmtId="0" fontId="60" fillId="38" borderId="0" applyNumberFormat="0" applyBorder="0" applyAlignment="0" applyProtection="0">
      <alignment vertical="center"/>
    </xf>
    <xf numFmtId="0" fontId="60" fillId="39" borderId="0" applyNumberFormat="0" applyBorder="0" applyAlignment="0" applyProtection="0">
      <alignment vertical="center"/>
    </xf>
    <xf numFmtId="0" fontId="59" fillId="40" borderId="0" applyNumberFormat="0" applyBorder="0" applyAlignment="0" applyProtection="0">
      <alignment vertical="center"/>
    </xf>
    <xf numFmtId="0" fontId="59" fillId="41" borderId="0" applyNumberFormat="0" applyBorder="0" applyAlignment="0" applyProtection="0">
      <alignment vertical="center"/>
    </xf>
    <xf numFmtId="0" fontId="60" fillId="42" borderId="0" applyNumberFormat="0" applyBorder="0" applyAlignment="0" applyProtection="0">
      <alignment vertical="center"/>
    </xf>
    <xf numFmtId="0" fontId="60" fillId="43" borderId="0" applyNumberFormat="0" applyBorder="0" applyAlignment="0" applyProtection="0">
      <alignment vertical="center"/>
    </xf>
    <xf numFmtId="0" fontId="59" fillId="44" borderId="0" applyNumberFormat="0" applyBorder="0" applyAlignment="0" applyProtection="0">
      <alignment vertical="center"/>
    </xf>
    <xf numFmtId="0" fontId="59" fillId="45" borderId="0" applyNumberFormat="0" applyBorder="0" applyAlignment="0" applyProtection="0">
      <alignment vertical="center"/>
    </xf>
    <xf numFmtId="0" fontId="60" fillId="46" borderId="0" applyNumberFormat="0" applyBorder="0" applyAlignment="0" applyProtection="0">
      <alignment vertical="center"/>
    </xf>
    <xf numFmtId="0" fontId="60" fillId="47" borderId="0" applyNumberFormat="0" applyBorder="0" applyAlignment="0" applyProtection="0">
      <alignment vertical="center"/>
    </xf>
    <xf numFmtId="0" fontId="59" fillId="48" borderId="0" applyNumberFormat="0" applyBorder="0" applyAlignment="0" applyProtection="0">
      <alignment vertical="center"/>
    </xf>
    <xf numFmtId="0" fontId="59" fillId="49" borderId="0" applyNumberFormat="0" applyBorder="0" applyAlignment="0" applyProtection="0">
      <alignment vertical="center"/>
    </xf>
    <xf numFmtId="0" fontId="60" fillId="50" borderId="0" applyNumberFormat="0" applyBorder="0" applyAlignment="0" applyProtection="0">
      <alignment vertical="center"/>
    </xf>
    <xf numFmtId="0" fontId="60" fillId="51" borderId="0" applyNumberFormat="0" applyBorder="0" applyAlignment="0" applyProtection="0">
      <alignment vertical="center"/>
    </xf>
    <xf numFmtId="0" fontId="59" fillId="52" borderId="0" applyNumberFormat="0" applyBorder="0" applyAlignment="0" applyProtection="0">
      <alignment vertical="center"/>
    </xf>
    <xf numFmtId="0" fontId="59" fillId="53" borderId="0" applyNumberFormat="0" applyBorder="0" applyAlignment="0" applyProtection="0">
      <alignment vertical="center"/>
    </xf>
    <xf numFmtId="0" fontId="60" fillId="54" borderId="0" applyNumberFormat="0" applyBorder="0" applyAlignment="0" applyProtection="0">
      <alignment vertical="center"/>
    </xf>
    <xf numFmtId="0" fontId="60" fillId="55" borderId="0" applyNumberFormat="0" applyBorder="0" applyAlignment="0" applyProtection="0">
      <alignment vertical="center"/>
    </xf>
    <xf numFmtId="0" fontId="59" fillId="56" borderId="0" applyNumberFormat="0" applyBorder="0" applyAlignment="0" applyProtection="0">
      <alignment vertical="center"/>
    </xf>
    <xf numFmtId="0" fontId="59" fillId="57" borderId="0" applyNumberFormat="0" applyBorder="0" applyAlignment="0" applyProtection="0">
      <alignment vertical="center"/>
    </xf>
    <xf numFmtId="0" fontId="60" fillId="58" borderId="0" applyNumberFormat="0" applyBorder="0" applyAlignment="0" applyProtection="0">
      <alignment vertical="center"/>
    </xf>
    <xf numFmtId="0" fontId="60" fillId="59" borderId="0" applyNumberFormat="0" applyBorder="0" applyAlignment="0" applyProtection="0">
      <alignment vertical="center"/>
    </xf>
    <xf numFmtId="0" fontId="59" fillId="60" borderId="0" applyNumberFormat="0" applyBorder="0" applyAlignment="0" applyProtection="0">
      <alignment vertical="center"/>
    </xf>
    <xf numFmtId="0" fontId="0" fillId="0" borderId="0"/>
    <xf numFmtId="0" fontId="0" fillId="0" borderId="0"/>
  </cellStyleXfs>
  <cellXfs count="152">
    <xf numFmtId="0" fontId="0" fillId="0" borderId="0" xfId="0" applyFont="1" applyAlignment="1"/>
    <xf numFmtId="0" fontId="0" fillId="0" borderId="0" xfId="0"/>
    <xf numFmtId="0" fontId="1" fillId="2" borderId="1" xfId="0" applyFont="1" applyFill="1" applyBorder="1" applyAlignment="1">
      <alignment horizontal="center"/>
    </xf>
    <xf numFmtId="0" fontId="2" fillId="3" borderId="2" xfId="0" applyFont="1" applyFill="1" applyBorder="1" applyAlignment="1">
      <alignment horizontal="left"/>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4" fillId="3" borderId="5" xfId="0" applyFont="1" applyFill="1" applyBorder="1" applyAlignment="1">
      <alignment horizontal="left"/>
    </xf>
    <xf numFmtId="0" fontId="5" fillId="3" borderId="2" xfId="0" applyFont="1" applyFill="1" applyBorder="1" applyAlignment="1">
      <alignment horizontal="left"/>
    </xf>
    <xf numFmtId="0" fontId="6" fillId="5" borderId="6" xfId="0" applyFont="1" applyFill="1" applyBorder="1" applyAlignment="1">
      <alignment horizontal="center" vertical="center" wrapText="1"/>
    </xf>
    <xf numFmtId="0" fontId="7" fillId="6" borderId="2" xfId="0" applyFont="1" applyFill="1" applyBorder="1" applyAlignment="1">
      <alignment horizontal="center" vertical="top" wrapText="1"/>
    </xf>
    <xf numFmtId="0" fontId="7" fillId="6" borderId="7" xfId="0" applyFont="1" applyFill="1" applyBorder="1" applyAlignment="1">
      <alignment horizontal="center" vertical="top" wrapText="1"/>
    </xf>
    <xf numFmtId="0" fontId="8" fillId="7" borderId="2" xfId="0" applyFont="1" applyFill="1" applyBorder="1" applyAlignment="1">
      <alignment vertical="center"/>
    </xf>
    <xf numFmtId="0" fontId="8" fillId="8" borderId="7" xfId="0" applyFont="1" applyFill="1" applyBorder="1" applyAlignment="1">
      <alignment horizontal="center" vertical="center" wrapText="1"/>
    </xf>
    <xf numFmtId="0" fontId="9" fillId="9" borderId="7" xfId="0" applyFont="1" applyFill="1" applyBorder="1" applyAlignment="1">
      <alignment horizontal="center" vertical="center"/>
    </xf>
    <xf numFmtId="0" fontId="8" fillId="10" borderId="7" xfId="0" applyFont="1" applyFill="1" applyBorder="1" applyAlignment="1">
      <alignment horizontal="center" vertical="center"/>
    </xf>
    <xf numFmtId="0" fontId="10" fillId="11" borderId="5" xfId="0" applyFont="1" applyFill="1" applyBorder="1" applyAlignment="1">
      <alignment horizontal="center"/>
    </xf>
    <xf numFmtId="0" fontId="10" fillId="11" borderId="8" xfId="0" applyFont="1" applyFill="1" applyBorder="1" applyAlignment="1">
      <alignment horizontal="center"/>
    </xf>
    <xf numFmtId="0" fontId="10" fillId="11" borderId="8" xfId="0" applyFont="1" applyFill="1" applyBorder="1" applyAlignment="1">
      <alignment horizontal="center" wrapText="1"/>
    </xf>
    <xf numFmtId="0" fontId="4" fillId="12" borderId="9" xfId="49" applyFont="1" applyFill="1" applyBorder="1" applyAlignment="1">
      <alignment horizontal="center" wrapText="1"/>
    </xf>
    <xf numFmtId="0" fontId="11" fillId="0" borderId="10" xfId="49" applyFont="1" applyBorder="1"/>
    <xf numFmtId="0" fontId="4" fillId="13" borderId="9" xfId="49" applyFont="1" applyFill="1" applyBorder="1" applyAlignment="1">
      <alignment horizontal="center" vertical="top" wrapText="1"/>
    </xf>
    <xf numFmtId="0" fontId="11" fillId="14" borderId="10" xfId="49" applyFont="1" applyFill="1" applyBorder="1"/>
    <xf numFmtId="0" fontId="11" fillId="14" borderId="11" xfId="49" applyFont="1" applyFill="1" applyBorder="1"/>
    <xf numFmtId="0" fontId="4" fillId="13" borderId="12" xfId="49" applyFont="1" applyFill="1" applyBorder="1" applyAlignment="1">
      <alignment horizontal="center" vertical="top" wrapText="1"/>
    </xf>
    <xf numFmtId="0" fontId="12" fillId="15" borderId="9" xfId="49" applyFont="1" applyFill="1" applyBorder="1"/>
    <xf numFmtId="0" fontId="12" fillId="15" borderId="12" xfId="49" applyFont="1" applyFill="1" applyBorder="1" applyAlignment="1">
      <alignment horizontal="center" vertical="top"/>
    </xf>
    <xf numFmtId="0" fontId="0" fillId="0" borderId="0" xfId="49"/>
    <xf numFmtId="0" fontId="13" fillId="12" borderId="13" xfId="49" applyFont="1" applyFill="1" applyBorder="1" applyAlignment="1">
      <alignment horizontal="center"/>
    </xf>
    <xf numFmtId="0" fontId="13" fillId="12" borderId="13" xfId="49" applyFont="1" applyFill="1" applyBorder="1" applyAlignment="1">
      <alignment horizontal="center" vertical="center" wrapText="1"/>
    </xf>
    <xf numFmtId="0" fontId="13" fillId="12" borderId="14" xfId="49" applyFont="1" applyFill="1" applyBorder="1" applyAlignment="1">
      <alignment horizontal="center" vertical="center"/>
    </xf>
    <xf numFmtId="0" fontId="11" fillId="0" borderId="15" xfId="49" applyFont="1" applyBorder="1"/>
    <xf numFmtId="0" fontId="11" fillId="0" borderId="16" xfId="49" applyFont="1" applyBorder="1"/>
    <xf numFmtId="0" fontId="11" fillId="0" borderId="17" xfId="49" applyFont="1" applyBorder="1"/>
    <xf numFmtId="0" fontId="11" fillId="0" borderId="18" xfId="49" applyFont="1" applyBorder="1"/>
    <xf numFmtId="0" fontId="11" fillId="0" borderId="19" xfId="49" applyFont="1" applyBorder="1"/>
    <xf numFmtId="0" fontId="11" fillId="0" borderId="20" xfId="49" applyFont="1" applyBorder="1"/>
    <xf numFmtId="0" fontId="13" fillId="0" borderId="13" xfId="49" applyFont="1" applyBorder="1" applyAlignment="1">
      <alignment horizontal="center" vertical="top" wrapText="1"/>
    </xf>
    <xf numFmtId="0" fontId="13" fillId="0" borderId="13" xfId="49" applyFont="1" applyBorder="1" applyAlignment="1">
      <alignment horizontal="center" vertical="center"/>
    </xf>
    <xf numFmtId="0" fontId="14" fillId="0" borderId="14" xfId="49" applyFont="1" applyBorder="1" applyAlignment="1">
      <alignment horizontal="center" vertical="center" wrapText="1"/>
    </xf>
    <xf numFmtId="0" fontId="13" fillId="0" borderId="13" xfId="49" applyFont="1" applyBorder="1" applyAlignment="1">
      <alignment horizontal="center" vertical="center" wrapText="1"/>
    </xf>
    <xf numFmtId="0" fontId="15" fillId="0" borderId="12" xfId="50" applyFont="1" applyBorder="1"/>
    <xf numFmtId="0" fontId="0" fillId="0" borderId="0" xfId="50"/>
    <xf numFmtId="0" fontId="16" fillId="0" borderId="0" xfId="50" applyFont="1"/>
    <xf numFmtId="0" fontId="3" fillId="4" borderId="21" xfId="0" applyFont="1" applyFill="1" applyBorder="1" applyAlignment="1">
      <alignment horizontal="left" vertical="center" wrapText="1"/>
    </xf>
    <xf numFmtId="0" fontId="17" fillId="0" borderId="12" xfId="50" applyFont="1" applyBorder="1" applyAlignment="1">
      <alignment horizontal="center"/>
    </xf>
    <xf numFmtId="0" fontId="17" fillId="0" borderId="9" xfId="50" applyFont="1" applyBorder="1"/>
    <xf numFmtId="0" fontId="14" fillId="0" borderId="12" xfId="50" applyFont="1" applyBorder="1"/>
    <xf numFmtId="0" fontId="18" fillId="16" borderId="22" xfId="50" applyFont="1" applyFill="1" applyBorder="1"/>
    <xf numFmtId="0" fontId="17" fillId="0" borderId="12" xfId="50" applyFont="1" applyBorder="1"/>
    <xf numFmtId="0" fontId="13" fillId="0" borderId="23" xfId="50" applyFont="1" applyBorder="1"/>
    <xf numFmtId="0" fontId="13" fillId="0" borderId="24" xfId="50" applyFont="1" applyBorder="1"/>
    <xf numFmtId="0" fontId="14" fillId="0" borderId="25" xfId="50" applyFont="1" applyBorder="1"/>
    <xf numFmtId="0" fontId="0" fillId="0" borderId="0" xfId="0" applyBorder="1"/>
    <xf numFmtId="0" fontId="7" fillId="6" borderId="26" xfId="0" applyFont="1" applyFill="1" applyBorder="1" applyAlignment="1">
      <alignment horizontal="center" vertical="top" wrapText="1"/>
    </xf>
    <xf numFmtId="0" fontId="8" fillId="17" borderId="7" xfId="0" applyFont="1" applyFill="1" applyBorder="1" applyAlignment="1">
      <alignment horizontal="center" vertical="center"/>
    </xf>
    <xf numFmtId="0" fontId="19" fillId="18" borderId="26" xfId="0" applyFont="1" applyFill="1" applyBorder="1" applyAlignment="1">
      <alignment horizontal="center" vertical="center"/>
    </xf>
    <xf numFmtId="0" fontId="10" fillId="11" borderId="27" xfId="0" applyFont="1" applyFill="1" applyBorder="1" applyAlignment="1">
      <alignment horizontal="center"/>
    </xf>
    <xf numFmtId="0" fontId="11" fillId="0" borderId="11" xfId="49" applyFont="1" applyBorder="1"/>
    <xf numFmtId="0" fontId="11" fillId="0" borderId="28" xfId="49" applyFont="1" applyBorder="1"/>
    <xf numFmtId="0" fontId="11" fillId="0" borderId="29" xfId="49" applyFont="1" applyBorder="1"/>
    <xf numFmtId="0" fontId="11" fillId="0" borderId="30" xfId="49" applyFont="1" applyBorder="1"/>
    <xf numFmtId="0" fontId="13" fillId="0" borderId="31" xfId="50" applyFont="1" applyBorder="1"/>
    <xf numFmtId="0" fontId="13" fillId="0" borderId="32" xfId="50" applyFont="1" applyBorder="1"/>
    <xf numFmtId="0" fontId="13" fillId="0" borderId="33" xfId="50" applyFont="1" applyBorder="1"/>
    <xf numFmtId="0" fontId="20" fillId="0" borderId="0" xfId="0" applyFont="1" applyAlignment="1">
      <alignment horizontal="center" vertical="center"/>
    </xf>
    <xf numFmtId="0" fontId="0" fillId="0" borderId="0" xfId="0" applyFont="1" applyAlignment="1">
      <alignment horizontal="center" vertical="center"/>
    </xf>
    <xf numFmtId="0" fontId="21" fillId="19" borderId="34" xfId="0" applyFont="1" applyFill="1" applyBorder="1" applyAlignment="1">
      <alignment horizontal="center" vertical="center" wrapText="1"/>
    </xf>
    <xf numFmtId="0" fontId="22" fillId="0" borderId="34" xfId="0" applyFont="1" applyBorder="1" applyAlignment="1">
      <alignment horizontal="center" vertical="center" wrapText="1"/>
    </xf>
    <xf numFmtId="0" fontId="20" fillId="0" borderId="34" xfId="0" applyFont="1" applyBorder="1" applyAlignment="1">
      <alignment horizontal="center" vertical="center" wrapText="1"/>
    </xf>
    <xf numFmtId="0" fontId="23" fillId="0" borderId="34" xfId="0" applyFont="1" applyBorder="1" applyAlignment="1">
      <alignment horizontal="center" vertical="center" wrapText="1"/>
    </xf>
    <xf numFmtId="0" fontId="20" fillId="16" borderId="34" xfId="0" applyFont="1" applyFill="1" applyBorder="1" applyAlignment="1">
      <alignment horizontal="center" vertical="center" wrapText="1"/>
    </xf>
    <xf numFmtId="0" fontId="24" fillId="0" borderId="34" xfId="6" applyBorder="1" applyAlignment="1">
      <alignment horizontal="center" vertical="center"/>
    </xf>
    <xf numFmtId="0" fontId="0" fillId="0" borderId="34" xfId="0" applyBorder="1" applyAlignment="1">
      <alignment horizontal="center" vertical="center" wrapText="1"/>
    </xf>
    <xf numFmtId="0" fontId="11" fillId="0" borderId="34"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12" xfId="0" applyFont="1" applyBorder="1" applyAlignment="1">
      <alignment horizontal="center" vertical="center" wrapText="1"/>
    </xf>
    <xf numFmtId="0" fontId="26" fillId="0" borderId="0" xfId="0" applyFont="1" applyAlignment="1">
      <alignment horizontal="center"/>
    </xf>
    <xf numFmtId="0" fontId="27" fillId="0" borderId="0" xfId="0" applyFont="1" applyAlignment="1">
      <alignment horizontal="center"/>
    </xf>
    <xf numFmtId="0" fontId="0" fillId="0" borderId="0" xfId="0" applyFont="1" applyBorder="1" applyAlignment="1"/>
    <xf numFmtId="0" fontId="0" fillId="0" borderId="0" xfId="0" applyFont="1" applyAlignment="1">
      <alignment horizontal="center"/>
    </xf>
    <xf numFmtId="0" fontId="28" fillId="20" borderId="34" xfId="0" applyFont="1" applyFill="1" applyBorder="1" applyAlignment="1">
      <alignment horizontal="center" vertical="center" wrapText="1" readingOrder="1"/>
    </xf>
    <xf numFmtId="0" fontId="29" fillId="0" borderId="34" xfId="0" applyFont="1" applyBorder="1" applyAlignment="1">
      <alignment horizontal="center" vertical="center" wrapText="1"/>
    </xf>
    <xf numFmtId="0" fontId="30" fillId="21" borderId="34" xfId="0" applyFont="1" applyFill="1" applyBorder="1" applyAlignment="1">
      <alignment horizontal="center" vertical="center" wrapText="1"/>
    </xf>
    <xf numFmtId="178" fontId="30" fillId="0" borderId="34" xfId="0" applyNumberFormat="1" applyFont="1" applyBorder="1" applyAlignment="1">
      <alignment horizontal="center" vertical="center" wrapText="1"/>
    </xf>
    <xf numFmtId="0" fontId="30" fillId="0" borderId="34" xfId="0" applyFont="1" applyBorder="1" applyAlignment="1">
      <alignment horizontal="center" vertical="center" wrapText="1"/>
    </xf>
    <xf numFmtId="58" fontId="30" fillId="0" borderId="34" xfId="0" applyNumberFormat="1" applyFont="1" applyBorder="1" applyAlignment="1">
      <alignment horizontal="center" vertical="center" wrapText="1"/>
    </xf>
    <xf numFmtId="58" fontId="31" fillId="0" borderId="34" xfId="0" applyNumberFormat="1" applyFont="1" applyBorder="1" applyAlignment="1">
      <alignment horizontal="center" vertical="center" wrapText="1"/>
    </xf>
    <xf numFmtId="0" fontId="0" fillId="0" borderId="34" xfId="0" applyBorder="1" applyAlignment="1">
      <alignment horizontal="center" vertical="center" wrapText="1" readingOrder="1"/>
    </xf>
    <xf numFmtId="0" fontId="31" fillId="0" borderId="34" xfId="0" applyFont="1" applyBorder="1" applyAlignment="1">
      <alignment horizontal="center" vertical="center" wrapText="1"/>
    </xf>
    <xf numFmtId="0" fontId="32" fillId="22" borderId="34" xfId="0" applyFont="1" applyFill="1" applyBorder="1" applyAlignment="1">
      <alignment horizontal="center" vertical="center" wrapText="1" readingOrder="1"/>
    </xf>
    <xf numFmtId="0" fontId="33" fillId="23" borderId="34" xfId="0" applyFont="1" applyFill="1" applyBorder="1" applyAlignment="1">
      <alignment horizontal="center" vertical="center" wrapText="1"/>
    </xf>
    <xf numFmtId="0" fontId="28" fillId="19" borderId="34" xfId="0" applyFont="1" applyFill="1" applyBorder="1" applyAlignment="1">
      <alignment horizontal="center" vertical="center" wrapText="1"/>
    </xf>
    <xf numFmtId="0" fontId="25" fillId="0" borderId="34" xfId="0" applyFont="1" applyBorder="1" applyAlignment="1">
      <alignment horizontal="center" vertical="center" wrapText="1"/>
    </xf>
    <xf numFmtId="49" fontId="20" fillId="0" borderId="34" xfId="0" applyNumberFormat="1" applyFont="1" applyBorder="1" applyAlignment="1">
      <alignment horizontal="center" vertical="center" wrapText="1"/>
    </xf>
    <xf numFmtId="0" fontId="32" fillId="22" borderId="31" xfId="0" applyFont="1" applyFill="1" applyBorder="1" applyAlignment="1">
      <alignment horizontal="center" vertical="center" wrapText="1" readingOrder="1"/>
    </xf>
    <xf numFmtId="0" fontId="32" fillId="22" borderId="35" xfId="0" applyFont="1" applyFill="1" applyBorder="1" applyAlignment="1">
      <alignment horizontal="center" vertical="center" wrapText="1" readingOrder="1"/>
    </xf>
    <xf numFmtId="0" fontId="32" fillId="22" borderId="32" xfId="0" applyFont="1" applyFill="1" applyBorder="1" applyAlignment="1">
      <alignment horizontal="center" vertical="center" wrapText="1" readingOrder="1"/>
    </xf>
    <xf numFmtId="0" fontId="22" fillId="23" borderId="34" xfId="0" applyFont="1" applyFill="1" applyBorder="1" applyAlignment="1">
      <alignment horizontal="center" vertical="center" wrapText="1"/>
    </xf>
    <xf numFmtId="0" fontId="28" fillId="19" borderId="34" xfId="0" applyFont="1" applyFill="1" applyBorder="1" applyAlignment="1">
      <alignment horizontal="center" vertical="center"/>
    </xf>
    <xf numFmtId="0" fontId="34" fillId="0" borderId="34" xfId="0" applyFont="1" applyBorder="1" applyAlignment="1">
      <alignment horizontal="center" vertical="center" wrapText="1"/>
    </xf>
    <xf numFmtId="0" fontId="35" fillId="0" borderId="34" xfId="0" applyFont="1" applyBorder="1" applyAlignment="1">
      <alignment horizontal="center" vertical="center" wrapText="1"/>
    </xf>
    <xf numFmtId="0" fontId="36" fillId="0" borderId="0" xfId="0" applyFont="1" applyBorder="1" applyAlignment="1">
      <alignment horizontal="center"/>
    </xf>
    <xf numFmtId="0" fontId="0" fillId="0" borderId="0" xfId="0" applyBorder="1" applyAlignment="1">
      <alignment horizontal="center" wrapText="1" readingOrder="1"/>
    </xf>
    <xf numFmtId="0" fontId="37" fillId="0" borderId="0" xfId="0" applyFont="1" applyBorder="1" applyAlignment="1">
      <alignment horizontal="center" vertical="center"/>
    </xf>
    <xf numFmtId="0" fontId="0" fillId="0" borderId="0" xfId="0" applyFont="1" applyBorder="1" applyAlignment="1">
      <alignment horizontal="center"/>
    </xf>
    <xf numFmtId="0" fontId="26" fillId="0" borderId="0" xfId="0" applyFont="1" applyBorder="1" applyAlignment="1">
      <alignment horizontal="center"/>
    </xf>
    <xf numFmtId="0" fontId="27" fillId="0" borderId="0" xfId="0" applyFont="1" applyBorder="1" applyAlignment="1">
      <alignment horizontal="center"/>
    </xf>
    <xf numFmtId="0" fontId="21" fillId="23" borderId="34" xfId="0" applyFont="1" applyFill="1" applyBorder="1" applyAlignment="1">
      <alignment horizontal="center" vertical="center" wrapText="1"/>
    </xf>
    <xf numFmtId="0" fontId="21" fillId="0" borderId="34" xfId="0" applyFont="1" applyBorder="1" applyAlignment="1">
      <alignment horizontal="center" vertical="center" wrapText="1"/>
    </xf>
    <xf numFmtId="0" fontId="32" fillId="22" borderId="31" xfId="0" applyFont="1" applyFill="1" applyBorder="1" applyAlignment="1">
      <alignment horizontal="center" vertical="center" wrapText="1"/>
    </xf>
    <xf numFmtId="0" fontId="32" fillId="22" borderId="35" xfId="0" applyFont="1" applyFill="1" applyBorder="1" applyAlignment="1">
      <alignment horizontal="center" vertical="center" wrapText="1"/>
    </xf>
    <xf numFmtId="0" fontId="32" fillId="22" borderId="32" xfId="0" applyFont="1" applyFill="1" applyBorder="1" applyAlignment="1">
      <alignment horizontal="center" vertical="center" wrapText="1"/>
    </xf>
    <xf numFmtId="0" fontId="21" fillId="16" borderId="34" xfId="0" applyFont="1" applyFill="1" applyBorder="1" applyAlignment="1">
      <alignment horizontal="center" vertical="center" wrapText="1"/>
    </xf>
    <xf numFmtId="0" fontId="28" fillId="0" borderId="34" xfId="0" applyFont="1" applyBorder="1" applyAlignment="1">
      <alignment horizontal="center" vertical="center" wrapText="1"/>
    </xf>
    <xf numFmtId="0" fontId="0" fillId="0" borderId="34" xfId="0" applyFont="1" applyBorder="1" applyAlignment="1">
      <alignment horizontal="center" vertical="center" wrapText="1"/>
    </xf>
    <xf numFmtId="0" fontId="38" fillId="0" borderId="0" xfId="0" applyFont="1" applyBorder="1" applyAlignment="1">
      <alignment horizontal="distributed" vertical="center" wrapText="1"/>
    </xf>
    <xf numFmtId="0" fontId="39" fillId="0" borderId="0" xfId="0" applyFont="1" applyBorder="1" applyAlignment="1">
      <alignment horizontal="center" vertical="center" wrapText="1"/>
    </xf>
    <xf numFmtId="0" fontId="38" fillId="0" borderId="0" xfId="0" applyFont="1" applyBorder="1" applyAlignment="1">
      <alignment horizontal="distributed" vertical="center"/>
    </xf>
    <xf numFmtId="0" fontId="26" fillId="0" borderId="0" xfId="0" applyFont="1" applyAlignment="1"/>
    <xf numFmtId="0" fontId="27" fillId="0" borderId="0" xfId="0" applyFont="1" applyAlignment="1"/>
    <xf numFmtId="0" fontId="0" fillId="0" borderId="0" xfId="0" applyFont="1" applyAlignment="1">
      <alignment wrapText="1"/>
    </xf>
    <xf numFmtId="0" fontId="28" fillId="0" borderId="34" xfId="0" applyFont="1" applyBorder="1" applyAlignment="1">
      <alignment horizontal="center" vertical="center"/>
    </xf>
    <xf numFmtId="0" fontId="0" fillId="0" borderId="34" xfId="0" applyFont="1" applyBorder="1" applyAlignment="1">
      <alignment horizontal="center" vertical="center"/>
    </xf>
    <xf numFmtId="0" fontId="0" fillId="0" borderId="0" xfId="0" applyFont="1" applyBorder="1" applyAlignment="1">
      <alignment horizontal="center" vertical="center"/>
    </xf>
    <xf numFmtId="0" fontId="28" fillId="24" borderId="34" xfId="0" applyFont="1" applyFill="1" applyBorder="1" applyAlignment="1">
      <alignment horizontal="center" vertical="center" wrapText="1" readingOrder="1"/>
    </xf>
    <xf numFmtId="0" fontId="30" fillId="25" borderId="34" xfId="0" applyFont="1" applyFill="1" applyBorder="1" applyAlignment="1">
      <alignment horizontal="center" vertical="center" wrapText="1"/>
    </xf>
    <xf numFmtId="0" fontId="31" fillId="25" borderId="34" xfId="0" applyFont="1" applyFill="1" applyBorder="1" applyAlignment="1">
      <alignment horizontal="center" vertical="center" wrapText="1"/>
    </xf>
    <xf numFmtId="0" fontId="30" fillId="26" borderId="34" xfId="0" applyFont="1" applyFill="1" applyBorder="1" applyAlignment="1">
      <alignment horizontal="center" vertical="center" wrapText="1"/>
    </xf>
    <xf numFmtId="0" fontId="30" fillId="23" borderId="34" xfId="0" applyFont="1" applyFill="1" applyBorder="1" applyAlignment="1">
      <alignment horizontal="center" vertical="center" wrapText="1"/>
    </xf>
    <xf numFmtId="0" fontId="40" fillId="0" borderId="34" xfId="0" applyFont="1" applyBorder="1" applyAlignment="1">
      <alignment horizontal="center" vertical="center" wrapText="1"/>
    </xf>
    <xf numFmtId="0" fontId="36" fillId="0" borderId="0" xfId="0" applyFont="1" applyBorder="1" applyAlignment="1">
      <alignment horizontal="center" vertical="center"/>
    </xf>
    <xf numFmtId="0" fontId="31" fillId="27" borderId="34" xfId="0" applyFont="1" applyFill="1" applyBorder="1" applyAlignment="1">
      <alignment horizontal="center" vertical="center" wrapText="1"/>
    </xf>
    <xf numFmtId="0" fontId="31" fillId="28" borderId="34" xfId="0" applyFont="1" applyFill="1" applyBorder="1" applyAlignment="1">
      <alignment horizontal="center" vertical="center" wrapText="1"/>
    </xf>
    <xf numFmtId="0" fontId="31" fillId="29" borderId="34" xfId="0" applyFont="1" applyFill="1" applyBorder="1" applyAlignment="1">
      <alignment horizontal="center" vertical="center" wrapText="1"/>
    </xf>
    <xf numFmtId="0" fontId="31" fillId="26" borderId="34" xfId="0" applyFont="1" applyFill="1" applyBorder="1" applyAlignment="1">
      <alignment horizontal="center" vertical="center" wrapText="1"/>
    </xf>
    <xf numFmtId="0" fontId="30" fillId="23" borderId="31" xfId="0" applyFont="1" applyFill="1" applyBorder="1" applyAlignment="1">
      <alignment horizontal="center" vertical="center" wrapText="1"/>
    </xf>
    <xf numFmtId="0" fontId="14" fillId="0" borderId="0" xfId="0" applyFont="1" applyBorder="1" applyAlignment="1">
      <alignment horizontal="center" vertical="center"/>
    </xf>
    <xf numFmtId="0" fontId="39" fillId="0" borderId="0" xfId="0" applyFont="1" applyBorder="1" applyAlignment="1">
      <alignment horizontal="center" vertical="center"/>
    </xf>
    <xf numFmtId="0" fontId="0" fillId="0" borderId="0" xfId="0" applyBorder="1" applyAlignment="1">
      <alignment horizontal="center" vertical="center" wrapText="1" readingOrder="1"/>
    </xf>
    <xf numFmtId="0" fontId="26" fillId="0" borderId="0" xfId="0" applyFont="1" applyBorder="1" applyAlignment="1">
      <alignment horizontal="center" vertical="center"/>
    </xf>
    <xf numFmtId="0" fontId="27" fillId="0" borderId="0" xfId="0" applyFont="1" applyBorder="1" applyAlignment="1">
      <alignment horizontal="center" vertical="center"/>
    </xf>
    <xf numFmtId="0" fontId="32" fillId="22" borderId="34" xfId="0" applyFont="1" applyFill="1" applyBorder="1" applyAlignment="1">
      <alignment horizontal="center" vertical="center" wrapText="1"/>
    </xf>
    <xf numFmtId="0" fontId="25" fillId="16" borderId="34" xfId="0" applyFont="1" applyFill="1" applyBorder="1" applyAlignment="1">
      <alignment horizontal="center" vertical="center" wrapText="1"/>
    </xf>
    <xf numFmtId="0" fontId="39" fillId="16" borderId="0" xfId="0" applyFont="1" applyFill="1" applyBorder="1" applyAlignment="1">
      <alignment horizontal="center" vertical="center"/>
    </xf>
    <xf numFmtId="0" fontId="39" fillId="16" borderId="0" xfId="0" applyFont="1" applyFill="1" applyBorder="1" applyAlignment="1">
      <alignment horizontal="center" vertical="center" wrapText="1"/>
    </xf>
    <xf numFmtId="0" fontId="37" fillId="16" borderId="0" xfId="0" applyFont="1" applyFill="1" applyBorder="1" applyAlignment="1">
      <alignment horizontal="center" vertical="center"/>
    </xf>
    <xf numFmtId="0" fontId="0" fillId="0" borderId="0" xfId="0" applyFont="1" applyBorder="1" applyAlignment="1">
      <alignment horizontal="center" vertical="center" wrapText="1"/>
    </xf>
    <xf numFmtId="0" fontId="41" fillId="0" borderId="0" xfId="0" applyFont="1" applyBorder="1" applyAlignment="1">
      <alignment horizontal="center" vertical="center"/>
    </xf>
    <xf numFmtId="0" fontId="38" fillId="0" borderId="34" xfId="0" applyFont="1" applyBorder="1" applyAlignment="1">
      <alignment horizontal="center" vertical="center" wrapText="1"/>
    </xf>
    <xf numFmtId="0" fontId="39" fillId="0" borderId="34" xfId="0" applyFont="1" applyBorder="1" applyAlignment="1">
      <alignment horizontal="center" vertical="center" wrapText="1"/>
    </xf>
    <xf numFmtId="0" fontId="39" fillId="0" borderId="34" xfId="0" applyFont="1" applyBorder="1" applyAlignment="1">
      <alignment horizontal="center" vertical="center"/>
    </xf>
    <xf numFmtId="0" fontId="38" fillId="0" borderId="34" xfId="0" applyFont="1" applyBorder="1" applyAlignment="1">
      <alignment horizontal="center"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3" xfId="49"/>
    <cellStyle name="Normal 2" xfId="50"/>
  </cellStyles>
  <dxfs count="20">
    <dxf>
      <fill>
        <patternFill patternType="solid">
          <bgColor rgb="FF2AFB25"/>
        </patternFill>
      </fill>
    </dxf>
    <dxf>
      <fill>
        <patternFill patternType="solid">
          <bgColor rgb="FFFA0F04"/>
        </patternFill>
      </fill>
    </dxf>
    <dxf>
      <fill>
        <patternFill patternType="solid">
          <fgColor rgb="FF76A5AF"/>
          <bgColor rgb="FF76A5A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mruColors>
      <color rgb="0028F846"/>
      <color rgb="00FA0F04"/>
      <color rgb="002AFB25"/>
      <color rgb="00000000"/>
      <color rgb="00F7F4E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doughnutChart>
        <c:varyColors val="1"/>
        <c:ser>
          <c:idx val="0"/>
          <c:order val="0"/>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elete val="1"/>
          </c:dLbls>
          <c:val>
            <c:numRef>
              <c:f>'Testcase Execution'!$I$1:$I$4</c:f>
              <c:numCache>
                <c:formatCode>General</c:formatCode>
                <c:ptCount val="4"/>
                <c:pt idx="1">
                  <c:v>303</c:v>
                </c:pt>
                <c:pt idx="2">
                  <c:v>2</c:v>
                </c:pt>
                <c:pt idx="3">
                  <c:v>0</c:v>
                </c:pt>
              </c:numCache>
            </c:numRef>
          </c:val>
          <c:extLst>
            <c:ext xmlns:c15="http://schemas.microsoft.com/office/drawing/2012/chart" uri="{02D57815-91ED-43cb-92C2-25804820EDAC}">
              <c15:filteredCategoryTitle>
                <c15:cat>
                  <c:strRef>
                    <c:extLst>
                      <c:ext uri="{02D57815-91ED-43cb-92C2-25804820EDAC}">
                        <c15:formulaRef>
                          <c15:sqref>'Testcase Execution'!$H$1:$H$4</c15:sqref>
                        </c15:formulaRef>
                      </c:ext>
                    </c:extLst>
                    <c:strCache>
                      <c:ptCount val="4"/>
                      <c:pt idx="0">
                        <c:v>TEST CASE SUMMARY</c:v>
                      </c:pt>
                      <c:pt idx="1">
                        <c:v>PASS</c:v>
                      </c:pt>
                      <c:pt idx="2">
                        <c:v>FAIL</c:v>
                      </c:pt>
                      <c:pt idx="3">
                        <c:v>WARNING</c:v>
                      </c:pt>
                    </c:strCache>
                  </c:strRef>
                </c15:cat>
              </c15:filteredCategoryTitl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5bcf8ab-26ec-426d-a812-c1ba8a95ce87}"/>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TES</a:t>
            </a:r>
            <a:r>
              <a:rPr lang="en-US" baseline="0"/>
              <a:t>T CASE SUMMARY</a:t>
            </a:r>
            <a:endParaRPr lang="en-US"/>
          </a:p>
        </c:rich>
      </c:tx>
      <c:layout/>
      <c:overlay val="0"/>
      <c:spPr>
        <a:noFill/>
        <a:ln>
          <a:noFill/>
        </a:ln>
        <a:effectLst/>
      </c:spPr>
    </c:title>
    <c:autoTitleDeleted val="0"/>
    <c:plotArea>
      <c:layout>
        <c:manualLayout>
          <c:layoutTarget val="inner"/>
          <c:xMode val="edge"/>
          <c:yMode val="edge"/>
          <c:x val="0.311454644396769"/>
          <c:y val="0.191763831351269"/>
          <c:w val="0.351756232686981"/>
          <c:h val="0.5877528349919"/>
        </c:manualLayout>
      </c:layout>
      <c:doughnutChart>
        <c:varyColors val="1"/>
        <c:ser>
          <c:idx val="0"/>
          <c:order val="0"/>
          <c:spPr/>
          <c:explosion val="0"/>
          <c:dPt>
            <c:idx val="0"/>
            <c:bubble3D val="0"/>
            <c:spPr>
              <a:solidFill>
                <a:schemeClr val="accent1"/>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[3]Sheet4!$I$7:$I$9</c:f>
              <c:strCache>
                <c:ptCount val="3"/>
                <c:pt idx="0">
                  <c:v>TEST CASE SUMMARY</c:v>
                </c:pt>
                <c:pt idx="1">
                  <c:v>PASS</c:v>
                </c:pt>
                <c:pt idx="2">
                  <c:v>FAIL</c:v>
                </c:pt>
              </c:strCache>
            </c:strRef>
          </c:cat>
          <c:val>
            <c:numRef>
              <c:f>[3]Sheet4!$J$7:$J$9</c:f>
              <c:numCache>
                <c:formatCode>General</c:formatCode>
                <c:ptCount val="3"/>
                <c:pt idx="1">
                  <c:v>0.994</c:v>
                </c:pt>
                <c:pt idx="2">
                  <c:v>0.006</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egendEntry>
        <c:idx val="0"/>
        <c:delete val="1"/>
      </c:legendEntry>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09e39d8-4a17-4370-bf4c-266fa3b96a27}"/>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860323</xdr:colOff>
      <xdr:row>206</xdr:row>
      <xdr:rowOff>401490</xdr:rowOff>
    </xdr:from>
    <xdr:to>
      <xdr:col>5</xdr:col>
      <xdr:colOff>401484</xdr:colOff>
      <xdr:row>210</xdr:row>
      <xdr:rowOff>686626</xdr:rowOff>
    </xdr:to>
    <xdr:graphicFrame>
      <xdr:nvGraphicFramePr>
        <xdr:cNvPr id="2" name="Chart 1"/>
        <xdr:cNvGraphicFramePr/>
      </xdr:nvGraphicFramePr>
      <xdr:xfrm>
        <a:off x="5066030" y="157264735"/>
        <a:ext cx="4570730" cy="27387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12</xdr:col>
      <xdr:colOff>72390</xdr:colOff>
      <xdr:row>13</xdr:row>
      <xdr:rowOff>295275</xdr:rowOff>
    </xdr:from>
    <xdr:to>
      <xdr:col>17</xdr:col>
      <xdr:colOff>552450</xdr:colOff>
      <xdr:row>27</xdr:row>
      <xdr:rowOff>108585</xdr:rowOff>
    </xdr:to>
    <xdr:graphicFrame>
      <xdr:nvGraphicFramePr>
        <xdr:cNvPr id="2" name="Chart 1"/>
        <xdr:cNvGraphicFramePr/>
      </xdr:nvGraphicFramePr>
      <xdr:xfrm>
        <a:off x="8848090" y="2889885"/>
        <a:ext cx="550164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Others\Rokomari-Manual-Testi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AppData\Local\Packages\5319275A.WhatsAppDesktop_cv1g1gvanyjgm\LocalState\sessions\F2CDF680F3E58EB9BC2BAD7843233B73FAF072DE\transfers\2026-01\Test%20cases%20execution%20of%20Illiye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USER\AppData\Local\Packages\5319275A.WhatsAppDesktop_cv1g1gvanyjgm\LocalState\sessions\F2CDF680F3E58EB9BC2BAD7843233B73FAF072DE\transfers\2026-01\Test%20cases%20execution%20of%20Illiyeen%20(Autosaved)%20(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estCase"/>
      <sheetName val="TestCaseReport"/>
      <sheetName val="Test Metrics"/>
    </sheetNames>
    <sheetDataSet>
      <sheetData sheetId="0"/>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estcase Execution"/>
      <sheetName val="Testcase"/>
      <sheetName val="Bug Report"/>
      <sheetName val="Enhancement"/>
      <sheetName val="Sheet4"/>
    </sheetNames>
    <sheetDataSet>
      <sheetData sheetId="0">
        <row r="2">
          <cell r="I2">
            <v>303</v>
          </cell>
        </row>
        <row r="3">
          <cell r="I3">
            <v>2</v>
          </cell>
        </row>
        <row r="5">
          <cell r="I5">
            <v>305</v>
          </cell>
        </row>
      </sheetData>
      <sheetData sheetId="1"/>
      <sheetData sheetId="2"/>
      <sheetData sheetId="3"/>
      <sheetData sheetId="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Testcase Execution"/>
      <sheetName val="Sheet1"/>
      <sheetName val="Testcase"/>
      <sheetName val="Bug Report"/>
      <sheetName val="Enhancement"/>
      <sheetName val="Sheet4"/>
    </sheetNames>
    <sheetDataSet>
      <sheetData sheetId="0"/>
      <sheetData sheetId="1"/>
      <sheetData sheetId="2"/>
      <sheetData sheetId="3"/>
      <sheetData sheetId="4"/>
      <sheetData sheetId="5">
        <row r="7">
          <cell r="I7" t="str">
            <v>TEST CASE SUMMARY</v>
          </cell>
        </row>
        <row r="8">
          <cell r="I8" t="str">
            <v>PASS</v>
          </cell>
          <cell r="J8">
            <v>0.994</v>
          </cell>
        </row>
        <row r="9">
          <cell r="I9" t="str">
            <v>FAIL</v>
          </cell>
          <cell r="J9">
            <v>0.006</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fahimfattahulhasangmail.com/" TargetMode="External"/><Relationship Id="rId4" Type="http://schemas.openxmlformats.org/officeDocument/2006/relationships/hyperlink" Target="https://www.ililyeen.com/" TargetMode="External"/><Relationship Id="rId3" Type="http://schemas.openxmlformats.org/officeDocument/2006/relationships/hyperlink" Target="https://ilyn.global/2." TargetMode="External"/><Relationship Id="rId2" Type="http://schemas.openxmlformats.org/officeDocument/2006/relationships/hyperlink" Target="https://ilyn.global/"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 Type="http://schemas.openxmlformats.org/officeDocument/2006/relationships/hyperlink" Target="https://www.ililyeen.com/" TargetMode="External"/><Relationship Id="rId3" Type="http://schemas.openxmlformats.org/officeDocument/2006/relationships/hyperlink" Target="http://fahimfattahulhasangmail.com/" TargetMode="External"/><Relationship Id="rId2" Type="http://schemas.openxmlformats.org/officeDocument/2006/relationships/hyperlink" Target="https://ilyn.global/2." TargetMode="External"/><Relationship Id="rId1" Type="http://schemas.openxmlformats.org/officeDocument/2006/relationships/hyperlink" Target="https://ilyn.global/"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prnt.sc/rSDiOhAVi1ey" TargetMode="External"/><Relationship Id="rId1" Type="http://schemas.openxmlformats.org/officeDocument/2006/relationships/hyperlink" Target="https://ilyn.globa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E964"/>
  <sheetViews>
    <sheetView zoomScale="93" zoomScaleNormal="93" topLeftCell="B1" workbookViewId="0">
      <pane ySplit="6" topLeftCell="A7" activePane="bottomLeft" state="frozen"/>
      <selection/>
      <selection pane="bottomLeft" activeCell="J4" sqref="J4"/>
    </sheetView>
  </sheetViews>
  <sheetFormatPr defaultColWidth="12.6666666666667" defaultRowHeight="15.75" customHeight="1"/>
  <cols>
    <col min="1" max="1" width="15.1111111111111" style="121" customWidth="1"/>
    <col min="2" max="2" width="26.4444444444444" style="122" customWidth="1"/>
    <col min="3" max="3" width="19.7777777777778" style="122" customWidth="1"/>
    <col min="4" max="4" width="41.3333333333333" style="122" customWidth="1"/>
    <col min="5" max="5" width="32" style="122" customWidth="1"/>
    <col min="6" max="6" width="26.7777777777778" style="122" customWidth="1"/>
    <col min="7" max="7" width="15.4444444444444" style="122" customWidth="1"/>
    <col min="8" max="8" width="16" style="122" customWidth="1"/>
    <col min="9" max="9" width="17.7777777777778" style="122" customWidth="1"/>
    <col min="10" max="31" width="12.6666666666667" style="123"/>
  </cols>
  <sheetData>
    <row r="1" s="118" customFormat="1" ht="16.35" customHeight="1" spans="1:31">
      <c r="A1" s="80" t="s">
        <v>0</v>
      </c>
      <c r="B1" s="80"/>
      <c r="C1" s="81" t="s">
        <v>1</v>
      </c>
      <c r="D1" s="82" t="s">
        <v>2</v>
      </c>
      <c r="E1" s="83">
        <v>45938</v>
      </c>
      <c r="F1" s="82" t="s">
        <v>3</v>
      </c>
      <c r="G1" s="83" t="s">
        <v>4</v>
      </c>
      <c r="H1" s="82" t="s">
        <v>5</v>
      </c>
      <c r="I1" s="129"/>
      <c r="J1" s="130"/>
      <c r="K1" s="130"/>
      <c r="L1" s="130"/>
      <c r="M1" s="130"/>
      <c r="N1" s="130"/>
      <c r="O1" s="130"/>
      <c r="P1" s="130"/>
      <c r="Q1" s="130"/>
      <c r="R1" s="130"/>
      <c r="S1" s="130"/>
      <c r="T1" s="130"/>
      <c r="U1" s="130"/>
      <c r="V1" s="130"/>
      <c r="W1" s="130"/>
      <c r="X1" s="130"/>
      <c r="Y1" s="130"/>
      <c r="Z1" s="130"/>
      <c r="AA1" s="139"/>
      <c r="AB1" s="139"/>
      <c r="AC1" s="139"/>
      <c r="AD1" s="139"/>
      <c r="AE1" s="139"/>
    </row>
    <row r="2" s="118" customFormat="1" ht="17.1" customHeight="1" spans="1:31">
      <c r="A2" s="80" t="s">
        <v>6</v>
      </c>
      <c r="B2" s="80"/>
      <c r="C2" s="84" t="s">
        <v>7</v>
      </c>
      <c r="D2" s="82" t="s">
        <v>8</v>
      </c>
      <c r="E2" s="85" t="s">
        <v>4</v>
      </c>
      <c r="F2" s="82" t="s">
        <v>9</v>
      </c>
      <c r="G2" s="85" t="s">
        <v>10</v>
      </c>
      <c r="H2" s="82" t="s">
        <v>11</v>
      </c>
      <c r="I2" s="131">
        <f>COUNTIF(G8:G464,"PASS")</f>
        <v>303</v>
      </c>
      <c r="J2" s="130"/>
      <c r="K2" s="130"/>
      <c r="L2" s="130"/>
      <c r="M2" s="130"/>
      <c r="N2" s="130"/>
      <c r="O2" s="130"/>
      <c r="P2" s="130"/>
      <c r="Q2" s="130"/>
      <c r="R2" s="130"/>
      <c r="S2" s="130"/>
      <c r="T2" s="130"/>
      <c r="U2" s="130"/>
      <c r="V2" s="130"/>
      <c r="W2" s="130"/>
      <c r="X2" s="130"/>
      <c r="Y2" s="130"/>
      <c r="Z2" s="130"/>
      <c r="AA2" s="139"/>
      <c r="AB2" s="139"/>
      <c r="AC2" s="139"/>
      <c r="AD2" s="139"/>
      <c r="AE2" s="139"/>
    </row>
    <row r="3" s="118" customFormat="1" ht="17.1" customHeight="1" spans="1:31">
      <c r="A3" s="87"/>
      <c r="B3" s="87"/>
      <c r="C3" s="88"/>
      <c r="D3" s="82" t="s">
        <v>12</v>
      </c>
      <c r="E3" s="84" t="s">
        <v>13</v>
      </c>
      <c r="F3" s="82" t="s">
        <v>14</v>
      </c>
      <c r="G3" s="84">
        <v>1</v>
      </c>
      <c r="H3" s="82" t="s">
        <v>15</v>
      </c>
      <c r="I3" s="132">
        <f>COUNTIF(G18:G464,"FAIL")</f>
        <v>2</v>
      </c>
      <c r="J3" s="130"/>
      <c r="K3" s="130"/>
      <c r="L3" s="130"/>
      <c r="M3" s="130"/>
      <c r="N3" s="130"/>
      <c r="O3" s="130"/>
      <c r="P3" s="130"/>
      <c r="Q3" s="130"/>
      <c r="R3" s="130"/>
      <c r="S3" s="130"/>
      <c r="T3" s="130"/>
      <c r="U3" s="130"/>
      <c r="V3" s="130"/>
      <c r="W3" s="130"/>
      <c r="X3" s="130"/>
      <c r="Y3" s="130"/>
      <c r="Z3" s="130"/>
      <c r="AA3" s="139"/>
      <c r="AB3" s="139"/>
      <c r="AC3" s="139"/>
      <c r="AD3" s="139"/>
      <c r="AE3" s="139"/>
    </row>
    <row r="4" s="118" customFormat="1" ht="17.1" customHeight="1" spans="1:31">
      <c r="A4" s="80" t="s">
        <v>16</v>
      </c>
      <c r="B4" s="80"/>
      <c r="C4" s="84"/>
      <c r="D4" s="82" t="s">
        <v>17</v>
      </c>
      <c r="E4" s="84"/>
      <c r="F4" s="82" t="s">
        <v>18</v>
      </c>
      <c r="G4" s="88" t="s">
        <v>19</v>
      </c>
      <c r="H4" s="82" t="s">
        <v>20</v>
      </c>
      <c r="I4" s="133">
        <f>COUNTIF(G18:G464,"WARNING")</f>
        <v>0</v>
      </c>
      <c r="J4" s="130"/>
      <c r="K4" s="130"/>
      <c r="L4" s="130"/>
      <c r="M4" s="130"/>
      <c r="N4" s="130"/>
      <c r="O4" s="130"/>
      <c r="P4" s="130"/>
      <c r="Q4" s="130"/>
      <c r="R4" s="130"/>
      <c r="S4" s="130"/>
      <c r="T4" s="130"/>
      <c r="U4" s="130"/>
      <c r="V4" s="130"/>
      <c r="W4" s="130"/>
      <c r="X4" s="130"/>
      <c r="Y4" s="130"/>
      <c r="Z4" s="130"/>
      <c r="AA4" s="139"/>
      <c r="AB4" s="139"/>
      <c r="AC4" s="139"/>
      <c r="AD4" s="139"/>
      <c r="AE4" s="139"/>
    </row>
    <row r="5" s="118" customFormat="1" ht="32.7" customHeight="1" spans="1:31">
      <c r="A5" s="124" t="s">
        <v>21</v>
      </c>
      <c r="B5" s="124"/>
      <c r="C5" s="125" t="s">
        <v>13</v>
      </c>
      <c r="D5" s="126"/>
      <c r="E5" s="126"/>
      <c r="F5" s="126"/>
      <c r="G5" s="126"/>
      <c r="H5" s="127" t="s">
        <v>22</v>
      </c>
      <c r="I5" s="134">
        <f ca="1">SUM(I2:I3:I4)</f>
        <v>305</v>
      </c>
      <c r="J5" s="130"/>
      <c r="K5" s="130"/>
      <c r="L5" s="130"/>
      <c r="M5" s="130"/>
      <c r="N5" s="130"/>
      <c r="O5" s="130"/>
      <c r="P5" s="130"/>
      <c r="Q5" s="130"/>
      <c r="R5" s="130"/>
      <c r="S5" s="130"/>
      <c r="T5" s="130"/>
      <c r="U5" s="130"/>
      <c r="V5" s="130"/>
      <c r="W5" s="130"/>
      <c r="X5" s="130"/>
      <c r="Y5" s="130"/>
      <c r="Z5" s="130"/>
      <c r="AA5" s="139"/>
      <c r="AB5" s="139"/>
      <c r="AC5" s="139"/>
      <c r="AD5" s="139"/>
      <c r="AE5" s="139"/>
    </row>
    <row r="6" s="119" customFormat="1" ht="27.6" spans="1:31">
      <c r="A6" s="89" t="s">
        <v>23</v>
      </c>
      <c r="B6" s="89"/>
      <c r="C6" s="89"/>
      <c r="D6" s="89"/>
      <c r="E6" s="89"/>
      <c r="F6" s="89"/>
      <c r="G6" s="89"/>
      <c r="H6" s="89"/>
      <c r="I6" s="94"/>
      <c r="J6"/>
      <c r="K6"/>
      <c r="L6"/>
      <c r="M6"/>
      <c r="N6"/>
      <c r="O6"/>
      <c r="P6"/>
      <c r="Q6"/>
      <c r="R6"/>
      <c r="S6"/>
      <c r="T6"/>
      <c r="U6"/>
      <c r="V6"/>
      <c r="W6"/>
      <c r="X6"/>
      <c r="Y6"/>
      <c r="Z6"/>
      <c r="AA6" s="140"/>
      <c r="AB6" s="140"/>
      <c r="AC6" s="140"/>
      <c r="AD6" s="140"/>
      <c r="AE6" s="140"/>
    </row>
    <row r="7" s="118" customFormat="1" ht="15.6" spans="1:31">
      <c r="A7" s="128" t="s">
        <v>24</v>
      </c>
      <c r="B7" s="128" t="s">
        <v>25</v>
      </c>
      <c r="C7" s="128" t="s">
        <v>26</v>
      </c>
      <c r="D7" s="128" t="s">
        <v>27</v>
      </c>
      <c r="E7" s="128" t="s">
        <v>28</v>
      </c>
      <c r="F7" s="128" t="s">
        <v>29</v>
      </c>
      <c r="G7" s="128" t="s">
        <v>30</v>
      </c>
      <c r="H7" s="128" t="s">
        <v>31</v>
      </c>
      <c r="I7" s="135" t="s">
        <v>32</v>
      </c>
      <c r="J7"/>
      <c r="K7"/>
      <c r="L7"/>
      <c r="M7"/>
      <c r="N7"/>
      <c r="O7"/>
      <c r="P7"/>
      <c r="Q7"/>
      <c r="R7"/>
      <c r="S7"/>
      <c r="T7"/>
      <c r="U7"/>
      <c r="V7"/>
      <c r="W7"/>
      <c r="X7"/>
      <c r="Y7"/>
      <c r="Z7"/>
      <c r="AA7" s="139"/>
      <c r="AB7" s="139"/>
      <c r="AC7" s="139"/>
      <c r="AD7" s="139"/>
      <c r="AE7" s="139"/>
    </row>
    <row r="8" ht="55.2" spans="1:26">
      <c r="A8" s="67" t="s">
        <v>33</v>
      </c>
      <c r="B8" s="68" t="s">
        <v>34</v>
      </c>
      <c r="C8" s="68" t="s">
        <v>35</v>
      </c>
      <c r="D8" s="73" t="s">
        <v>36</v>
      </c>
      <c r="E8" s="68" t="s">
        <v>37</v>
      </c>
      <c r="F8" s="68" t="s">
        <v>38</v>
      </c>
      <c r="G8" s="67" t="s">
        <v>11</v>
      </c>
      <c r="H8" s="99"/>
      <c r="I8" s="70" t="s">
        <v>39</v>
      </c>
      <c r="J8" s="136"/>
      <c r="K8" s="137"/>
      <c r="L8" s="137"/>
      <c r="M8" s="137"/>
      <c r="N8" s="137"/>
      <c r="O8" s="137"/>
      <c r="P8" s="137"/>
      <c r="Q8" s="137"/>
      <c r="R8" s="137"/>
      <c r="S8" s="137"/>
      <c r="T8" s="137"/>
      <c r="U8" s="137"/>
      <c r="V8" s="137"/>
      <c r="W8" s="137"/>
      <c r="X8" s="137"/>
      <c r="Y8" s="137"/>
      <c r="Z8" s="137"/>
    </row>
    <row r="9" ht="55.2" spans="1:26">
      <c r="A9" s="67" t="s">
        <v>40</v>
      </c>
      <c r="B9" s="68" t="s">
        <v>41</v>
      </c>
      <c r="C9" s="68" t="s">
        <v>35</v>
      </c>
      <c r="D9" s="73" t="s">
        <v>42</v>
      </c>
      <c r="E9" s="68" t="s">
        <v>43</v>
      </c>
      <c r="F9" s="68" t="s">
        <v>38</v>
      </c>
      <c r="G9" s="67" t="s">
        <v>11</v>
      </c>
      <c r="H9" s="99"/>
      <c r="I9" s="70" t="s">
        <v>39</v>
      </c>
      <c r="J9" s="136"/>
      <c r="K9" s="137"/>
      <c r="L9" s="137"/>
      <c r="M9" s="137"/>
      <c r="N9" s="137"/>
      <c r="O9" s="137"/>
      <c r="P9" s="137"/>
      <c r="Q9" s="137"/>
      <c r="R9" s="137"/>
      <c r="S9" s="137"/>
      <c r="T9" s="137"/>
      <c r="U9" s="137"/>
      <c r="V9" s="137"/>
      <c r="W9" s="137"/>
      <c r="X9" s="137"/>
      <c r="Y9" s="137"/>
      <c r="Z9" s="137"/>
    </row>
    <row r="10" ht="110.4" spans="1:26">
      <c r="A10" s="67" t="s">
        <v>44</v>
      </c>
      <c r="B10" s="68" t="s">
        <v>45</v>
      </c>
      <c r="C10" s="68" t="s">
        <v>35</v>
      </c>
      <c r="D10" s="73" t="s">
        <v>46</v>
      </c>
      <c r="E10" s="68" t="s">
        <v>47</v>
      </c>
      <c r="F10" s="68" t="s">
        <v>38</v>
      </c>
      <c r="G10" s="67" t="s">
        <v>11</v>
      </c>
      <c r="H10" s="99"/>
      <c r="I10" s="70" t="s">
        <v>39</v>
      </c>
      <c r="J10" s="136"/>
      <c r="K10" s="137"/>
      <c r="L10" s="137"/>
      <c r="M10" s="137"/>
      <c r="N10" s="137"/>
      <c r="O10" s="137"/>
      <c r="P10" s="137"/>
      <c r="Q10" s="137"/>
      <c r="R10" s="137"/>
      <c r="S10" s="137"/>
      <c r="T10" s="137"/>
      <c r="U10" s="137"/>
      <c r="V10" s="137"/>
      <c r="W10" s="137"/>
      <c r="X10" s="137"/>
      <c r="Y10" s="137"/>
      <c r="Z10" s="137"/>
    </row>
    <row r="11" ht="55.2" spans="1:26">
      <c r="A11" s="67" t="s">
        <v>48</v>
      </c>
      <c r="B11" s="68" t="s">
        <v>49</v>
      </c>
      <c r="C11" s="68" t="s">
        <v>35</v>
      </c>
      <c r="D11" s="73" t="s">
        <v>50</v>
      </c>
      <c r="E11" s="68" t="s">
        <v>51</v>
      </c>
      <c r="F11" s="68" t="s">
        <v>38</v>
      </c>
      <c r="G11" s="67" t="s">
        <v>11</v>
      </c>
      <c r="H11" s="99"/>
      <c r="I11" s="70" t="s">
        <v>39</v>
      </c>
      <c r="J11" s="136"/>
      <c r="K11" s="137"/>
      <c r="L11" s="137"/>
      <c r="M11" s="137"/>
      <c r="N11" s="137"/>
      <c r="O11" s="137"/>
      <c r="P11" s="137"/>
      <c r="Q11" s="137"/>
      <c r="R11" s="137"/>
      <c r="S11" s="137"/>
      <c r="T11" s="137"/>
      <c r="U11" s="137"/>
      <c r="V11" s="137"/>
      <c r="W11" s="137"/>
      <c r="X11" s="137"/>
      <c r="Y11" s="137"/>
      <c r="Z11" s="137"/>
    </row>
    <row r="12" ht="69" spans="1:26">
      <c r="A12" s="67" t="s">
        <v>52</v>
      </c>
      <c r="B12" s="68" t="s">
        <v>53</v>
      </c>
      <c r="C12" s="68" t="s">
        <v>35</v>
      </c>
      <c r="D12" s="73" t="s">
        <v>54</v>
      </c>
      <c r="E12" s="68" t="s">
        <v>55</v>
      </c>
      <c r="F12" s="68" t="s">
        <v>38</v>
      </c>
      <c r="G12" s="67" t="s">
        <v>11</v>
      </c>
      <c r="H12" s="99"/>
      <c r="I12" s="70" t="s">
        <v>39</v>
      </c>
      <c r="J12" s="136"/>
      <c r="K12" s="137"/>
      <c r="L12" s="137"/>
      <c r="M12" s="137"/>
      <c r="N12" s="137"/>
      <c r="O12" s="137"/>
      <c r="P12" s="137"/>
      <c r="Q12" s="137"/>
      <c r="R12" s="137"/>
      <c r="S12" s="137"/>
      <c r="T12" s="137"/>
      <c r="U12" s="137"/>
      <c r="V12" s="137"/>
      <c r="W12" s="137"/>
      <c r="X12" s="137"/>
      <c r="Y12" s="137"/>
      <c r="Z12" s="137"/>
    </row>
    <row r="13" ht="41.4" spans="1:26">
      <c r="A13" s="67" t="s">
        <v>56</v>
      </c>
      <c r="B13" s="68" t="s">
        <v>57</v>
      </c>
      <c r="C13" s="68" t="s">
        <v>35</v>
      </c>
      <c r="D13" s="73" t="s">
        <v>58</v>
      </c>
      <c r="E13" s="68" t="s">
        <v>59</v>
      </c>
      <c r="F13" s="68" t="s">
        <v>38</v>
      </c>
      <c r="G13" s="67" t="s">
        <v>11</v>
      </c>
      <c r="H13" s="99"/>
      <c r="I13" s="70" t="s">
        <v>39</v>
      </c>
      <c r="J13" s="136"/>
      <c r="K13" s="137"/>
      <c r="L13" s="137"/>
      <c r="M13" s="137"/>
      <c r="N13" s="137"/>
      <c r="O13" s="137"/>
      <c r="P13" s="137"/>
      <c r="Q13" s="137"/>
      <c r="R13" s="137"/>
      <c r="S13" s="137"/>
      <c r="T13" s="137"/>
      <c r="U13" s="137"/>
      <c r="V13" s="137"/>
      <c r="W13" s="137"/>
      <c r="X13" s="137"/>
      <c r="Y13" s="137"/>
      <c r="Z13" s="137"/>
    </row>
    <row r="14" ht="55.2" spans="1:26">
      <c r="A14" s="67" t="s">
        <v>60</v>
      </c>
      <c r="B14" s="68" t="s">
        <v>61</v>
      </c>
      <c r="C14" s="68" t="s">
        <v>35</v>
      </c>
      <c r="D14" s="73" t="s">
        <v>62</v>
      </c>
      <c r="E14" s="68" t="s">
        <v>63</v>
      </c>
      <c r="F14" s="68" t="s">
        <v>38</v>
      </c>
      <c r="G14" s="67" t="s">
        <v>11</v>
      </c>
      <c r="H14" s="99"/>
      <c r="I14" s="70" t="s">
        <v>39</v>
      </c>
      <c r="J14" s="136"/>
      <c r="K14" s="137"/>
      <c r="L14" s="137"/>
      <c r="M14" s="137"/>
      <c r="N14" s="137"/>
      <c r="O14" s="137"/>
      <c r="P14" s="137"/>
      <c r="Q14" s="137"/>
      <c r="R14" s="137"/>
      <c r="S14" s="137"/>
      <c r="T14" s="137"/>
      <c r="U14" s="137"/>
      <c r="V14" s="137"/>
      <c r="W14" s="137"/>
      <c r="X14" s="137"/>
      <c r="Y14" s="137"/>
      <c r="Z14" s="137"/>
    </row>
    <row r="15" ht="55.2" spans="1:26">
      <c r="A15" s="67" t="s">
        <v>64</v>
      </c>
      <c r="B15" s="68" t="s">
        <v>65</v>
      </c>
      <c r="C15" s="68" t="s">
        <v>35</v>
      </c>
      <c r="D15" s="73" t="s">
        <v>66</v>
      </c>
      <c r="E15" s="68" t="s">
        <v>67</v>
      </c>
      <c r="F15" s="68" t="s">
        <v>38</v>
      </c>
      <c r="G15" s="67" t="s">
        <v>11</v>
      </c>
      <c r="H15" s="99"/>
      <c r="I15" s="70" t="s">
        <v>39</v>
      </c>
      <c r="J15" s="136"/>
      <c r="K15" s="137"/>
      <c r="L15" s="137"/>
      <c r="M15" s="137"/>
      <c r="N15" s="137"/>
      <c r="O15" s="137"/>
      <c r="P15" s="137"/>
      <c r="Q15" s="137"/>
      <c r="R15" s="137"/>
      <c r="S15" s="137"/>
      <c r="T15" s="137"/>
      <c r="U15" s="137"/>
      <c r="V15" s="137"/>
      <c r="W15" s="137"/>
      <c r="X15" s="137"/>
      <c r="Y15" s="137"/>
      <c r="Z15" s="137"/>
    </row>
    <row r="16" ht="55.2" spans="1:26">
      <c r="A16" s="67" t="s">
        <v>68</v>
      </c>
      <c r="B16" s="68" t="s">
        <v>69</v>
      </c>
      <c r="C16" s="68" t="s">
        <v>35</v>
      </c>
      <c r="D16" s="73" t="s">
        <v>70</v>
      </c>
      <c r="E16" s="68" t="s">
        <v>71</v>
      </c>
      <c r="F16" s="68" t="s">
        <v>38</v>
      </c>
      <c r="G16" s="67" t="s">
        <v>11</v>
      </c>
      <c r="H16" s="99"/>
      <c r="I16" s="70" t="s">
        <v>39</v>
      </c>
      <c r="J16" s="136"/>
      <c r="K16" s="137"/>
      <c r="L16" s="137"/>
      <c r="M16" s="137"/>
      <c r="N16" s="137"/>
      <c r="O16" s="137"/>
      <c r="P16" s="137"/>
      <c r="Q16" s="137"/>
      <c r="R16" s="137"/>
      <c r="S16" s="137"/>
      <c r="T16" s="137"/>
      <c r="U16" s="137"/>
      <c r="V16" s="137"/>
      <c r="W16" s="137"/>
      <c r="X16" s="137"/>
      <c r="Y16" s="137"/>
      <c r="Z16" s="137"/>
    </row>
    <row r="17" ht="55.2" spans="1:26">
      <c r="A17" s="67" t="s">
        <v>72</v>
      </c>
      <c r="B17" s="68" t="s">
        <v>73</v>
      </c>
      <c r="C17" s="68" t="s">
        <v>35</v>
      </c>
      <c r="D17" s="73" t="s">
        <v>74</v>
      </c>
      <c r="E17" s="68" t="s">
        <v>75</v>
      </c>
      <c r="F17" s="68" t="s">
        <v>38</v>
      </c>
      <c r="G17" s="67" t="s">
        <v>11</v>
      </c>
      <c r="H17" s="99"/>
      <c r="I17" s="70" t="s">
        <v>39</v>
      </c>
      <c r="J17" s="136"/>
      <c r="K17" s="137"/>
      <c r="L17" s="137"/>
      <c r="M17" s="137"/>
      <c r="N17" s="137"/>
      <c r="O17" s="137"/>
      <c r="P17" s="137"/>
      <c r="Q17" s="137"/>
      <c r="R17" s="137"/>
      <c r="S17" s="137"/>
      <c r="T17" s="137"/>
      <c r="U17" s="137"/>
      <c r="V17" s="137"/>
      <c r="W17" s="137"/>
      <c r="X17" s="137"/>
      <c r="Y17" s="137"/>
      <c r="Z17" s="137"/>
    </row>
    <row r="18" ht="82.8" spans="1:26">
      <c r="A18" s="67" t="s">
        <v>76</v>
      </c>
      <c r="B18" s="68" t="s">
        <v>77</v>
      </c>
      <c r="C18" s="68" t="s">
        <v>35</v>
      </c>
      <c r="D18" s="68" t="s">
        <v>78</v>
      </c>
      <c r="E18" s="68" t="s">
        <v>79</v>
      </c>
      <c r="F18" s="68" t="s">
        <v>80</v>
      </c>
      <c r="G18" s="67" t="s">
        <v>15</v>
      </c>
      <c r="H18" s="99">
        <v>1</v>
      </c>
      <c r="I18" s="70" t="s">
        <v>39</v>
      </c>
      <c r="J18" s="136"/>
      <c r="K18" s="137"/>
      <c r="L18" s="137"/>
      <c r="M18" s="137"/>
      <c r="N18" s="137"/>
      <c r="O18" s="137"/>
      <c r="P18" s="137"/>
      <c r="Q18" s="137"/>
      <c r="R18" s="137"/>
      <c r="S18" s="137"/>
      <c r="T18" s="137"/>
      <c r="U18" s="137"/>
      <c r="V18" s="137"/>
      <c r="W18" s="137"/>
      <c r="X18" s="137"/>
      <c r="Y18" s="137"/>
      <c r="Z18" s="137"/>
    </row>
    <row r="19" ht="69" spans="1:26">
      <c r="A19" s="67" t="s">
        <v>81</v>
      </c>
      <c r="B19" s="68" t="s">
        <v>82</v>
      </c>
      <c r="C19" s="68" t="s">
        <v>35</v>
      </c>
      <c r="D19" s="73" t="s">
        <v>83</v>
      </c>
      <c r="E19" s="68" t="s">
        <v>84</v>
      </c>
      <c r="F19" s="68" t="s">
        <v>38</v>
      </c>
      <c r="G19" s="67" t="s">
        <v>11</v>
      </c>
      <c r="H19" s="99"/>
      <c r="I19" s="70" t="s">
        <v>39</v>
      </c>
      <c r="J19" s="136"/>
      <c r="K19" s="137"/>
      <c r="L19" s="137"/>
      <c r="M19" s="137"/>
      <c r="N19" s="137"/>
      <c r="O19" s="137"/>
      <c r="P19" s="137"/>
      <c r="Q19" s="137"/>
      <c r="R19" s="137"/>
      <c r="S19" s="137"/>
      <c r="T19" s="137"/>
      <c r="U19" s="137"/>
      <c r="V19" s="137"/>
      <c r="W19" s="137"/>
      <c r="X19" s="137"/>
      <c r="Y19" s="137"/>
      <c r="Z19" s="137"/>
    </row>
    <row r="20" ht="82.8" spans="1:26">
      <c r="A20" s="67" t="s">
        <v>85</v>
      </c>
      <c r="B20" s="68" t="s">
        <v>86</v>
      </c>
      <c r="C20" s="68" t="s">
        <v>87</v>
      </c>
      <c r="D20" s="73" t="s">
        <v>88</v>
      </c>
      <c r="E20" s="68" t="s">
        <v>89</v>
      </c>
      <c r="F20" s="68" t="s">
        <v>38</v>
      </c>
      <c r="G20" s="67" t="s">
        <v>11</v>
      </c>
      <c r="H20" s="99"/>
      <c r="I20" s="70" t="s">
        <v>39</v>
      </c>
      <c r="J20" s="136"/>
      <c r="K20" s="137"/>
      <c r="L20" s="137"/>
      <c r="M20" s="137"/>
      <c r="N20" s="137"/>
      <c r="O20" s="137"/>
      <c r="P20" s="137"/>
      <c r="Q20" s="137"/>
      <c r="R20" s="137"/>
      <c r="S20" s="137"/>
      <c r="T20" s="137"/>
      <c r="U20" s="137"/>
      <c r="V20" s="137"/>
      <c r="W20" s="137"/>
      <c r="X20" s="137"/>
      <c r="Y20" s="137"/>
      <c r="Z20" s="137"/>
    </row>
    <row r="21" ht="82.8" spans="1:26">
      <c r="A21" s="67" t="s">
        <v>90</v>
      </c>
      <c r="B21" s="68" t="s">
        <v>91</v>
      </c>
      <c r="C21" s="68" t="s">
        <v>92</v>
      </c>
      <c r="D21" s="73" t="s">
        <v>93</v>
      </c>
      <c r="E21" s="68" t="s">
        <v>94</v>
      </c>
      <c r="F21" s="68" t="s">
        <v>38</v>
      </c>
      <c r="G21" s="67" t="s">
        <v>11</v>
      </c>
      <c r="H21" s="99"/>
      <c r="I21" s="70" t="s">
        <v>39</v>
      </c>
      <c r="J21" s="136"/>
      <c r="K21" s="137"/>
      <c r="L21" s="137"/>
      <c r="M21" s="137"/>
      <c r="N21" s="137"/>
      <c r="O21" s="137"/>
      <c r="P21" s="137"/>
      <c r="Q21" s="137"/>
      <c r="R21" s="137"/>
      <c r="S21" s="137"/>
      <c r="T21" s="137"/>
      <c r="U21" s="137"/>
      <c r="V21" s="137"/>
      <c r="W21" s="137"/>
      <c r="X21" s="137"/>
      <c r="Y21" s="137"/>
      <c r="Z21" s="137"/>
    </row>
    <row r="22" ht="69" spans="1:26">
      <c r="A22" s="67" t="s">
        <v>95</v>
      </c>
      <c r="B22" s="68" t="s">
        <v>96</v>
      </c>
      <c r="C22" s="68" t="s">
        <v>35</v>
      </c>
      <c r="D22" s="73" t="s">
        <v>97</v>
      </c>
      <c r="E22" s="68" t="s">
        <v>98</v>
      </c>
      <c r="F22" s="68" t="s">
        <v>38</v>
      </c>
      <c r="G22" s="67" t="s">
        <v>11</v>
      </c>
      <c r="H22" s="99"/>
      <c r="I22" s="70" t="s">
        <v>39</v>
      </c>
      <c r="J22" s="136"/>
      <c r="K22" s="137"/>
      <c r="L22" s="137"/>
      <c r="M22" s="137"/>
      <c r="N22" s="137"/>
      <c r="O22" s="137"/>
      <c r="P22" s="137"/>
      <c r="Q22" s="137"/>
      <c r="R22" s="137"/>
      <c r="S22" s="137"/>
      <c r="T22" s="137"/>
      <c r="U22" s="137"/>
      <c r="V22" s="137"/>
      <c r="W22" s="137"/>
      <c r="X22" s="137"/>
      <c r="Y22" s="137"/>
      <c r="Z22" s="137"/>
    </row>
    <row r="23" ht="82.8" spans="1:26">
      <c r="A23" s="67" t="s">
        <v>99</v>
      </c>
      <c r="B23" s="68" t="s">
        <v>100</v>
      </c>
      <c r="C23" s="68" t="s">
        <v>35</v>
      </c>
      <c r="D23" s="73" t="s">
        <v>101</v>
      </c>
      <c r="E23" s="68" t="s">
        <v>102</v>
      </c>
      <c r="F23" s="68" t="s">
        <v>38</v>
      </c>
      <c r="G23" s="67" t="s">
        <v>11</v>
      </c>
      <c r="H23" s="99"/>
      <c r="I23" s="70" t="s">
        <v>39</v>
      </c>
      <c r="J23" s="136"/>
      <c r="K23" s="137"/>
      <c r="L23" s="137"/>
      <c r="M23" s="137"/>
      <c r="N23" s="137"/>
      <c r="O23" s="137"/>
      <c r="P23" s="137"/>
      <c r="Q23" s="137"/>
      <c r="R23" s="137"/>
      <c r="S23" s="137"/>
      <c r="T23" s="137"/>
      <c r="U23" s="137"/>
      <c r="V23" s="137"/>
      <c r="W23" s="137"/>
      <c r="X23" s="137"/>
      <c r="Y23" s="137"/>
      <c r="Z23" s="137"/>
    </row>
    <row r="24" ht="96.6" spans="1:26">
      <c r="A24" s="67" t="s">
        <v>103</v>
      </c>
      <c r="B24" s="92" t="s">
        <v>104</v>
      </c>
      <c r="C24" s="68">
        <v>1758989465</v>
      </c>
      <c r="D24" s="92" t="s">
        <v>105</v>
      </c>
      <c r="E24" s="92" t="s">
        <v>106</v>
      </c>
      <c r="F24" s="68" t="s">
        <v>38</v>
      </c>
      <c r="G24" s="108" t="s">
        <v>11</v>
      </c>
      <c r="H24" s="92"/>
      <c r="I24" s="70" t="s">
        <v>39</v>
      </c>
      <c r="J24" s="103"/>
      <c r="K24" s="103"/>
      <c r="L24" s="103"/>
      <c r="M24" s="103"/>
      <c r="N24" s="103"/>
      <c r="O24" s="103"/>
      <c r="P24" s="103"/>
      <c r="Q24" s="103"/>
      <c r="R24" s="103"/>
      <c r="S24" s="103"/>
      <c r="T24" s="103"/>
      <c r="U24" s="103"/>
      <c r="V24" s="103"/>
      <c r="W24" s="103"/>
      <c r="X24" s="103"/>
      <c r="Y24" s="103"/>
      <c r="Z24" s="103"/>
    </row>
    <row r="25" ht="96.6" spans="1:26">
      <c r="A25" s="67" t="s">
        <v>107</v>
      </c>
      <c r="B25" s="92" t="s">
        <v>108</v>
      </c>
      <c r="C25" s="93" t="s">
        <v>109</v>
      </c>
      <c r="D25" s="73" t="s">
        <v>110</v>
      </c>
      <c r="E25" s="92" t="s">
        <v>111</v>
      </c>
      <c r="F25" s="68" t="s">
        <v>38</v>
      </c>
      <c r="G25" s="108" t="s">
        <v>11</v>
      </c>
      <c r="H25" s="92"/>
      <c r="I25" s="70" t="s">
        <v>39</v>
      </c>
      <c r="J25" s="103"/>
      <c r="K25" s="103"/>
      <c r="L25" s="103"/>
      <c r="M25" s="103"/>
      <c r="N25" s="103"/>
      <c r="O25" s="103"/>
      <c r="P25" s="103"/>
      <c r="Q25" s="103"/>
      <c r="R25" s="103"/>
      <c r="S25" s="103"/>
      <c r="T25" s="103"/>
      <c r="U25" s="103"/>
      <c r="V25" s="103"/>
      <c r="W25" s="103"/>
      <c r="X25" s="103"/>
      <c r="Y25" s="103"/>
      <c r="Z25" s="103"/>
    </row>
    <row r="26" ht="69" spans="1:26">
      <c r="A26" s="67" t="s">
        <v>112</v>
      </c>
      <c r="B26" s="92" t="s">
        <v>113</v>
      </c>
      <c r="C26" s="68" t="s">
        <v>35</v>
      </c>
      <c r="D26" s="73" t="s">
        <v>114</v>
      </c>
      <c r="E26" s="92" t="s">
        <v>115</v>
      </c>
      <c r="F26" s="92" t="s">
        <v>38</v>
      </c>
      <c r="G26" s="108" t="s">
        <v>11</v>
      </c>
      <c r="H26" s="92"/>
      <c r="I26" s="70" t="s">
        <v>39</v>
      </c>
      <c r="J26" s="103"/>
      <c r="K26" s="103"/>
      <c r="L26" s="103"/>
      <c r="M26" s="103"/>
      <c r="N26" s="103"/>
      <c r="O26" s="103"/>
      <c r="P26" s="103"/>
      <c r="Q26" s="103"/>
      <c r="R26" s="103"/>
      <c r="S26" s="103"/>
      <c r="T26" s="103"/>
      <c r="U26" s="103"/>
      <c r="V26" s="103"/>
      <c r="W26" s="103"/>
      <c r="X26" s="103"/>
      <c r="Y26" s="103"/>
      <c r="Z26" s="103"/>
    </row>
    <row r="27" ht="69" spans="1:26">
      <c r="A27" s="67" t="s">
        <v>116</v>
      </c>
      <c r="B27" s="92" t="s">
        <v>117</v>
      </c>
      <c r="C27" s="68" t="s">
        <v>35</v>
      </c>
      <c r="D27" s="73" t="s">
        <v>114</v>
      </c>
      <c r="E27" s="92" t="s">
        <v>118</v>
      </c>
      <c r="F27" s="92" t="s">
        <v>38</v>
      </c>
      <c r="G27" s="108" t="s">
        <v>11</v>
      </c>
      <c r="H27" s="92"/>
      <c r="I27" s="70" t="s">
        <v>39</v>
      </c>
      <c r="J27" s="103"/>
      <c r="K27" s="103"/>
      <c r="L27" s="103"/>
      <c r="M27" s="103"/>
      <c r="N27" s="103"/>
      <c r="O27" s="103"/>
      <c r="P27" s="103"/>
      <c r="Q27" s="103"/>
      <c r="R27" s="103"/>
      <c r="S27" s="103"/>
      <c r="T27" s="103"/>
      <c r="U27" s="103"/>
      <c r="V27" s="103"/>
      <c r="W27" s="103"/>
      <c r="X27" s="103"/>
      <c r="Y27" s="103"/>
      <c r="Z27" s="103"/>
    </row>
    <row r="28" ht="82.8" spans="1:26">
      <c r="A28" s="67" t="s">
        <v>119</v>
      </c>
      <c r="B28" s="92" t="s">
        <v>120</v>
      </c>
      <c r="C28" s="68" t="s">
        <v>35</v>
      </c>
      <c r="D28" s="73" t="s">
        <v>121</v>
      </c>
      <c r="E28" s="92" t="s">
        <v>122</v>
      </c>
      <c r="F28" s="92" t="s">
        <v>38</v>
      </c>
      <c r="G28" s="108" t="s">
        <v>11</v>
      </c>
      <c r="H28" s="92"/>
      <c r="I28" s="70" t="s">
        <v>39</v>
      </c>
      <c r="J28" s="103"/>
      <c r="K28" s="103"/>
      <c r="L28" s="103"/>
      <c r="M28" s="103"/>
      <c r="N28" s="103"/>
      <c r="O28" s="103"/>
      <c r="P28" s="103"/>
      <c r="Q28" s="103"/>
      <c r="R28" s="103"/>
      <c r="S28" s="103"/>
      <c r="T28" s="103"/>
      <c r="U28" s="103"/>
      <c r="V28" s="103"/>
      <c r="W28" s="103"/>
      <c r="X28" s="103"/>
      <c r="Y28" s="103"/>
      <c r="Z28" s="103"/>
    </row>
    <row r="29" ht="110.4" spans="1:26">
      <c r="A29" s="67" t="s">
        <v>116</v>
      </c>
      <c r="B29" s="68" t="s">
        <v>123</v>
      </c>
      <c r="C29" s="68" t="s">
        <v>35</v>
      </c>
      <c r="D29" s="73" t="s">
        <v>124</v>
      </c>
      <c r="E29" s="68" t="s">
        <v>125</v>
      </c>
      <c r="F29" s="92" t="s">
        <v>38</v>
      </c>
      <c r="G29" s="108" t="s">
        <v>11</v>
      </c>
      <c r="H29" s="99"/>
      <c r="I29" s="70" t="s">
        <v>39</v>
      </c>
      <c r="J29" s="136"/>
      <c r="K29" s="137"/>
      <c r="L29" s="137"/>
      <c r="M29" s="137"/>
      <c r="N29" s="137"/>
      <c r="O29" s="137"/>
      <c r="P29" s="137"/>
      <c r="Q29" s="137"/>
      <c r="R29" s="137"/>
      <c r="S29" s="137"/>
      <c r="T29" s="137"/>
      <c r="U29" s="137"/>
      <c r="V29" s="137"/>
      <c r="W29" s="137"/>
      <c r="X29" s="137"/>
      <c r="Y29" s="137"/>
      <c r="Z29" s="137"/>
    </row>
    <row r="30" ht="96.6" spans="1:26">
      <c r="A30" s="67" t="s">
        <v>119</v>
      </c>
      <c r="B30" s="68" t="s">
        <v>126</v>
      </c>
      <c r="C30" s="68" t="s">
        <v>35</v>
      </c>
      <c r="D30" s="73" t="s">
        <v>127</v>
      </c>
      <c r="E30" s="68" t="s">
        <v>128</v>
      </c>
      <c r="F30" s="92" t="s">
        <v>38</v>
      </c>
      <c r="G30" s="108" t="s">
        <v>11</v>
      </c>
      <c r="H30" s="99"/>
      <c r="I30" s="70" t="s">
        <v>39</v>
      </c>
      <c r="J30" s="136"/>
      <c r="K30" s="137"/>
      <c r="L30" s="137"/>
      <c r="M30" s="137"/>
      <c r="N30" s="137"/>
      <c r="O30" s="137"/>
      <c r="P30" s="137"/>
      <c r="Q30" s="137"/>
      <c r="R30" s="137"/>
      <c r="S30" s="137"/>
      <c r="T30" s="137"/>
      <c r="U30" s="137"/>
      <c r="V30" s="137"/>
      <c r="W30" s="137"/>
      <c r="X30" s="137"/>
      <c r="Y30" s="137"/>
      <c r="Z30" s="137"/>
    </row>
    <row r="31" ht="96.6" spans="1:26">
      <c r="A31" s="67" t="s">
        <v>129</v>
      </c>
      <c r="B31" s="92" t="s">
        <v>130</v>
      </c>
      <c r="C31" s="68" t="s">
        <v>131</v>
      </c>
      <c r="D31" s="73" t="s">
        <v>132</v>
      </c>
      <c r="E31" s="92" t="s">
        <v>133</v>
      </c>
      <c r="F31" s="92" t="s">
        <v>38</v>
      </c>
      <c r="G31" s="108" t="s">
        <v>11</v>
      </c>
      <c r="H31" s="92"/>
      <c r="I31" s="70" t="s">
        <v>39</v>
      </c>
      <c r="J31" s="103"/>
      <c r="K31" s="103"/>
      <c r="L31" s="103"/>
      <c r="M31" s="103"/>
      <c r="N31" s="103"/>
      <c r="O31" s="103"/>
      <c r="P31" s="103"/>
      <c r="Q31" s="103"/>
      <c r="R31" s="103"/>
      <c r="S31" s="103"/>
      <c r="T31" s="103"/>
      <c r="U31" s="103"/>
      <c r="V31" s="103"/>
      <c r="W31" s="103"/>
      <c r="X31" s="103"/>
      <c r="Y31" s="103"/>
      <c r="Z31" s="103"/>
    </row>
    <row r="32" ht="110.4" spans="1:26">
      <c r="A32" s="67" t="s">
        <v>134</v>
      </c>
      <c r="B32" s="92" t="s">
        <v>135</v>
      </c>
      <c r="C32" s="68">
        <v>8787564</v>
      </c>
      <c r="D32" s="73" t="s">
        <v>136</v>
      </c>
      <c r="E32" s="92" t="s">
        <v>137</v>
      </c>
      <c r="F32" s="92" t="s">
        <v>38</v>
      </c>
      <c r="G32" s="108" t="s">
        <v>11</v>
      </c>
      <c r="H32" s="92"/>
      <c r="I32" s="70" t="s">
        <v>39</v>
      </c>
      <c r="J32" s="103"/>
      <c r="K32" s="103"/>
      <c r="L32" s="103"/>
      <c r="M32" s="103"/>
      <c r="N32" s="103"/>
      <c r="O32" s="103"/>
      <c r="P32" s="103"/>
      <c r="Q32" s="103"/>
      <c r="R32" s="103"/>
      <c r="S32" s="103"/>
      <c r="T32" s="103"/>
      <c r="U32" s="103"/>
      <c r="V32" s="103"/>
      <c r="W32" s="103"/>
      <c r="X32" s="103"/>
      <c r="Y32" s="103"/>
      <c r="Z32" s="103"/>
    </row>
    <row r="33" ht="96.6" spans="1:26">
      <c r="A33" s="67" t="s">
        <v>138</v>
      </c>
      <c r="B33" s="68" t="s">
        <v>139</v>
      </c>
      <c r="C33" s="68">
        <v>123456</v>
      </c>
      <c r="D33" s="73" t="s">
        <v>140</v>
      </c>
      <c r="E33" s="68" t="s">
        <v>141</v>
      </c>
      <c r="F33" s="92" t="s">
        <v>38</v>
      </c>
      <c r="G33" s="108" t="s">
        <v>11</v>
      </c>
      <c r="H33" s="99"/>
      <c r="I33" s="70" t="s">
        <v>39</v>
      </c>
      <c r="J33" s="136"/>
      <c r="K33" s="137"/>
      <c r="L33" s="137"/>
      <c r="M33" s="137"/>
      <c r="N33" s="137"/>
      <c r="O33" s="137"/>
      <c r="P33" s="137"/>
      <c r="Q33" s="137"/>
      <c r="R33" s="137"/>
      <c r="S33" s="137"/>
      <c r="T33" s="137"/>
      <c r="U33" s="137"/>
      <c r="V33" s="137"/>
      <c r="W33" s="137"/>
      <c r="X33" s="137"/>
      <c r="Y33" s="137"/>
      <c r="Z33" s="137"/>
    </row>
    <row r="34" ht="110.4" spans="1:26">
      <c r="A34" s="67" t="s">
        <v>142</v>
      </c>
      <c r="B34" s="68" t="s">
        <v>143</v>
      </c>
      <c r="C34" s="68" t="s">
        <v>144</v>
      </c>
      <c r="D34" s="73" t="s">
        <v>145</v>
      </c>
      <c r="E34" s="68" t="s">
        <v>146</v>
      </c>
      <c r="F34" s="92" t="s">
        <v>38</v>
      </c>
      <c r="G34" s="108" t="s">
        <v>11</v>
      </c>
      <c r="H34" s="99"/>
      <c r="I34" s="70" t="s">
        <v>39</v>
      </c>
      <c r="J34" s="136"/>
      <c r="K34" s="137"/>
      <c r="L34" s="137"/>
      <c r="M34" s="137"/>
      <c r="N34" s="137"/>
      <c r="O34" s="137"/>
      <c r="P34" s="137"/>
      <c r="Q34" s="137"/>
      <c r="R34" s="137"/>
      <c r="S34" s="137"/>
      <c r="T34" s="137"/>
      <c r="U34" s="137"/>
      <c r="V34" s="137"/>
      <c r="W34" s="137"/>
      <c r="X34" s="137"/>
      <c r="Y34" s="137"/>
      <c r="Z34" s="137"/>
    </row>
    <row r="35" ht="110.4" spans="1:26">
      <c r="A35" s="67" t="s">
        <v>147</v>
      </c>
      <c r="B35" s="68" t="s">
        <v>148</v>
      </c>
      <c r="C35" s="68" t="s">
        <v>35</v>
      </c>
      <c r="D35" s="73" t="s">
        <v>149</v>
      </c>
      <c r="E35" s="68" t="s">
        <v>150</v>
      </c>
      <c r="F35" s="92" t="s">
        <v>38</v>
      </c>
      <c r="G35" s="108" t="s">
        <v>11</v>
      </c>
      <c r="H35" s="99"/>
      <c r="I35" s="70" t="s">
        <v>39</v>
      </c>
      <c r="J35" s="136"/>
      <c r="K35" s="137"/>
      <c r="L35" s="137"/>
      <c r="M35" s="137"/>
      <c r="N35" s="137"/>
      <c r="O35" s="137"/>
      <c r="P35" s="137"/>
      <c r="Q35" s="137"/>
      <c r="R35" s="137"/>
      <c r="S35" s="137"/>
      <c r="T35" s="137"/>
      <c r="U35" s="137"/>
      <c r="V35" s="137"/>
      <c r="W35" s="137"/>
      <c r="X35" s="137"/>
      <c r="Y35" s="137"/>
      <c r="Z35" s="137"/>
    </row>
    <row r="36" ht="110.4" spans="1:26">
      <c r="A36" s="67" t="s">
        <v>151</v>
      </c>
      <c r="B36" s="68" t="s">
        <v>152</v>
      </c>
      <c r="C36" s="68" t="s">
        <v>35</v>
      </c>
      <c r="D36" s="73" t="s">
        <v>153</v>
      </c>
      <c r="E36" s="68" t="s">
        <v>154</v>
      </c>
      <c r="F36" s="92" t="s">
        <v>38</v>
      </c>
      <c r="G36" s="108" t="s">
        <v>11</v>
      </c>
      <c r="H36" s="99"/>
      <c r="I36" s="70" t="s">
        <v>39</v>
      </c>
      <c r="J36" s="136"/>
      <c r="K36" s="137"/>
      <c r="L36" s="137"/>
      <c r="M36" s="137"/>
      <c r="N36" s="137"/>
      <c r="O36" s="137"/>
      <c r="P36" s="137"/>
      <c r="Q36" s="137"/>
      <c r="R36" s="137"/>
      <c r="S36" s="137"/>
      <c r="T36" s="137"/>
      <c r="U36" s="137"/>
      <c r="V36" s="137"/>
      <c r="W36" s="137"/>
      <c r="X36" s="137"/>
      <c r="Y36" s="137"/>
      <c r="Z36" s="137"/>
    </row>
    <row r="37" ht="96.6" spans="1:26">
      <c r="A37" s="67" t="s">
        <v>155</v>
      </c>
      <c r="B37" s="68" t="s">
        <v>156</v>
      </c>
      <c r="C37" s="68" t="s">
        <v>35</v>
      </c>
      <c r="D37" s="73" t="s">
        <v>140</v>
      </c>
      <c r="E37" s="68" t="s">
        <v>141</v>
      </c>
      <c r="F37" s="92" t="s">
        <v>38</v>
      </c>
      <c r="G37" s="108" t="s">
        <v>11</v>
      </c>
      <c r="H37" s="99"/>
      <c r="I37" s="70" t="s">
        <v>39</v>
      </c>
      <c r="J37" s="136"/>
      <c r="K37" s="137"/>
      <c r="L37" s="137"/>
      <c r="M37" s="137"/>
      <c r="N37" s="137"/>
      <c r="O37" s="137"/>
      <c r="P37" s="137"/>
      <c r="Q37" s="137"/>
      <c r="R37" s="137"/>
      <c r="S37" s="137"/>
      <c r="T37" s="137"/>
      <c r="U37" s="137"/>
      <c r="V37" s="137"/>
      <c r="W37" s="137"/>
      <c r="X37" s="137"/>
      <c r="Y37" s="137"/>
      <c r="Z37" s="137"/>
    </row>
    <row r="38" ht="96.6" spans="1:26">
      <c r="A38" s="67" t="s">
        <v>157</v>
      </c>
      <c r="B38" s="68" t="s">
        <v>158</v>
      </c>
      <c r="C38" s="68" t="s">
        <v>35</v>
      </c>
      <c r="D38" s="73" t="s">
        <v>140</v>
      </c>
      <c r="E38" s="68" t="s">
        <v>141</v>
      </c>
      <c r="F38" s="92" t="s">
        <v>38</v>
      </c>
      <c r="G38" s="108" t="s">
        <v>11</v>
      </c>
      <c r="H38" s="99"/>
      <c r="I38" s="70" t="s">
        <v>39</v>
      </c>
      <c r="J38" s="136"/>
      <c r="K38" s="137"/>
      <c r="L38" s="137"/>
      <c r="M38" s="137"/>
      <c r="N38" s="137"/>
      <c r="O38" s="137"/>
      <c r="P38" s="137"/>
      <c r="Q38" s="137"/>
      <c r="R38" s="137"/>
      <c r="S38" s="137"/>
      <c r="T38" s="137"/>
      <c r="U38" s="137"/>
      <c r="V38" s="137"/>
      <c r="W38" s="137"/>
      <c r="X38" s="137"/>
      <c r="Y38" s="137"/>
      <c r="Z38" s="137"/>
    </row>
    <row r="39" s="119" customFormat="1" ht="27.6" spans="1:31">
      <c r="A39" s="89" t="s">
        <v>159</v>
      </c>
      <c r="B39" s="89"/>
      <c r="C39" s="89"/>
      <c r="D39" s="89"/>
      <c r="E39" s="89"/>
      <c r="F39" s="89"/>
      <c r="G39" s="89"/>
      <c r="H39" s="89"/>
      <c r="I39" s="89"/>
      <c r="J39" s="138"/>
      <c r="K39" s="138"/>
      <c r="L39" s="138"/>
      <c r="M39" s="138"/>
      <c r="N39" s="138"/>
      <c r="O39" s="138"/>
      <c r="P39" s="138"/>
      <c r="Q39" s="138"/>
      <c r="R39" s="138"/>
      <c r="S39" s="138"/>
      <c r="T39" s="138"/>
      <c r="U39" s="138"/>
      <c r="V39" s="138"/>
      <c r="W39" s="138"/>
      <c r="X39" s="138"/>
      <c r="Y39" s="138"/>
      <c r="Z39" s="138"/>
      <c r="AA39" s="140"/>
      <c r="AB39" s="140"/>
      <c r="AC39" s="140"/>
      <c r="AD39" s="140"/>
      <c r="AE39" s="140"/>
    </row>
    <row r="40" ht="15.6" spans="1:26">
      <c r="A40" s="97" t="s">
        <v>24</v>
      </c>
      <c r="B40" s="97" t="s">
        <v>25</v>
      </c>
      <c r="C40" s="97" t="s">
        <v>26</v>
      </c>
      <c r="D40" s="97" t="s">
        <v>27</v>
      </c>
      <c r="E40" s="97" t="s">
        <v>28</v>
      </c>
      <c r="F40" s="97" t="s">
        <v>29</v>
      </c>
      <c r="G40" s="97" t="s">
        <v>30</v>
      </c>
      <c r="H40" s="128" t="s">
        <v>31</v>
      </c>
      <c r="I40" s="128" t="s">
        <v>32</v>
      </c>
      <c r="J40" s="136"/>
      <c r="K40" s="137"/>
      <c r="L40" s="137"/>
      <c r="M40" s="137"/>
      <c r="N40" s="137"/>
      <c r="O40" s="137"/>
      <c r="P40" s="137"/>
      <c r="Q40" s="137"/>
      <c r="R40" s="137"/>
      <c r="S40" s="137"/>
      <c r="T40" s="137"/>
      <c r="U40" s="137"/>
      <c r="V40" s="137"/>
      <c r="W40" s="137"/>
      <c r="X40" s="137"/>
      <c r="Y40" s="137"/>
      <c r="Z40" s="137"/>
    </row>
    <row r="41" ht="41.4" spans="1:26">
      <c r="A41" s="67" t="s">
        <v>160</v>
      </c>
      <c r="B41" s="68" t="s">
        <v>161</v>
      </c>
      <c r="C41" s="68" t="s">
        <v>162</v>
      </c>
      <c r="D41" s="99" t="s">
        <v>163</v>
      </c>
      <c r="E41" s="68" t="s">
        <v>164</v>
      </c>
      <c r="F41" s="68" t="s">
        <v>38</v>
      </c>
      <c r="G41" s="67" t="s">
        <v>11</v>
      </c>
      <c r="H41" s="99"/>
      <c r="I41" s="70" t="s">
        <v>39</v>
      </c>
      <c r="J41" s="136"/>
      <c r="K41" s="137"/>
      <c r="L41" s="137"/>
      <c r="M41" s="137"/>
      <c r="N41" s="137"/>
      <c r="O41" s="137"/>
      <c r="P41" s="137"/>
      <c r="Q41" s="137"/>
      <c r="R41" s="137"/>
      <c r="S41" s="137"/>
      <c r="T41" s="137"/>
      <c r="U41" s="137"/>
      <c r="V41" s="137"/>
      <c r="W41" s="137"/>
      <c r="X41" s="137"/>
      <c r="Y41" s="137"/>
      <c r="Z41" s="137"/>
    </row>
    <row r="42" ht="41.4" spans="1:26">
      <c r="A42" s="67" t="s">
        <v>165</v>
      </c>
      <c r="B42" s="68" t="s">
        <v>166</v>
      </c>
      <c r="C42" s="68" t="s">
        <v>162</v>
      </c>
      <c r="D42" s="99" t="s">
        <v>167</v>
      </c>
      <c r="E42" s="68" t="s">
        <v>168</v>
      </c>
      <c r="F42" s="68" t="s">
        <v>38</v>
      </c>
      <c r="G42" s="67" t="s">
        <v>11</v>
      </c>
      <c r="H42" s="99"/>
      <c r="I42" s="70" t="s">
        <v>39</v>
      </c>
      <c r="J42" s="136"/>
      <c r="K42" s="137"/>
      <c r="L42" s="137"/>
      <c r="M42" s="137"/>
      <c r="N42" s="137"/>
      <c r="O42" s="137"/>
      <c r="P42" s="137"/>
      <c r="Q42" s="137"/>
      <c r="R42" s="137"/>
      <c r="S42" s="137"/>
      <c r="T42" s="137"/>
      <c r="U42" s="137"/>
      <c r="V42" s="137"/>
      <c r="W42" s="137"/>
      <c r="X42" s="137"/>
      <c r="Y42" s="137"/>
      <c r="Z42" s="137"/>
    </row>
    <row r="43" ht="41.4" spans="1:26">
      <c r="A43" s="67" t="s">
        <v>169</v>
      </c>
      <c r="B43" s="68" t="s">
        <v>170</v>
      </c>
      <c r="C43" s="68" t="s">
        <v>162</v>
      </c>
      <c r="D43" s="73" t="s">
        <v>171</v>
      </c>
      <c r="E43" s="68" t="s">
        <v>172</v>
      </c>
      <c r="F43" s="68" t="s">
        <v>38</v>
      </c>
      <c r="G43" s="67" t="s">
        <v>11</v>
      </c>
      <c r="H43" s="99"/>
      <c r="I43" s="70" t="s">
        <v>39</v>
      </c>
      <c r="J43" s="136"/>
      <c r="K43" s="137"/>
      <c r="L43" s="137"/>
      <c r="M43" s="137"/>
      <c r="N43" s="137"/>
      <c r="O43" s="137"/>
      <c r="P43" s="137"/>
      <c r="Q43" s="137"/>
      <c r="R43" s="137"/>
      <c r="S43" s="137"/>
      <c r="T43" s="137"/>
      <c r="U43" s="137"/>
      <c r="V43" s="137"/>
      <c r="W43" s="137"/>
      <c r="X43" s="137"/>
      <c r="Y43" s="137"/>
      <c r="Z43" s="137"/>
    </row>
    <row r="44" ht="55.2" spans="1:26">
      <c r="A44" s="67" t="s">
        <v>173</v>
      </c>
      <c r="B44" s="68" t="s">
        <v>174</v>
      </c>
      <c r="C44" s="68" t="s">
        <v>162</v>
      </c>
      <c r="D44" s="73" t="s">
        <v>175</v>
      </c>
      <c r="E44" s="68" t="s">
        <v>176</v>
      </c>
      <c r="F44" s="68" t="s">
        <v>38</v>
      </c>
      <c r="G44" s="67" t="s">
        <v>11</v>
      </c>
      <c r="H44" s="99"/>
      <c r="I44" s="70" t="s">
        <v>39</v>
      </c>
      <c r="J44" s="136"/>
      <c r="K44" s="137"/>
      <c r="L44" s="137"/>
      <c r="M44" s="137"/>
      <c r="N44" s="137"/>
      <c r="O44" s="137"/>
      <c r="P44" s="137"/>
      <c r="Q44" s="137"/>
      <c r="R44" s="137"/>
      <c r="S44" s="137"/>
      <c r="T44" s="137"/>
      <c r="U44" s="137"/>
      <c r="V44" s="137"/>
      <c r="W44" s="137"/>
      <c r="X44" s="137"/>
      <c r="Y44" s="137"/>
      <c r="Z44" s="137"/>
    </row>
    <row r="45" ht="41.4" spans="1:26">
      <c r="A45" s="67" t="s">
        <v>177</v>
      </c>
      <c r="B45" s="68" t="s">
        <v>178</v>
      </c>
      <c r="C45" s="68" t="s">
        <v>162</v>
      </c>
      <c r="D45" s="73" t="s">
        <v>179</v>
      </c>
      <c r="E45" s="68" t="s">
        <v>180</v>
      </c>
      <c r="F45" s="68" t="s">
        <v>38</v>
      </c>
      <c r="G45" s="67" t="s">
        <v>11</v>
      </c>
      <c r="H45" s="99"/>
      <c r="I45" s="70" t="s">
        <v>39</v>
      </c>
      <c r="J45" s="136"/>
      <c r="K45" s="137"/>
      <c r="L45" s="137"/>
      <c r="M45" s="137"/>
      <c r="N45" s="137"/>
      <c r="O45" s="137"/>
      <c r="P45" s="137"/>
      <c r="Q45" s="137"/>
      <c r="R45" s="137"/>
      <c r="S45" s="137"/>
      <c r="T45" s="137"/>
      <c r="U45" s="137"/>
      <c r="V45" s="137"/>
      <c r="W45" s="137"/>
      <c r="X45" s="137"/>
      <c r="Y45" s="137"/>
      <c r="Z45" s="137"/>
    </row>
    <row r="46" ht="55.2" spans="1:26">
      <c r="A46" s="67" t="s">
        <v>181</v>
      </c>
      <c r="B46" s="68" t="s">
        <v>182</v>
      </c>
      <c r="C46" s="68" t="s">
        <v>162</v>
      </c>
      <c r="D46" s="99" t="s">
        <v>183</v>
      </c>
      <c r="E46" s="68" t="s">
        <v>184</v>
      </c>
      <c r="F46" s="68" t="s">
        <v>38</v>
      </c>
      <c r="G46" s="67" t="s">
        <v>11</v>
      </c>
      <c r="H46" s="99"/>
      <c r="I46" s="70" t="s">
        <v>39</v>
      </c>
      <c r="J46" s="136"/>
      <c r="K46" s="137"/>
      <c r="L46" s="137"/>
      <c r="M46" s="137"/>
      <c r="N46" s="137"/>
      <c r="O46" s="137"/>
      <c r="P46" s="137"/>
      <c r="Q46" s="137"/>
      <c r="R46" s="137"/>
      <c r="S46" s="137"/>
      <c r="T46" s="137"/>
      <c r="U46" s="137"/>
      <c r="V46" s="137"/>
      <c r="W46" s="137"/>
      <c r="X46" s="137"/>
      <c r="Y46" s="137"/>
      <c r="Z46" s="137"/>
    </row>
    <row r="47" ht="69" spans="1:26">
      <c r="A47" s="67" t="s">
        <v>185</v>
      </c>
      <c r="B47" s="68" t="s">
        <v>186</v>
      </c>
      <c r="C47" s="68" t="s">
        <v>162</v>
      </c>
      <c r="D47" s="99" t="s">
        <v>187</v>
      </c>
      <c r="E47" s="68" t="s">
        <v>188</v>
      </c>
      <c r="F47" s="68" t="s">
        <v>38</v>
      </c>
      <c r="G47" s="67" t="s">
        <v>11</v>
      </c>
      <c r="H47" s="99"/>
      <c r="I47" s="70" t="s">
        <v>39</v>
      </c>
      <c r="J47" s="136"/>
      <c r="K47" s="137"/>
      <c r="L47" s="137"/>
      <c r="M47" s="137"/>
      <c r="N47" s="137"/>
      <c r="O47" s="137"/>
      <c r="P47" s="137"/>
      <c r="Q47" s="137"/>
      <c r="R47" s="137"/>
      <c r="S47" s="137"/>
      <c r="T47" s="137"/>
      <c r="U47" s="137"/>
      <c r="V47" s="137"/>
      <c r="W47" s="137"/>
      <c r="X47" s="137"/>
      <c r="Y47" s="137"/>
      <c r="Z47" s="137"/>
    </row>
    <row r="48" ht="41.4" spans="1:26">
      <c r="A48" s="67" t="s">
        <v>189</v>
      </c>
      <c r="B48" s="68" t="s">
        <v>190</v>
      </c>
      <c r="C48" s="68" t="s">
        <v>162</v>
      </c>
      <c r="D48" s="99" t="s">
        <v>191</v>
      </c>
      <c r="E48" s="68" t="s">
        <v>98</v>
      </c>
      <c r="F48" s="68" t="s">
        <v>38</v>
      </c>
      <c r="G48" s="67" t="s">
        <v>11</v>
      </c>
      <c r="H48" s="99"/>
      <c r="I48" s="70" t="s">
        <v>39</v>
      </c>
      <c r="J48" s="136"/>
      <c r="K48" s="137"/>
      <c r="L48" s="137"/>
      <c r="M48" s="137"/>
      <c r="N48" s="137"/>
      <c r="O48" s="137"/>
      <c r="P48" s="137"/>
      <c r="Q48" s="137"/>
      <c r="R48" s="137"/>
      <c r="S48" s="137"/>
      <c r="T48" s="137"/>
      <c r="U48" s="137"/>
      <c r="V48" s="137"/>
      <c r="W48" s="137"/>
      <c r="X48" s="137"/>
      <c r="Y48" s="137"/>
      <c r="Z48" s="137"/>
    </row>
    <row r="49" ht="69" spans="1:26">
      <c r="A49" s="67" t="s">
        <v>192</v>
      </c>
      <c r="B49" s="68" t="s">
        <v>193</v>
      </c>
      <c r="C49" s="68" t="s">
        <v>162</v>
      </c>
      <c r="D49" s="99" t="s">
        <v>194</v>
      </c>
      <c r="E49" s="68" t="s">
        <v>102</v>
      </c>
      <c r="F49" s="68" t="s">
        <v>38</v>
      </c>
      <c r="G49" s="67" t="s">
        <v>11</v>
      </c>
      <c r="H49" s="99"/>
      <c r="I49" s="70" t="s">
        <v>39</v>
      </c>
      <c r="J49" s="136"/>
      <c r="K49" s="137"/>
      <c r="L49" s="137"/>
      <c r="M49" s="137"/>
      <c r="N49" s="137"/>
      <c r="O49" s="137"/>
      <c r="P49" s="137"/>
      <c r="Q49" s="137"/>
      <c r="R49" s="137"/>
      <c r="S49" s="137"/>
      <c r="T49" s="137"/>
      <c r="U49" s="137"/>
      <c r="V49" s="137"/>
      <c r="W49" s="137"/>
      <c r="X49" s="137"/>
      <c r="Y49" s="137"/>
      <c r="Z49" s="137"/>
    </row>
    <row r="50" ht="69" spans="1:26">
      <c r="A50" s="67" t="s">
        <v>195</v>
      </c>
      <c r="B50" s="68" t="s">
        <v>86</v>
      </c>
      <c r="C50" s="68" t="s">
        <v>196</v>
      </c>
      <c r="D50" s="99" t="s">
        <v>197</v>
      </c>
      <c r="E50" s="68" t="s">
        <v>198</v>
      </c>
      <c r="F50" s="68" t="s">
        <v>38</v>
      </c>
      <c r="G50" s="67" t="s">
        <v>11</v>
      </c>
      <c r="H50" s="99"/>
      <c r="I50" s="70" t="s">
        <v>39</v>
      </c>
      <c r="J50" s="136"/>
      <c r="K50" s="137"/>
      <c r="L50" s="137"/>
      <c r="M50" s="137"/>
      <c r="N50" s="137"/>
      <c r="O50" s="137"/>
      <c r="P50" s="137"/>
      <c r="Q50" s="137"/>
      <c r="R50" s="137"/>
      <c r="S50" s="137"/>
      <c r="T50" s="137"/>
      <c r="U50" s="137"/>
      <c r="V50" s="137"/>
      <c r="W50" s="137"/>
      <c r="X50" s="137"/>
      <c r="Y50" s="137"/>
      <c r="Z50" s="137"/>
    </row>
    <row r="51" ht="69" spans="1:26">
      <c r="A51" s="67" t="s">
        <v>199</v>
      </c>
      <c r="B51" s="68" t="s">
        <v>91</v>
      </c>
      <c r="C51" s="100" t="s">
        <v>200</v>
      </c>
      <c r="D51" s="99" t="s">
        <v>201</v>
      </c>
      <c r="E51" s="68" t="s">
        <v>202</v>
      </c>
      <c r="F51" s="68" t="s">
        <v>38</v>
      </c>
      <c r="G51" s="67" t="s">
        <v>11</v>
      </c>
      <c r="H51" s="99"/>
      <c r="I51" s="70" t="s">
        <v>39</v>
      </c>
      <c r="J51" s="136"/>
      <c r="K51" s="137"/>
      <c r="L51" s="137"/>
      <c r="M51" s="137"/>
      <c r="N51" s="137"/>
      <c r="O51" s="137"/>
      <c r="P51" s="137"/>
      <c r="Q51" s="137"/>
      <c r="R51" s="137"/>
      <c r="S51" s="137"/>
      <c r="T51" s="137"/>
      <c r="U51" s="137"/>
      <c r="V51" s="137"/>
      <c r="W51" s="137"/>
      <c r="X51" s="137"/>
      <c r="Y51" s="137"/>
      <c r="Z51" s="137"/>
    </row>
    <row r="52" ht="110.4" spans="1:26">
      <c r="A52" s="67" t="s">
        <v>203</v>
      </c>
      <c r="B52" s="68" t="s">
        <v>143</v>
      </c>
      <c r="C52" s="68" t="s">
        <v>204</v>
      </c>
      <c r="D52" s="99" t="s">
        <v>205</v>
      </c>
      <c r="E52" s="68" t="s">
        <v>146</v>
      </c>
      <c r="F52" s="68" t="s">
        <v>38</v>
      </c>
      <c r="G52" s="67" t="s">
        <v>11</v>
      </c>
      <c r="H52" s="99"/>
      <c r="I52" s="70" t="s">
        <v>39</v>
      </c>
      <c r="J52" s="136"/>
      <c r="K52" s="137"/>
      <c r="L52" s="137"/>
      <c r="M52" s="137"/>
      <c r="N52" s="137"/>
      <c r="O52" s="137"/>
      <c r="P52" s="137"/>
      <c r="Q52" s="137"/>
      <c r="R52" s="137"/>
      <c r="S52" s="137"/>
      <c r="T52" s="137"/>
      <c r="U52" s="137"/>
      <c r="V52" s="137"/>
      <c r="W52" s="137"/>
      <c r="X52" s="137"/>
      <c r="Y52" s="137"/>
      <c r="Z52" s="137"/>
    </row>
    <row r="53" ht="40.5" customHeight="1" spans="1:26">
      <c r="A53" s="67" t="s">
        <v>206</v>
      </c>
      <c r="B53" s="68" t="s">
        <v>139</v>
      </c>
      <c r="C53" s="68">
        <v>123456</v>
      </c>
      <c r="D53" s="99" t="s">
        <v>201</v>
      </c>
      <c r="E53" s="68" t="s">
        <v>207</v>
      </c>
      <c r="F53" s="68" t="s">
        <v>38</v>
      </c>
      <c r="G53" s="67" t="s">
        <v>11</v>
      </c>
      <c r="H53" s="99"/>
      <c r="I53" s="70" t="s">
        <v>39</v>
      </c>
      <c r="J53" s="136"/>
      <c r="K53" s="137"/>
      <c r="L53" s="137"/>
      <c r="M53" s="137"/>
      <c r="N53" s="137"/>
      <c r="O53" s="137"/>
      <c r="P53" s="137"/>
      <c r="Q53" s="137"/>
      <c r="R53" s="137"/>
      <c r="S53" s="137"/>
      <c r="T53" s="137"/>
      <c r="U53" s="137"/>
      <c r="V53" s="137"/>
      <c r="W53" s="137"/>
      <c r="X53" s="137"/>
      <c r="Y53" s="137"/>
      <c r="Z53" s="137"/>
    </row>
    <row r="54" ht="69" spans="1:26">
      <c r="A54" s="67" t="s">
        <v>208</v>
      </c>
      <c r="B54" s="68" t="s">
        <v>104</v>
      </c>
      <c r="C54" s="68">
        <v>717883703</v>
      </c>
      <c r="D54" s="99" t="s">
        <v>209</v>
      </c>
      <c r="E54" s="68" t="s">
        <v>106</v>
      </c>
      <c r="F54" s="68" t="s">
        <v>38</v>
      </c>
      <c r="G54" s="67" t="s">
        <v>11</v>
      </c>
      <c r="H54" s="99"/>
      <c r="I54" s="70" t="s">
        <v>39</v>
      </c>
      <c r="J54" s="136"/>
      <c r="K54" s="137"/>
      <c r="L54" s="137"/>
      <c r="M54" s="137"/>
      <c r="N54" s="137"/>
      <c r="O54" s="137"/>
      <c r="P54" s="137"/>
      <c r="Q54" s="137"/>
      <c r="R54" s="137"/>
      <c r="S54" s="137"/>
      <c r="T54" s="137"/>
      <c r="U54" s="137"/>
      <c r="V54" s="137"/>
      <c r="W54" s="137"/>
      <c r="X54" s="137"/>
      <c r="Y54" s="137"/>
      <c r="Z54" s="137"/>
    </row>
    <row r="55" ht="55.2" spans="1:26">
      <c r="A55" s="67" t="s">
        <v>210</v>
      </c>
      <c r="B55" s="68" t="s">
        <v>108</v>
      </c>
      <c r="C55" s="68">
        <v>1717883703</v>
      </c>
      <c r="D55" s="99" t="s">
        <v>211</v>
      </c>
      <c r="E55" s="68" t="s">
        <v>111</v>
      </c>
      <c r="F55" s="68" t="s">
        <v>38</v>
      </c>
      <c r="G55" s="67" t="s">
        <v>11</v>
      </c>
      <c r="H55" s="99"/>
      <c r="I55" s="70" t="s">
        <v>39</v>
      </c>
      <c r="J55" s="136"/>
      <c r="K55" s="137"/>
      <c r="L55" s="137"/>
      <c r="M55" s="137"/>
      <c r="N55" s="137"/>
      <c r="O55" s="137"/>
      <c r="P55" s="137"/>
      <c r="Q55" s="137"/>
      <c r="R55" s="137"/>
      <c r="S55" s="137"/>
      <c r="T55" s="137"/>
      <c r="U55" s="137"/>
      <c r="V55" s="137"/>
      <c r="W55" s="137"/>
      <c r="X55" s="137"/>
      <c r="Y55" s="137"/>
      <c r="Z55" s="137"/>
    </row>
    <row r="56" ht="82.8" spans="1:26">
      <c r="A56" s="67" t="s">
        <v>212</v>
      </c>
      <c r="B56" s="68" t="s">
        <v>213</v>
      </c>
      <c r="C56" s="68" t="s">
        <v>214</v>
      </c>
      <c r="D56" s="73" t="s">
        <v>215</v>
      </c>
      <c r="E56" s="68" t="s">
        <v>216</v>
      </c>
      <c r="F56" s="68" t="s">
        <v>38</v>
      </c>
      <c r="G56" s="67" t="s">
        <v>11</v>
      </c>
      <c r="H56" s="99"/>
      <c r="I56" s="70" t="s">
        <v>39</v>
      </c>
      <c r="J56" s="136"/>
      <c r="K56" s="137"/>
      <c r="L56" s="137"/>
      <c r="M56" s="137"/>
      <c r="N56" s="137"/>
      <c r="O56" s="137"/>
      <c r="P56" s="137"/>
      <c r="Q56" s="137"/>
      <c r="R56" s="137"/>
      <c r="S56" s="137"/>
      <c r="T56" s="137"/>
      <c r="U56" s="137"/>
      <c r="V56" s="137"/>
      <c r="W56" s="137"/>
      <c r="X56" s="137"/>
      <c r="Y56" s="137"/>
      <c r="Z56" s="137"/>
    </row>
    <row r="57" ht="41.4" spans="1:26">
      <c r="A57" s="67" t="s">
        <v>217</v>
      </c>
      <c r="B57" s="68" t="s">
        <v>218</v>
      </c>
      <c r="C57" s="68" t="s">
        <v>219</v>
      </c>
      <c r="D57" s="73" t="s">
        <v>220</v>
      </c>
      <c r="E57" s="68" t="s">
        <v>221</v>
      </c>
      <c r="F57" s="68" t="s">
        <v>38</v>
      </c>
      <c r="G57" s="67" t="s">
        <v>11</v>
      </c>
      <c r="H57" s="99"/>
      <c r="I57" s="70" t="s">
        <v>39</v>
      </c>
      <c r="J57" s="136"/>
      <c r="K57" s="137"/>
      <c r="L57" s="137"/>
      <c r="M57" s="137"/>
      <c r="N57" s="137"/>
      <c r="O57" s="137"/>
      <c r="P57" s="137"/>
      <c r="Q57" s="137"/>
      <c r="R57" s="137"/>
      <c r="S57" s="137"/>
      <c r="T57" s="137"/>
      <c r="U57" s="137"/>
      <c r="V57" s="137"/>
      <c r="W57" s="137"/>
      <c r="X57" s="137"/>
      <c r="Y57" s="137"/>
      <c r="Z57" s="137"/>
    </row>
    <row r="58" ht="55.2" spans="1:26">
      <c r="A58" s="67" t="s">
        <v>222</v>
      </c>
      <c r="B58" s="68" t="s">
        <v>223</v>
      </c>
      <c r="C58" s="68" t="s">
        <v>219</v>
      </c>
      <c r="D58" s="73" t="s">
        <v>224</v>
      </c>
      <c r="E58" s="68" t="s">
        <v>225</v>
      </c>
      <c r="F58" s="68" t="s">
        <v>38</v>
      </c>
      <c r="G58" s="67" t="s">
        <v>11</v>
      </c>
      <c r="H58" s="99"/>
      <c r="I58" s="70" t="s">
        <v>39</v>
      </c>
      <c r="J58" s="136"/>
      <c r="K58" s="137"/>
      <c r="L58" s="137"/>
      <c r="M58" s="137"/>
      <c r="N58" s="137"/>
      <c r="O58" s="137"/>
      <c r="P58" s="137"/>
      <c r="Q58" s="137"/>
      <c r="R58" s="137"/>
      <c r="S58" s="137"/>
      <c r="T58" s="137"/>
      <c r="U58" s="137"/>
      <c r="V58" s="137"/>
      <c r="W58" s="137"/>
      <c r="X58" s="137"/>
      <c r="Y58" s="137"/>
      <c r="Z58" s="137"/>
    </row>
    <row r="59" ht="55.2" spans="1:26">
      <c r="A59" s="67" t="s">
        <v>226</v>
      </c>
      <c r="B59" s="68" t="s">
        <v>227</v>
      </c>
      <c r="C59" s="68" t="s">
        <v>219</v>
      </c>
      <c r="D59" s="73" t="s">
        <v>228</v>
      </c>
      <c r="E59" s="68" t="s">
        <v>229</v>
      </c>
      <c r="F59" s="68" t="s">
        <v>38</v>
      </c>
      <c r="G59" s="67" t="s">
        <v>11</v>
      </c>
      <c r="H59" s="99"/>
      <c r="I59" s="70" t="s">
        <v>39</v>
      </c>
      <c r="J59" s="136"/>
      <c r="K59" s="137"/>
      <c r="L59" s="137"/>
      <c r="M59" s="137"/>
      <c r="N59" s="137"/>
      <c r="O59" s="137"/>
      <c r="P59" s="137"/>
      <c r="Q59" s="137"/>
      <c r="R59" s="137"/>
      <c r="S59" s="137"/>
      <c r="T59" s="137"/>
      <c r="U59" s="137"/>
      <c r="V59" s="137"/>
      <c r="W59" s="137"/>
      <c r="X59" s="137"/>
      <c r="Y59" s="137"/>
      <c r="Z59" s="137"/>
    </row>
    <row r="60" ht="55.2" spans="1:26">
      <c r="A60" s="67" t="s">
        <v>230</v>
      </c>
      <c r="B60" s="68" t="s">
        <v>73</v>
      </c>
      <c r="C60" s="68" t="s">
        <v>219</v>
      </c>
      <c r="D60" s="73" t="s">
        <v>231</v>
      </c>
      <c r="E60" s="68" t="s">
        <v>225</v>
      </c>
      <c r="F60" s="68" t="s">
        <v>38</v>
      </c>
      <c r="G60" s="67" t="s">
        <v>11</v>
      </c>
      <c r="H60" s="99"/>
      <c r="I60" s="70" t="s">
        <v>39</v>
      </c>
      <c r="J60" s="136"/>
      <c r="K60" s="137"/>
      <c r="L60" s="137"/>
      <c r="M60" s="137"/>
      <c r="N60" s="137"/>
      <c r="O60" s="137"/>
      <c r="P60" s="137"/>
      <c r="Q60" s="137"/>
      <c r="R60" s="137"/>
      <c r="S60" s="137"/>
      <c r="T60" s="137"/>
      <c r="U60" s="137"/>
      <c r="V60" s="137"/>
      <c r="W60" s="137"/>
      <c r="X60" s="137"/>
      <c r="Y60" s="137"/>
      <c r="Z60" s="137"/>
    </row>
    <row r="61" ht="82.8" spans="1:26">
      <c r="A61" s="67" t="s">
        <v>232</v>
      </c>
      <c r="B61" s="68" t="s">
        <v>233</v>
      </c>
      <c r="C61" s="68" t="s">
        <v>219</v>
      </c>
      <c r="D61" s="73" t="s">
        <v>234</v>
      </c>
      <c r="E61" s="68" t="s">
        <v>79</v>
      </c>
      <c r="F61" s="68" t="s">
        <v>235</v>
      </c>
      <c r="G61" s="67" t="s">
        <v>15</v>
      </c>
      <c r="H61" s="99">
        <v>2</v>
      </c>
      <c r="I61" s="70" t="s">
        <v>39</v>
      </c>
      <c r="J61" s="136"/>
      <c r="K61" s="137"/>
      <c r="L61" s="137"/>
      <c r="M61" s="137"/>
      <c r="N61" s="137"/>
      <c r="O61" s="137"/>
      <c r="P61" s="137"/>
      <c r="Q61" s="137"/>
      <c r="R61" s="137"/>
      <c r="S61" s="137"/>
      <c r="T61" s="137"/>
      <c r="U61" s="137"/>
      <c r="V61" s="137"/>
      <c r="W61" s="137"/>
      <c r="X61" s="137"/>
      <c r="Y61" s="137"/>
      <c r="Z61" s="137"/>
    </row>
    <row r="62" ht="82.8" spans="1:26">
      <c r="A62" s="67" t="s">
        <v>236</v>
      </c>
      <c r="B62" s="68" t="s">
        <v>237</v>
      </c>
      <c r="C62" s="68" t="s">
        <v>219</v>
      </c>
      <c r="D62" s="73" t="s">
        <v>238</v>
      </c>
      <c r="E62" s="68" t="s">
        <v>239</v>
      </c>
      <c r="F62" s="68" t="s">
        <v>38</v>
      </c>
      <c r="G62" s="67" t="s">
        <v>11</v>
      </c>
      <c r="H62" s="99"/>
      <c r="I62" s="70" t="s">
        <v>39</v>
      </c>
      <c r="J62" s="136"/>
      <c r="K62" s="137"/>
      <c r="L62" s="137"/>
      <c r="M62" s="137"/>
      <c r="N62" s="137"/>
      <c r="O62" s="137"/>
      <c r="P62" s="137"/>
      <c r="Q62" s="137"/>
      <c r="R62" s="137"/>
      <c r="S62" s="137"/>
      <c r="T62" s="137"/>
      <c r="U62" s="137"/>
      <c r="V62" s="137"/>
      <c r="W62" s="137"/>
      <c r="X62" s="137"/>
      <c r="Y62" s="137"/>
      <c r="Z62" s="137"/>
    </row>
    <row r="63" ht="82.8" spans="1:26">
      <c r="A63" s="67" t="s">
        <v>240</v>
      </c>
      <c r="B63" s="68" t="s">
        <v>86</v>
      </c>
      <c r="C63" s="68" t="s">
        <v>241</v>
      </c>
      <c r="D63" s="73" t="s">
        <v>242</v>
      </c>
      <c r="E63" s="68" t="s">
        <v>198</v>
      </c>
      <c r="F63" s="68" t="s">
        <v>38</v>
      </c>
      <c r="G63" s="67" t="s">
        <v>11</v>
      </c>
      <c r="H63" s="99"/>
      <c r="I63" s="70" t="s">
        <v>39</v>
      </c>
      <c r="J63" s="136"/>
      <c r="K63" s="137"/>
      <c r="L63" s="137"/>
      <c r="M63" s="137"/>
      <c r="N63" s="137"/>
      <c r="O63" s="137"/>
      <c r="P63" s="137"/>
      <c r="Q63" s="137"/>
      <c r="R63" s="137"/>
      <c r="S63" s="137"/>
      <c r="T63" s="137"/>
      <c r="U63" s="137"/>
      <c r="V63" s="137"/>
      <c r="W63" s="137"/>
      <c r="X63" s="137"/>
      <c r="Y63" s="137"/>
      <c r="Z63" s="137"/>
    </row>
    <row r="64" ht="82.8" spans="1:26">
      <c r="A64" s="67" t="s">
        <v>243</v>
      </c>
      <c r="B64" s="68" t="s">
        <v>91</v>
      </c>
      <c r="C64" s="68" t="s">
        <v>219</v>
      </c>
      <c r="D64" s="73" t="s">
        <v>244</v>
      </c>
      <c r="E64" s="68" t="s">
        <v>94</v>
      </c>
      <c r="F64" s="68" t="s">
        <v>38</v>
      </c>
      <c r="G64" s="67" t="s">
        <v>11</v>
      </c>
      <c r="H64" s="99"/>
      <c r="I64" s="70" t="s">
        <v>39</v>
      </c>
      <c r="J64" s="136"/>
      <c r="K64" s="137"/>
      <c r="L64" s="137"/>
      <c r="M64" s="137"/>
      <c r="N64" s="137"/>
      <c r="O64" s="137"/>
      <c r="P64" s="137"/>
      <c r="Q64" s="137"/>
      <c r="R64" s="137"/>
      <c r="S64" s="137"/>
      <c r="T64" s="137"/>
      <c r="U64" s="137"/>
      <c r="V64" s="137"/>
      <c r="W64" s="137"/>
      <c r="X64" s="137"/>
      <c r="Y64" s="137"/>
      <c r="Z64" s="137"/>
    </row>
    <row r="65" ht="55.2" spans="1:26">
      <c r="A65" s="67" t="s">
        <v>245</v>
      </c>
      <c r="B65" s="68" t="s">
        <v>96</v>
      </c>
      <c r="C65" s="68" t="s">
        <v>219</v>
      </c>
      <c r="D65" s="73" t="s">
        <v>246</v>
      </c>
      <c r="E65" s="68" t="s">
        <v>98</v>
      </c>
      <c r="F65" s="68" t="s">
        <v>38</v>
      </c>
      <c r="G65" s="67" t="s">
        <v>11</v>
      </c>
      <c r="H65" s="99"/>
      <c r="I65" s="70" t="s">
        <v>39</v>
      </c>
      <c r="J65" s="136"/>
      <c r="K65" s="137"/>
      <c r="L65" s="137"/>
      <c r="M65" s="137"/>
      <c r="N65" s="137"/>
      <c r="O65" s="137"/>
      <c r="P65" s="137"/>
      <c r="Q65" s="137"/>
      <c r="R65" s="137"/>
      <c r="S65" s="137"/>
      <c r="T65" s="137"/>
      <c r="U65" s="137"/>
      <c r="V65" s="137"/>
      <c r="W65" s="137"/>
      <c r="X65" s="137"/>
      <c r="Y65" s="137"/>
      <c r="Z65" s="137"/>
    </row>
    <row r="66" ht="82.8" spans="1:26">
      <c r="A66" s="67" t="s">
        <v>247</v>
      </c>
      <c r="B66" s="68" t="s">
        <v>100</v>
      </c>
      <c r="C66" s="68" t="s">
        <v>219</v>
      </c>
      <c r="D66" s="73" t="s">
        <v>248</v>
      </c>
      <c r="E66" s="68" t="s">
        <v>102</v>
      </c>
      <c r="F66" s="68" t="s">
        <v>38</v>
      </c>
      <c r="G66" s="67" t="s">
        <v>11</v>
      </c>
      <c r="H66" s="99"/>
      <c r="I66" s="70" t="s">
        <v>39</v>
      </c>
      <c r="J66" s="136"/>
      <c r="K66" s="137"/>
      <c r="L66" s="137"/>
      <c r="M66" s="137"/>
      <c r="N66" s="137"/>
      <c r="O66" s="137"/>
      <c r="P66" s="137"/>
      <c r="Q66" s="137"/>
      <c r="R66" s="137"/>
      <c r="S66" s="137"/>
      <c r="T66" s="137"/>
      <c r="U66" s="137"/>
      <c r="V66" s="137"/>
      <c r="W66" s="137"/>
      <c r="X66" s="137"/>
      <c r="Y66" s="137"/>
      <c r="Z66" s="137"/>
    </row>
    <row r="67" ht="69" spans="1:26">
      <c r="A67" s="67" t="s">
        <v>249</v>
      </c>
      <c r="B67" s="68" t="s">
        <v>227</v>
      </c>
      <c r="C67" s="68" t="s">
        <v>219</v>
      </c>
      <c r="D67" s="73" t="s">
        <v>250</v>
      </c>
      <c r="E67" s="68" t="s">
        <v>251</v>
      </c>
      <c r="F67" s="68" t="s">
        <v>38</v>
      </c>
      <c r="G67" s="67" t="s">
        <v>11</v>
      </c>
      <c r="H67" s="99"/>
      <c r="I67" s="70" t="s">
        <v>39</v>
      </c>
      <c r="J67" s="136"/>
      <c r="K67" s="137"/>
      <c r="L67" s="137"/>
      <c r="M67" s="137"/>
      <c r="N67" s="137"/>
      <c r="O67" s="137"/>
      <c r="P67" s="137"/>
      <c r="Q67" s="137"/>
      <c r="R67" s="137"/>
      <c r="S67" s="137"/>
      <c r="T67" s="137"/>
      <c r="U67" s="137"/>
      <c r="V67" s="137"/>
      <c r="W67" s="137"/>
      <c r="X67" s="137"/>
      <c r="Y67" s="137"/>
      <c r="Z67" s="137"/>
    </row>
    <row r="68" ht="82.8" spans="1:26">
      <c r="A68" s="67" t="s">
        <v>252</v>
      </c>
      <c r="B68" s="92" t="s">
        <v>104</v>
      </c>
      <c r="C68" s="68">
        <v>167834</v>
      </c>
      <c r="D68" s="73" t="s">
        <v>253</v>
      </c>
      <c r="E68" s="92" t="s">
        <v>106</v>
      </c>
      <c r="F68" s="92" t="s">
        <v>38</v>
      </c>
      <c r="G68" s="108" t="s">
        <v>11</v>
      </c>
      <c r="H68" s="92"/>
      <c r="I68" s="70" t="s">
        <v>39</v>
      </c>
      <c r="J68" s="103"/>
      <c r="K68" s="103"/>
      <c r="L68" s="103"/>
      <c r="M68" s="103"/>
      <c r="N68" s="103"/>
      <c r="O68" s="103"/>
      <c r="P68" s="103"/>
      <c r="Q68" s="103"/>
      <c r="R68" s="103"/>
      <c r="S68" s="103"/>
      <c r="T68" s="103"/>
      <c r="U68" s="103"/>
      <c r="V68" s="103"/>
      <c r="W68" s="103"/>
      <c r="X68" s="103"/>
      <c r="Y68" s="103"/>
      <c r="Z68" s="103"/>
    </row>
    <row r="69" ht="82.8" spans="1:26">
      <c r="A69" s="67" t="s">
        <v>254</v>
      </c>
      <c r="B69" s="92" t="s">
        <v>108</v>
      </c>
      <c r="C69" s="68">
        <v>1678348734</v>
      </c>
      <c r="D69" s="73" t="s">
        <v>255</v>
      </c>
      <c r="E69" s="92" t="s">
        <v>111</v>
      </c>
      <c r="F69" s="92" t="s">
        <v>38</v>
      </c>
      <c r="G69" s="108" t="s">
        <v>11</v>
      </c>
      <c r="H69" s="92"/>
      <c r="I69" s="70" t="s">
        <v>39</v>
      </c>
      <c r="J69" s="103"/>
      <c r="K69" s="103"/>
      <c r="L69" s="103"/>
      <c r="M69" s="103"/>
      <c r="N69" s="103"/>
      <c r="O69" s="103"/>
      <c r="P69" s="103"/>
      <c r="Q69" s="103"/>
      <c r="R69" s="103"/>
      <c r="S69" s="103"/>
      <c r="T69" s="103"/>
      <c r="U69" s="103"/>
      <c r="V69" s="103"/>
      <c r="W69" s="103"/>
      <c r="X69" s="103"/>
      <c r="Y69" s="103"/>
      <c r="Z69" s="103"/>
    </row>
    <row r="70" ht="96.6" spans="1:26">
      <c r="A70" s="67" t="s">
        <v>256</v>
      </c>
      <c r="B70" s="92" t="s">
        <v>257</v>
      </c>
      <c r="C70" s="68" t="s">
        <v>219</v>
      </c>
      <c r="D70" s="73" t="s">
        <v>258</v>
      </c>
      <c r="E70" s="92" t="s">
        <v>259</v>
      </c>
      <c r="F70" s="92" t="s">
        <v>38</v>
      </c>
      <c r="G70" s="108" t="s">
        <v>11</v>
      </c>
      <c r="H70" s="92"/>
      <c r="I70" s="70" t="s">
        <v>39</v>
      </c>
      <c r="J70" s="103"/>
      <c r="K70" s="103"/>
      <c r="L70" s="103"/>
      <c r="M70" s="103"/>
      <c r="N70" s="103"/>
      <c r="O70" s="103"/>
      <c r="P70" s="103"/>
      <c r="Q70" s="103"/>
      <c r="R70" s="103"/>
      <c r="S70" s="103"/>
      <c r="T70" s="103"/>
      <c r="U70" s="103"/>
      <c r="V70" s="103"/>
      <c r="W70" s="103"/>
      <c r="X70" s="103"/>
      <c r="Y70" s="103"/>
      <c r="Z70" s="103"/>
    </row>
    <row r="71" ht="69" spans="1:26">
      <c r="A71" s="67" t="s">
        <v>116</v>
      </c>
      <c r="B71" s="92" t="s">
        <v>117</v>
      </c>
      <c r="C71" s="68" t="s">
        <v>219</v>
      </c>
      <c r="D71" s="73" t="s">
        <v>114</v>
      </c>
      <c r="E71" s="92" t="s">
        <v>118</v>
      </c>
      <c r="F71" s="92" t="s">
        <v>38</v>
      </c>
      <c r="G71" s="108" t="s">
        <v>11</v>
      </c>
      <c r="H71" s="92"/>
      <c r="I71" s="70" t="s">
        <v>39</v>
      </c>
      <c r="J71" s="103"/>
      <c r="K71" s="103"/>
      <c r="L71" s="103"/>
      <c r="M71" s="103"/>
      <c r="N71" s="103"/>
      <c r="O71" s="103"/>
      <c r="P71" s="103"/>
      <c r="Q71" s="103"/>
      <c r="R71" s="103"/>
      <c r="S71" s="103"/>
      <c r="T71" s="103"/>
      <c r="U71" s="103"/>
      <c r="V71" s="103"/>
      <c r="W71" s="103"/>
      <c r="X71" s="103"/>
      <c r="Y71" s="103"/>
      <c r="Z71" s="103"/>
    </row>
    <row r="72" ht="82.8" spans="1:26">
      <c r="A72" s="67" t="s">
        <v>119</v>
      </c>
      <c r="B72" s="92" t="s">
        <v>120</v>
      </c>
      <c r="C72" s="68" t="s">
        <v>219</v>
      </c>
      <c r="D72" s="73" t="s">
        <v>260</v>
      </c>
      <c r="E72" s="92" t="s">
        <v>122</v>
      </c>
      <c r="F72" s="92" t="s">
        <v>38</v>
      </c>
      <c r="G72" s="108" t="s">
        <v>11</v>
      </c>
      <c r="H72" s="92"/>
      <c r="I72" s="70" t="s">
        <v>39</v>
      </c>
      <c r="J72" s="103"/>
      <c r="K72" s="103"/>
      <c r="L72" s="103"/>
      <c r="M72" s="103"/>
      <c r="N72" s="103"/>
      <c r="O72" s="103"/>
      <c r="P72" s="103"/>
      <c r="Q72" s="103"/>
      <c r="R72" s="103"/>
      <c r="S72" s="103"/>
      <c r="T72" s="103"/>
      <c r="U72" s="103"/>
      <c r="V72" s="103"/>
      <c r="W72" s="103"/>
      <c r="X72" s="103"/>
      <c r="Y72" s="103"/>
      <c r="Z72" s="103"/>
    </row>
    <row r="73" ht="27.6" spans="1:26">
      <c r="A73" s="67" t="s">
        <v>116</v>
      </c>
      <c r="B73" s="68" t="s">
        <v>123</v>
      </c>
      <c r="C73" s="68" t="s">
        <v>219</v>
      </c>
      <c r="D73" s="92"/>
      <c r="E73" s="68"/>
      <c r="F73" s="92" t="s">
        <v>38</v>
      </c>
      <c r="G73" s="108" t="s">
        <v>11</v>
      </c>
      <c r="H73" s="99"/>
      <c r="I73" s="70" t="s">
        <v>39</v>
      </c>
      <c r="J73" s="136"/>
      <c r="K73" s="137"/>
      <c r="L73" s="137"/>
      <c r="M73" s="137"/>
      <c r="N73" s="137"/>
      <c r="O73" s="137"/>
      <c r="P73" s="137"/>
      <c r="Q73" s="137"/>
      <c r="R73" s="137"/>
      <c r="S73" s="137"/>
      <c r="T73" s="137"/>
      <c r="U73" s="137"/>
      <c r="V73" s="137"/>
      <c r="W73" s="137"/>
      <c r="X73" s="137"/>
      <c r="Y73" s="137"/>
      <c r="Z73" s="137"/>
    </row>
    <row r="74" ht="96.6" spans="1:26">
      <c r="A74" s="67" t="s">
        <v>119</v>
      </c>
      <c r="B74" s="68" t="s">
        <v>126</v>
      </c>
      <c r="C74" s="68" t="s">
        <v>219</v>
      </c>
      <c r="D74" s="73" t="s">
        <v>261</v>
      </c>
      <c r="E74" s="68" t="s">
        <v>128</v>
      </c>
      <c r="F74" s="92" t="s">
        <v>38</v>
      </c>
      <c r="G74" s="108" t="s">
        <v>11</v>
      </c>
      <c r="H74" s="99"/>
      <c r="I74" s="70" t="s">
        <v>39</v>
      </c>
      <c r="J74" s="136"/>
      <c r="K74" s="137"/>
      <c r="L74" s="137"/>
      <c r="M74" s="137"/>
      <c r="N74" s="137"/>
      <c r="O74" s="137"/>
      <c r="P74" s="137"/>
      <c r="Q74" s="137"/>
      <c r="R74" s="137"/>
      <c r="S74" s="137"/>
      <c r="T74" s="137"/>
      <c r="U74" s="137"/>
      <c r="V74" s="137"/>
      <c r="W74" s="137"/>
      <c r="X74" s="137"/>
      <c r="Y74" s="137"/>
      <c r="Z74" s="137"/>
    </row>
    <row r="75" ht="96.6" spans="1:26">
      <c r="A75" s="67" t="s">
        <v>129</v>
      </c>
      <c r="B75" s="92" t="s">
        <v>130</v>
      </c>
      <c r="C75" s="68" t="s">
        <v>219</v>
      </c>
      <c r="D75" s="73" t="s">
        <v>262</v>
      </c>
      <c r="E75" s="92" t="s">
        <v>133</v>
      </c>
      <c r="F75" s="92" t="s">
        <v>38</v>
      </c>
      <c r="G75" s="108" t="s">
        <v>11</v>
      </c>
      <c r="H75" s="92"/>
      <c r="I75" s="70" t="s">
        <v>39</v>
      </c>
      <c r="J75" s="103"/>
      <c r="K75" s="103"/>
      <c r="L75" s="103"/>
      <c r="M75" s="103"/>
      <c r="N75" s="103"/>
      <c r="O75" s="103"/>
      <c r="P75" s="103"/>
      <c r="Q75" s="103"/>
      <c r="R75" s="103"/>
      <c r="S75" s="103"/>
      <c r="T75" s="103"/>
      <c r="U75" s="103"/>
      <c r="V75" s="103"/>
      <c r="W75" s="103"/>
      <c r="X75" s="103"/>
      <c r="Y75" s="103"/>
      <c r="Z75" s="103"/>
    </row>
    <row r="76" ht="110.4" spans="1:26">
      <c r="A76" s="67" t="s">
        <v>134</v>
      </c>
      <c r="B76" s="92" t="s">
        <v>135</v>
      </c>
      <c r="C76" s="68" t="s">
        <v>219</v>
      </c>
      <c r="D76" s="73" t="s">
        <v>263</v>
      </c>
      <c r="E76" s="92" t="s">
        <v>137</v>
      </c>
      <c r="F76" s="92" t="s">
        <v>38</v>
      </c>
      <c r="G76" s="108" t="s">
        <v>11</v>
      </c>
      <c r="H76" s="92"/>
      <c r="I76" s="70" t="s">
        <v>39</v>
      </c>
      <c r="J76" s="103"/>
      <c r="K76" s="103"/>
      <c r="L76" s="103"/>
      <c r="M76" s="103"/>
      <c r="N76" s="103"/>
      <c r="O76" s="103"/>
      <c r="P76" s="103"/>
      <c r="Q76" s="103"/>
      <c r="R76" s="103"/>
      <c r="S76" s="103"/>
      <c r="T76" s="103"/>
      <c r="U76" s="103"/>
      <c r="V76" s="103"/>
      <c r="W76" s="103"/>
      <c r="X76" s="103"/>
      <c r="Y76" s="103"/>
      <c r="Z76" s="103"/>
    </row>
    <row r="77" ht="96.6" spans="1:26">
      <c r="A77" s="67" t="s">
        <v>138</v>
      </c>
      <c r="B77" s="68" t="s">
        <v>139</v>
      </c>
      <c r="C77" s="68" t="s">
        <v>219</v>
      </c>
      <c r="D77" s="73" t="s">
        <v>262</v>
      </c>
      <c r="E77" s="68" t="s">
        <v>141</v>
      </c>
      <c r="F77" s="92" t="s">
        <v>38</v>
      </c>
      <c r="G77" s="108" t="s">
        <v>11</v>
      </c>
      <c r="H77" s="99"/>
      <c r="I77" s="70" t="s">
        <v>39</v>
      </c>
      <c r="J77" s="136"/>
      <c r="K77" s="137"/>
      <c r="L77" s="137"/>
      <c r="M77" s="137"/>
      <c r="N77" s="137"/>
      <c r="O77" s="137"/>
      <c r="P77" s="137"/>
      <c r="Q77" s="137"/>
      <c r="R77" s="137"/>
      <c r="S77" s="137"/>
      <c r="T77" s="137"/>
      <c r="U77" s="137"/>
      <c r="V77" s="137"/>
      <c r="W77" s="137"/>
      <c r="X77" s="137"/>
      <c r="Y77" s="137"/>
      <c r="Z77" s="137"/>
    </row>
    <row r="78" ht="110.4" spans="1:26">
      <c r="A78" s="67" t="s">
        <v>142</v>
      </c>
      <c r="B78" s="68" t="s">
        <v>143</v>
      </c>
      <c r="C78" s="68" t="s">
        <v>219</v>
      </c>
      <c r="D78" s="73" t="s">
        <v>264</v>
      </c>
      <c r="E78" s="68" t="s">
        <v>146</v>
      </c>
      <c r="F78" s="92" t="s">
        <v>38</v>
      </c>
      <c r="G78" s="108" t="s">
        <v>11</v>
      </c>
      <c r="H78" s="99"/>
      <c r="I78" s="70" t="s">
        <v>39</v>
      </c>
      <c r="J78" s="136"/>
      <c r="K78" s="137"/>
      <c r="L78" s="137"/>
      <c r="M78" s="137"/>
      <c r="N78" s="137"/>
      <c r="O78" s="137"/>
      <c r="P78" s="137"/>
      <c r="Q78" s="137"/>
      <c r="R78" s="137"/>
      <c r="S78" s="137"/>
      <c r="T78" s="137"/>
      <c r="U78" s="137"/>
      <c r="V78" s="137"/>
      <c r="W78" s="137"/>
      <c r="X78" s="137"/>
      <c r="Y78" s="137"/>
      <c r="Z78" s="137"/>
    </row>
    <row r="79" ht="110.4" spans="1:26">
      <c r="A79" s="67" t="s">
        <v>147</v>
      </c>
      <c r="B79" s="68" t="s">
        <v>148</v>
      </c>
      <c r="C79" s="68" t="s">
        <v>219</v>
      </c>
      <c r="D79" s="73" t="s">
        <v>265</v>
      </c>
      <c r="E79" s="68"/>
      <c r="F79" s="92" t="s">
        <v>38</v>
      </c>
      <c r="G79" s="108" t="s">
        <v>11</v>
      </c>
      <c r="H79" s="99"/>
      <c r="I79" s="70" t="s">
        <v>39</v>
      </c>
      <c r="J79" s="136"/>
      <c r="K79" s="137"/>
      <c r="L79" s="137"/>
      <c r="M79" s="137"/>
      <c r="N79" s="137"/>
      <c r="O79" s="137"/>
      <c r="P79" s="137"/>
      <c r="Q79" s="137"/>
      <c r="R79" s="137"/>
      <c r="S79" s="137"/>
      <c r="T79" s="137"/>
      <c r="U79" s="137"/>
      <c r="V79" s="137"/>
      <c r="W79" s="137"/>
      <c r="X79" s="137"/>
      <c r="Y79" s="137"/>
      <c r="Z79" s="137"/>
    </row>
    <row r="80" ht="110.4" spans="1:26">
      <c r="A80" s="67" t="s">
        <v>151</v>
      </c>
      <c r="B80" s="68" t="s">
        <v>152</v>
      </c>
      <c r="C80" s="68" t="s">
        <v>219</v>
      </c>
      <c r="D80" s="73" t="s">
        <v>266</v>
      </c>
      <c r="E80" s="68" t="s">
        <v>154</v>
      </c>
      <c r="F80" s="92" t="s">
        <v>38</v>
      </c>
      <c r="G80" s="108" t="s">
        <v>11</v>
      </c>
      <c r="H80" s="99"/>
      <c r="I80" s="70" t="s">
        <v>39</v>
      </c>
      <c r="J80" s="136"/>
      <c r="K80" s="137"/>
      <c r="L80" s="137"/>
      <c r="M80" s="137"/>
      <c r="N80" s="137"/>
      <c r="O80" s="137"/>
      <c r="P80" s="137"/>
      <c r="Q80" s="137"/>
      <c r="R80" s="137"/>
      <c r="S80" s="137"/>
      <c r="T80" s="137"/>
      <c r="U80" s="137"/>
      <c r="V80" s="137"/>
      <c r="W80" s="137"/>
      <c r="X80" s="137"/>
      <c r="Y80" s="137"/>
      <c r="Z80" s="137"/>
    </row>
    <row r="81" ht="96.6" spans="1:26">
      <c r="A81" s="67" t="s">
        <v>155</v>
      </c>
      <c r="B81" s="68" t="s">
        <v>156</v>
      </c>
      <c r="C81" s="68" t="s">
        <v>219</v>
      </c>
      <c r="D81" s="73" t="s">
        <v>262</v>
      </c>
      <c r="E81" s="68" t="s">
        <v>141</v>
      </c>
      <c r="F81" s="92" t="s">
        <v>38</v>
      </c>
      <c r="G81" s="108" t="s">
        <v>11</v>
      </c>
      <c r="H81" s="99"/>
      <c r="I81" s="70" t="s">
        <v>39</v>
      </c>
      <c r="J81" s="136"/>
      <c r="K81" s="137"/>
      <c r="L81" s="137"/>
      <c r="M81" s="137"/>
      <c r="N81" s="137"/>
      <c r="O81" s="137"/>
      <c r="P81" s="137"/>
      <c r="Q81" s="137"/>
      <c r="R81" s="137"/>
      <c r="S81" s="137"/>
      <c r="T81" s="137"/>
      <c r="U81" s="137"/>
      <c r="V81" s="137"/>
      <c r="W81" s="137"/>
      <c r="X81" s="137"/>
      <c r="Y81" s="137"/>
      <c r="Z81" s="137"/>
    </row>
    <row r="82" ht="96.6" spans="1:26">
      <c r="A82" s="67" t="s">
        <v>157</v>
      </c>
      <c r="B82" s="68" t="s">
        <v>158</v>
      </c>
      <c r="C82" s="68" t="s">
        <v>219</v>
      </c>
      <c r="D82" s="73" t="s">
        <v>262</v>
      </c>
      <c r="E82" s="68" t="s">
        <v>141</v>
      </c>
      <c r="F82" s="92" t="s">
        <v>38</v>
      </c>
      <c r="G82" s="108" t="s">
        <v>11</v>
      </c>
      <c r="H82" s="99"/>
      <c r="I82" s="70" t="s">
        <v>39</v>
      </c>
      <c r="J82" s="136"/>
      <c r="K82" s="137"/>
      <c r="L82" s="137"/>
      <c r="M82" s="137"/>
      <c r="N82" s="137"/>
      <c r="O82" s="137"/>
      <c r="P82" s="137"/>
      <c r="Q82" s="137"/>
      <c r="R82" s="137"/>
      <c r="S82" s="137"/>
      <c r="T82" s="137"/>
      <c r="U82" s="137"/>
      <c r="V82" s="137"/>
      <c r="W82" s="137"/>
      <c r="X82" s="137"/>
      <c r="Y82" s="137"/>
      <c r="Z82" s="137"/>
    </row>
    <row r="83" s="119" customFormat="1" ht="27.6" spans="1:31">
      <c r="A83" s="89" t="s">
        <v>267</v>
      </c>
      <c r="B83" s="89"/>
      <c r="C83" s="89"/>
      <c r="D83" s="89"/>
      <c r="E83" s="89"/>
      <c r="F83" s="89"/>
      <c r="G83" s="89"/>
      <c r="H83" s="89"/>
      <c r="I83" s="89"/>
      <c r="J83" s="138"/>
      <c r="K83" s="138"/>
      <c r="L83" s="138"/>
      <c r="M83" s="138"/>
      <c r="N83" s="138"/>
      <c r="O83" s="138"/>
      <c r="P83" s="138"/>
      <c r="Q83" s="138"/>
      <c r="R83" s="138"/>
      <c r="S83" s="138"/>
      <c r="T83" s="138"/>
      <c r="U83" s="138"/>
      <c r="V83" s="138"/>
      <c r="W83" s="138"/>
      <c r="X83" s="138"/>
      <c r="Y83" s="138"/>
      <c r="Z83" s="138"/>
      <c r="AA83" s="140"/>
      <c r="AB83" s="140"/>
      <c r="AC83" s="140"/>
      <c r="AD83" s="140"/>
      <c r="AE83" s="140"/>
    </row>
    <row r="84" ht="15.6" spans="1:26">
      <c r="A84" s="107" t="s">
        <v>24</v>
      </c>
      <c r="B84" s="107" t="s">
        <v>25</v>
      </c>
      <c r="C84" s="107" t="s">
        <v>26</v>
      </c>
      <c r="D84" s="107" t="s">
        <v>27</v>
      </c>
      <c r="E84" s="107" t="s">
        <v>28</v>
      </c>
      <c r="F84" s="107" t="s">
        <v>29</v>
      </c>
      <c r="G84" s="107" t="s">
        <v>30</v>
      </c>
      <c r="H84" s="128" t="s">
        <v>31</v>
      </c>
      <c r="I84" s="128" t="s">
        <v>32</v>
      </c>
      <c r="J84" s="137"/>
      <c r="K84" s="137"/>
      <c r="L84" s="137"/>
      <c r="M84" s="137"/>
      <c r="N84" s="137"/>
      <c r="O84" s="137"/>
      <c r="P84" s="137"/>
      <c r="Q84" s="137"/>
      <c r="R84" s="137"/>
      <c r="S84" s="137"/>
      <c r="T84" s="137"/>
      <c r="U84" s="137"/>
      <c r="V84" s="137"/>
      <c r="W84" s="137"/>
      <c r="X84" s="137"/>
      <c r="Y84" s="137"/>
      <c r="Z84" s="137"/>
    </row>
    <row r="85" ht="41.4" spans="1:26">
      <c r="A85" s="108" t="s">
        <v>268</v>
      </c>
      <c r="B85" s="92" t="s">
        <v>269</v>
      </c>
      <c r="C85" s="92" t="s">
        <v>270</v>
      </c>
      <c r="D85" s="100" t="s">
        <v>271</v>
      </c>
      <c r="E85" s="92" t="s">
        <v>272</v>
      </c>
      <c r="F85" s="92" t="s">
        <v>38</v>
      </c>
      <c r="G85" s="108" t="s">
        <v>11</v>
      </c>
      <c r="H85" s="92"/>
      <c r="I85" s="70" t="s">
        <v>39</v>
      </c>
      <c r="J85" s="137"/>
      <c r="K85" s="137"/>
      <c r="L85" s="137"/>
      <c r="M85" s="137"/>
      <c r="N85" s="137"/>
      <c r="O85" s="137"/>
      <c r="P85" s="137"/>
      <c r="Q85" s="137"/>
      <c r="R85" s="137"/>
      <c r="S85" s="137"/>
      <c r="T85" s="137"/>
      <c r="U85" s="137"/>
      <c r="V85" s="137"/>
      <c r="W85" s="137"/>
      <c r="X85" s="137"/>
      <c r="Y85" s="137"/>
      <c r="Z85" s="137"/>
    </row>
    <row r="86" ht="41.4" spans="1:26">
      <c r="A86" s="108" t="s">
        <v>273</v>
      </c>
      <c r="B86" s="92" t="s">
        <v>274</v>
      </c>
      <c r="C86" s="92" t="s">
        <v>270</v>
      </c>
      <c r="D86" s="100" t="s">
        <v>275</v>
      </c>
      <c r="E86" s="92" t="s">
        <v>276</v>
      </c>
      <c r="F86" s="92" t="s">
        <v>38</v>
      </c>
      <c r="G86" s="108" t="s">
        <v>11</v>
      </c>
      <c r="H86" s="92"/>
      <c r="I86" s="70" t="s">
        <v>39</v>
      </c>
      <c r="J86" s="137"/>
      <c r="K86" s="137"/>
      <c r="L86" s="137"/>
      <c r="M86" s="137"/>
      <c r="N86" s="137"/>
      <c r="O86" s="137"/>
      <c r="P86" s="137"/>
      <c r="Q86" s="137"/>
      <c r="R86" s="137"/>
      <c r="S86" s="137"/>
      <c r="T86" s="137"/>
      <c r="U86" s="137"/>
      <c r="V86" s="137"/>
      <c r="W86" s="137"/>
      <c r="X86" s="137"/>
      <c r="Y86" s="137"/>
      <c r="Z86" s="137"/>
    </row>
    <row r="87" ht="41.4" spans="1:26">
      <c r="A87" s="108" t="s">
        <v>277</v>
      </c>
      <c r="B87" s="92" t="s">
        <v>278</v>
      </c>
      <c r="C87" s="92" t="s">
        <v>270</v>
      </c>
      <c r="D87" s="100" t="s">
        <v>279</v>
      </c>
      <c r="E87" s="92" t="s">
        <v>280</v>
      </c>
      <c r="F87" s="92" t="s">
        <v>38</v>
      </c>
      <c r="G87" s="108" t="s">
        <v>11</v>
      </c>
      <c r="H87" s="92"/>
      <c r="I87" s="70" t="s">
        <v>39</v>
      </c>
      <c r="J87" s="137"/>
      <c r="K87" s="137"/>
      <c r="L87" s="137"/>
      <c r="M87" s="137"/>
      <c r="N87" s="137"/>
      <c r="O87" s="137"/>
      <c r="P87" s="137"/>
      <c r="Q87" s="137"/>
      <c r="R87" s="137"/>
      <c r="S87" s="137"/>
      <c r="T87" s="137"/>
      <c r="U87" s="137"/>
      <c r="V87" s="137"/>
      <c r="W87" s="137"/>
      <c r="X87" s="137"/>
      <c r="Y87" s="137"/>
      <c r="Z87" s="137"/>
    </row>
    <row r="88" ht="55.2" spans="1:26">
      <c r="A88" s="108" t="s">
        <v>281</v>
      </c>
      <c r="B88" s="92" t="s">
        <v>282</v>
      </c>
      <c r="C88" s="92" t="s">
        <v>270</v>
      </c>
      <c r="D88" s="100" t="s">
        <v>283</v>
      </c>
      <c r="E88" s="92" t="s">
        <v>284</v>
      </c>
      <c r="F88" s="92" t="s">
        <v>38</v>
      </c>
      <c r="G88" s="108" t="s">
        <v>11</v>
      </c>
      <c r="H88" s="92"/>
      <c r="I88" s="70" t="s">
        <v>39</v>
      </c>
      <c r="J88" s="137"/>
      <c r="K88" s="137"/>
      <c r="L88" s="137"/>
      <c r="M88" s="137"/>
      <c r="N88" s="137"/>
      <c r="O88" s="137"/>
      <c r="P88" s="137"/>
      <c r="Q88" s="137"/>
      <c r="R88" s="137"/>
      <c r="S88" s="137"/>
      <c r="T88" s="137"/>
      <c r="U88" s="137"/>
      <c r="V88" s="137"/>
      <c r="W88" s="137"/>
      <c r="X88" s="137"/>
      <c r="Y88" s="137"/>
      <c r="Z88" s="137"/>
    </row>
    <row r="89" ht="41.4" spans="1:26">
      <c r="A89" s="108" t="s">
        <v>285</v>
      </c>
      <c r="B89" s="92" t="s">
        <v>286</v>
      </c>
      <c r="C89" s="92" t="s">
        <v>270</v>
      </c>
      <c r="D89" s="100" t="s">
        <v>287</v>
      </c>
      <c r="E89" s="92" t="s">
        <v>288</v>
      </c>
      <c r="F89" s="92" t="s">
        <v>38</v>
      </c>
      <c r="G89" s="108" t="s">
        <v>11</v>
      </c>
      <c r="H89" s="92"/>
      <c r="I89" s="70" t="s">
        <v>39</v>
      </c>
      <c r="J89" s="137"/>
      <c r="K89" s="137"/>
      <c r="L89" s="137"/>
      <c r="M89" s="137"/>
      <c r="N89" s="137"/>
      <c r="O89" s="137"/>
      <c r="P89" s="137"/>
      <c r="Q89" s="137"/>
      <c r="R89" s="137"/>
      <c r="S89" s="137"/>
      <c r="T89" s="137"/>
      <c r="U89" s="137"/>
      <c r="V89" s="137"/>
      <c r="W89" s="137"/>
      <c r="X89" s="137"/>
      <c r="Y89" s="137"/>
      <c r="Z89" s="137"/>
    </row>
    <row r="90" ht="27.6" spans="1:26">
      <c r="A90" s="108" t="s">
        <v>289</v>
      </c>
      <c r="B90" s="92" t="s">
        <v>290</v>
      </c>
      <c r="C90" s="92" t="s">
        <v>270</v>
      </c>
      <c r="D90" s="100" t="s">
        <v>291</v>
      </c>
      <c r="E90" s="92" t="s">
        <v>292</v>
      </c>
      <c r="F90" s="92" t="s">
        <v>38</v>
      </c>
      <c r="G90" s="108" t="s">
        <v>11</v>
      </c>
      <c r="H90" s="92"/>
      <c r="I90" s="70" t="s">
        <v>39</v>
      </c>
      <c r="J90" s="137"/>
      <c r="K90" s="137"/>
      <c r="L90" s="137"/>
      <c r="M90" s="137"/>
      <c r="N90" s="137"/>
      <c r="O90" s="137"/>
      <c r="P90" s="137"/>
      <c r="Q90" s="137"/>
      <c r="R90" s="137"/>
      <c r="S90" s="137"/>
      <c r="T90" s="137"/>
      <c r="U90" s="137"/>
      <c r="V90" s="137"/>
      <c r="W90" s="137"/>
      <c r="X90" s="137"/>
      <c r="Y90" s="137"/>
      <c r="Z90" s="137"/>
    </row>
    <row r="91" ht="69" spans="1:26">
      <c r="A91" s="108" t="s">
        <v>293</v>
      </c>
      <c r="B91" s="92" t="s">
        <v>294</v>
      </c>
      <c r="C91" s="92" t="s">
        <v>270</v>
      </c>
      <c r="D91" s="100" t="s">
        <v>295</v>
      </c>
      <c r="E91" s="92" t="s">
        <v>296</v>
      </c>
      <c r="F91" s="92" t="s">
        <v>38</v>
      </c>
      <c r="G91" s="108" t="s">
        <v>11</v>
      </c>
      <c r="H91" s="92"/>
      <c r="I91" s="70" t="s">
        <v>39</v>
      </c>
      <c r="J91" s="137"/>
      <c r="K91" s="137"/>
      <c r="L91" s="137"/>
      <c r="M91" s="137"/>
      <c r="N91" s="137"/>
      <c r="O91" s="137"/>
      <c r="P91" s="137"/>
      <c r="Q91" s="137"/>
      <c r="R91" s="137"/>
      <c r="S91" s="137"/>
      <c r="T91" s="137"/>
      <c r="U91" s="137"/>
      <c r="V91" s="137"/>
      <c r="W91" s="137"/>
      <c r="X91" s="137"/>
      <c r="Y91" s="137"/>
      <c r="Z91" s="137"/>
    </row>
    <row r="92" ht="82.8" spans="1:26">
      <c r="A92" s="108" t="s">
        <v>297</v>
      </c>
      <c r="B92" s="92" t="s">
        <v>298</v>
      </c>
      <c r="C92" s="92" t="s">
        <v>270</v>
      </c>
      <c r="D92" s="100" t="s">
        <v>299</v>
      </c>
      <c r="E92" s="92" t="s">
        <v>300</v>
      </c>
      <c r="F92" s="92" t="s">
        <v>38</v>
      </c>
      <c r="G92" s="108" t="s">
        <v>11</v>
      </c>
      <c r="H92" s="92"/>
      <c r="I92" s="70" t="s">
        <v>39</v>
      </c>
      <c r="J92" s="137"/>
      <c r="K92" s="137"/>
      <c r="L92" s="137"/>
      <c r="M92" s="137"/>
      <c r="N92" s="137"/>
      <c r="O92" s="137"/>
      <c r="P92" s="137"/>
      <c r="Q92" s="137"/>
      <c r="R92" s="137"/>
      <c r="S92" s="137"/>
      <c r="T92" s="137"/>
      <c r="U92" s="137"/>
      <c r="V92" s="137"/>
      <c r="W92" s="137"/>
      <c r="X92" s="137"/>
      <c r="Y92" s="137"/>
      <c r="Z92" s="137"/>
    </row>
    <row r="93" ht="55.2" spans="1:26">
      <c r="A93" s="108" t="s">
        <v>301</v>
      </c>
      <c r="B93" s="92" t="s">
        <v>302</v>
      </c>
      <c r="C93" s="92" t="s">
        <v>270</v>
      </c>
      <c r="D93" s="100" t="s">
        <v>303</v>
      </c>
      <c r="E93" s="92" t="s">
        <v>304</v>
      </c>
      <c r="F93" s="92" t="s">
        <v>38</v>
      </c>
      <c r="G93" s="108" t="s">
        <v>11</v>
      </c>
      <c r="H93" s="92"/>
      <c r="I93" s="70" t="s">
        <v>39</v>
      </c>
      <c r="J93" s="137"/>
      <c r="K93" s="137"/>
      <c r="L93" s="137"/>
      <c r="M93" s="137"/>
      <c r="N93" s="137"/>
      <c r="O93" s="137"/>
      <c r="P93" s="137"/>
      <c r="Q93" s="137"/>
      <c r="R93" s="137"/>
      <c r="S93" s="137"/>
      <c r="T93" s="137"/>
      <c r="U93" s="137"/>
      <c r="V93" s="137"/>
      <c r="W93" s="137"/>
      <c r="X93" s="137"/>
      <c r="Y93" s="137"/>
      <c r="Z93" s="137"/>
    </row>
    <row r="94" ht="69" spans="1:26">
      <c r="A94" s="108" t="s">
        <v>305</v>
      </c>
      <c r="B94" s="92" t="s">
        <v>306</v>
      </c>
      <c r="C94" s="92" t="s">
        <v>270</v>
      </c>
      <c r="D94" s="100" t="s">
        <v>307</v>
      </c>
      <c r="E94" s="92" t="s">
        <v>308</v>
      </c>
      <c r="F94" s="92" t="s">
        <v>38</v>
      </c>
      <c r="G94" s="108" t="s">
        <v>11</v>
      </c>
      <c r="H94" s="92"/>
      <c r="I94" s="70" t="s">
        <v>39</v>
      </c>
      <c r="J94" s="137"/>
      <c r="K94" s="137"/>
      <c r="L94" s="137"/>
      <c r="M94" s="137"/>
      <c r="N94" s="137"/>
      <c r="O94" s="137"/>
      <c r="P94" s="137"/>
      <c r="Q94" s="137"/>
      <c r="R94" s="137"/>
      <c r="S94" s="137"/>
      <c r="T94" s="137"/>
      <c r="U94" s="137"/>
      <c r="V94" s="137"/>
      <c r="W94" s="137"/>
      <c r="X94" s="137"/>
      <c r="Y94" s="137"/>
      <c r="Z94" s="137"/>
    </row>
    <row r="95" ht="41.4" spans="1:26">
      <c r="A95" s="108" t="s">
        <v>309</v>
      </c>
      <c r="B95" s="92" t="s">
        <v>310</v>
      </c>
      <c r="C95" s="92" t="s">
        <v>270</v>
      </c>
      <c r="D95" s="100" t="s">
        <v>311</v>
      </c>
      <c r="E95" s="92" t="s">
        <v>312</v>
      </c>
      <c r="F95" s="92" t="s">
        <v>38</v>
      </c>
      <c r="G95" s="108" t="s">
        <v>11</v>
      </c>
      <c r="H95" s="92"/>
      <c r="I95" s="70" t="s">
        <v>39</v>
      </c>
      <c r="J95" s="137"/>
      <c r="K95" s="137"/>
      <c r="L95" s="137"/>
      <c r="M95" s="137"/>
      <c r="N95" s="137"/>
      <c r="O95" s="137"/>
      <c r="P95" s="137"/>
      <c r="Q95" s="137"/>
      <c r="R95" s="137"/>
      <c r="S95" s="137"/>
      <c r="T95" s="137"/>
      <c r="U95" s="137"/>
      <c r="V95" s="137"/>
      <c r="W95" s="137"/>
      <c r="X95" s="137"/>
      <c r="Y95" s="137"/>
      <c r="Z95" s="137"/>
    </row>
    <row r="96" ht="69" spans="1:26">
      <c r="A96" s="108" t="s">
        <v>313</v>
      </c>
      <c r="B96" s="92" t="s">
        <v>314</v>
      </c>
      <c r="C96" s="92" t="s">
        <v>270</v>
      </c>
      <c r="D96" s="100" t="s">
        <v>315</v>
      </c>
      <c r="E96" s="92" t="s">
        <v>316</v>
      </c>
      <c r="F96" s="92" t="s">
        <v>38</v>
      </c>
      <c r="G96" s="108" t="s">
        <v>11</v>
      </c>
      <c r="H96" s="92"/>
      <c r="I96" s="70" t="s">
        <v>39</v>
      </c>
      <c r="J96" s="137"/>
      <c r="K96" s="137"/>
      <c r="L96" s="137"/>
      <c r="M96" s="137"/>
      <c r="N96" s="137"/>
      <c r="O96" s="137"/>
      <c r="P96" s="137"/>
      <c r="Q96" s="137"/>
      <c r="R96" s="137"/>
      <c r="S96" s="137"/>
      <c r="T96" s="137"/>
      <c r="U96" s="137"/>
      <c r="V96" s="137"/>
      <c r="W96" s="137"/>
      <c r="X96" s="137"/>
      <c r="Y96" s="137"/>
      <c r="Z96" s="137"/>
    </row>
    <row r="97" ht="27" spans="1:26">
      <c r="A97" s="141" t="s">
        <v>317</v>
      </c>
      <c r="B97" s="141"/>
      <c r="C97" s="141"/>
      <c r="D97" s="141"/>
      <c r="E97" s="141"/>
      <c r="F97" s="141"/>
      <c r="G97" s="141"/>
      <c r="H97" s="141"/>
      <c r="I97" s="141"/>
      <c r="J97" s="138"/>
      <c r="K97" s="138"/>
      <c r="L97" s="138"/>
      <c r="M97" s="138"/>
      <c r="N97" s="138"/>
      <c r="O97" s="138"/>
      <c r="P97" s="138"/>
      <c r="Q97" s="138"/>
      <c r="R97" s="138"/>
      <c r="S97" s="138"/>
      <c r="T97" s="138"/>
      <c r="U97" s="138"/>
      <c r="V97" s="138"/>
      <c r="W97" s="138"/>
      <c r="X97" s="138"/>
      <c r="Y97" s="138"/>
      <c r="Z97" s="138"/>
    </row>
    <row r="98" ht="15.6" spans="1:26">
      <c r="A98" s="112" t="s">
        <v>24</v>
      </c>
      <c r="B98" s="112" t="s">
        <v>25</v>
      </c>
      <c r="C98" s="112" t="s">
        <v>26</v>
      </c>
      <c r="D98" s="112" t="s">
        <v>27</v>
      </c>
      <c r="E98" s="112" t="s">
        <v>28</v>
      </c>
      <c r="F98" s="112" t="s">
        <v>29</v>
      </c>
      <c r="G98" s="112" t="s">
        <v>30</v>
      </c>
      <c r="H98" s="128" t="s">
        <v>31</v>
      </c>
      <c r="I98" s="128" t="s">
        <v>32</v>
      </c>
      <c r="J98" s="143"/>
      <c r="K98" s="143"/>
      <c r="L98" s="143"/>
      <c r="M98" s="143"/>
      <c r="N98" s="143"/>
      <c r="O98" s="143"/>
      <c r="P98" s="143"/>
      <c r="Q98" s="143"/>
      <c r="R98" s="143"/>
      <c r="S98" s="143"/>
      <c r="T98" s="143"/>
      <c r="U98" s="143"/>
      <c r="V98" s="143"/>
      <c r="W98" s="143"/>
      <c r="X98" s="143"/>
      <c r="Y98" s="143"/>
      <c r="Z98" s="143"/>
    </row>
    <row r="99" ht="69" spans="1:26">
      <c r="A99" s="108" t="s">
        <v>318</v>
      </c>
      <c r="B99" s="92" t="s">
        <v>319</v>
      </c>
      <c r="C99" s="92" t="s">
        <v>320</v>
      </c>
      <c r="D99" s="73" t="s">
        <v>321</v>
      </c>
      <c r="E99" s="92" t="s">
        <v>322</v>
      </c>
      <c r="F99" s="142" t="s">
        <v>38</v>
      </c>
      <c r="G99" s="108" t="s">
        <v>11</v>
      </c>
      <c r="H99" s="112"/>
      <c r="I99" s="70" t="s">
        <v>39</v>
      </c>
      <c r="J99" s="143"/>
      <c r="K99" s="143"/>
      <c r="L99" s="143"/>
      <c r="M99" s="143"/>
      <c r="N99" s="143"/>
      <c r="O99" s="143"/>
      <c r="P99" s="143"/>
      <c r="Q99" s="143"/>
      <c r="R99" s="143"/>
      <c r="S99" s="143"/>
      <c r="T99" s="143"/>
      <c r="U99" s="143"/>
      <c r="V99" s="143"/>
      <c r="W99" s="143"/>
      <c r="X99" s="143"/>
      <c r="Y99" s="143"/>
      <c r="Z99" s="143"/>
    </row>
    <row r="100" ht="55.2" spans="1:26">
      <c r="A100" s="108" t="s">
        <v>323</v>
      </c>
      <c r="B100" s="92" t="s">
        <v>324</v>
      </c>
      <c r="C100" s="92" t="s">
        <v>320</v>
      </c>
      <c r="D100" s="73" t="s">
        <v>325</v>
      </c>
      <c r="E100" s="92" t="s">
        <v>326</v>
      </c>
      <c r="F100" s="142" t="s">
        <v>38</v>
      </c>
      <c r="G100" s="108" t="s">
        <v>11</v>
      </c>
      <c r="H100" s="112"/>
      <c r="I100" s="70" t="s">
        <v>39</v>
      </c>
      <c r="J100" s="143"/>
      <c r="K100" s="143"/>
      <c r="L100" s="143"/>
      <c r="M100" s="143"/>
      <c r="N100" s="143"/>
      <c r="O100" s="143"/>
      <c r="P100" s="143"/>
      <c r="Q100" s="143"/>
      <c r="R100" s="143"/>
      <c r="S100" s="143"/>
      <c r="T100" s="143"/>
      <c r="U100" s="143"/>
      <c r="V100" s="143"/>
      <c r="W100" s="143"/>
      <c r="X100" s="143"/>
      <c r="Y100" s="143"/>
      <c r="Z100" s="143"/>
    </row>
    <row r="101" ht="55.2" spans="1:26">
      <c r="A101" s="108" t="s">
        <v>327</v>
      </c>
      <c r="B101" s="92" t="s">
        <v>328</v>
      </c>
      <c r="C101" s="92" t="s">
        <v>320</v>
      </c>
      <c r="D101" s="73" t="s">
        <v>329</v>
      </c>
      <c r="E101" s="92" t="s">
        <v>330</v>
      </c>
      <c r="F101" s="142" t="s">
        <v>38</v>
      </c>
      <c r="G101" s="108" t="s">
        <v>11</v>
      </c>
      <c r="H101" s="112"/>
      <c r="I101" s="70" t="s">
        <v>39</v>
      </c>
      <c r="J101" s="143"/>
      <c r="K101" s="143"/>
      <c r="L101" s="143"/>
      <c r="M101" s="143"/>
      <c r="N101" s="143"/>
      <c r="O101" s="143"/>
      <c r="P101" s="143"/>
      <c r="Q101" s="143"/>
      <c r="R101" s="143"/>
      <c r="S101" s="143"/>
      <c r="T101" s="143"/>
      <c r="U101" s="143"/>
      <c r="V101" s="143"/>
      <c r="W101" s="143"/>
      <c r="X101" s="143"/>
      <c r="Y101" s="143"/>
      <c r="Z101" s="143"/>
    </row>
    <row r="102" ht="69" spans="1:26">
      <c r="A102" s="108" t="s">
        <v>331</v>
      </c>
      <c r="B102" s="92" t="s">
        <v>332</v>
      </c>
      <c r="C102" s="92" t="s">
        <v>320</v>
      </c>
      <c r="D102" s="73" t="s">
        <v>329</v>
      </c>
      <c r="E102" s="92" t="s">
        <v>333</v>
      </c>
      <c r="F102" s="142" t="s">
        <v>38</v>
      </c>
      <c r="G102" s="108" t="s">
        <v>11</v>
      </c>
      <c r="H102" s="112"/>
      <c r="I102" s="70" t="s">
        <v>39</v>
      </c>
      <c r="J102" s="143"/>
      <c r="K102" s="143"/>
      <c r="L102" s="143"/>
      <c r="M102" s="143"/>
      <c r="N102" s="143"/>
      <c r="O102" s="143"/>
      <c r="P102" s="143"/>
      <c r="Q102" s="143"/>
      <c r="R102" s="143"/>
      <c r="S102" s="143"/>
      <c r="T102" s="143"/>
      <c r="U102" s="143"/>
      <c r="V102" s="143"/>
      <c r="W102" s="143"/>
      <c r="X102" s="143"/>
      <c r="Y102" s="143"/>
      <c r="Z102" s="143"/>
    </row>
    <row r="103" ht="55.2" spans="1:26">
      <c r="A103" s="108" t="s">
        <v>334</v>
      </c>
      <c r="B103" s="92" t="s">
        <v>335</v>
      </c>
      <c r="C103" s="92" t="s">
        <v>320</v>
      </c>
      <c r="D103" s="73" t="s">
        <v>336</v>
      </c>
      <c r="E103" s="92" t="s">
        <v>337</v>
      </c>
      <c r="F103" s="142" t="s">
        <v>38</v>
      </c>
      <c r="G103" s="108" t="s">
        <v>11</v>
      </c>
      <c r="H103" s="112"/>
      <c r="I103" s="70" t="s">
        <v>39</v>
      </c>
      <c r="J103" s="143"/>
      <c r="K103" s="143"/>
      <c r="L103" s="143"/>
      <c r="M103" s="143"/>
      <c r="N103" s="143"/>
      <c r="O103" s="143"/>
      <c r="P103" s="143"/>
      <c r="Q103" s="143"/>
      <c r="R103" s="143"/>
      <c r="S103" s="143"/>
      <c r="T103" s="143"/>
      <c r="U103" s="143"/>
      <c r="V103" s="143"/>
      <c r="W103" s="143"/>
      <c r="X103" s="143"/>
      <c r="Y103" s="143"/>
      <c r="Z103" s="143"/>
    </row>
    <row r="104" ht="55.2" spans="1:26">
      <c r="A104" s="108" t="s">
        <v>338</v>
      </c>
      <c r="B104" s="92" t="s">
        <v>339</v>
      </c>
      <c r="C104" s="92" t="s">
        <v>320</v>
      </c>
      <c r="D104" s="73" t="s">
        <v>340</v>
      </c>
      <c r="E104" s="92" t="s">
        <v>341</v>
      </c>
      <c r="F104" s="142" t="s">
        <v>38</v>
      </c>
      <c r="G104" s="108" t="s">
        <v>11</v>
      </c>
      <c r="H104" s="112"/>
      <c r="I104" s="70" t="s">
        <v>39</v>
      </c>
      <c r="J104" s="143"/>
      <c r="K104" s="143"/>
      <c r="L104" s="143"/>
      <c r="M104" s="143"/>
      <c r="N104" s="143"/>
      <c r="O104" s="143"/>
      <c r="P104" s="143"/>
      <c r="Q104" s="143"/>
      <c r="R104" s="143"/>
      <c r="S104" s="143"/>
      <c r="T104" s="143"/>
      <c r="U104" s="143"/>
      <c r="V104" s="143"/>
      <c r="W104" s="143"/>
      <c r="X104" s="143"/>
      <c r="Y104" s="143"/>
      <c r="Z104" s="143"/>
    </row>
    <row r="105" ht="55.2" spans="1:26">
      <c r="A105" s="108" t="s">
        <v>342</v>
      </c>
      <c r="B105" s="92" t="s">
        <v>343</v>
      </c>
      <c r="C105" s="92" t="s">
        <v>320</v>
      </c>
      <c r="D105" s="73" t="s">
        <v>344</v>
      </c>
      <c r="E105" s="92" t="s">
        <v>345</v>
      </c>
      <c r="F105" s="142" t="s">
        <v>38</v>
      </c>
      <c r="G105" s="108" t="s">
        <v>11</v>
      </c>
      <c r="H105" s="112"/>
      <c r="I105" s="70" t="s">
        <v>39</v>
      </c>
      <c r="J105" s="143"/>
      <c r="K105" s="143"/>
      <c r="L105" s="143"/>
      <c r="M105" s="143"/>
      <c r="N105" s="143"/>
      <c r="O105" s="143"/>
      <c r="P105" s="143"/>
      <c r="Q105" s="143"/>
      <c r="R105" s="143"/>
      <c r="S105" s="143"/>
      <c r="T105" s="143"/>
      <c r="U105" s="143"/>
      <c r="V105" s="143"/>
      <c r="W105" s="143"/>
      <c r="X105" s="143"/>
      <c r="Y105" s="143"/>
      <c r="Z105" s="143"/>
    </row>
    <row r="106" ht="41.4" spans="1:26">
      <c r="A106" s="108" t="s">
        <v>346</v>
      </c>
      <c r="B106" s="92" t="s">
        <v>347</v>
      </c>
      <c r="C106" s="92" t="s">
        <v>320</v>
      </c>
      <c r="D106" s="73" t="s">
        <v>336</v>
      </c>
      <c r="E106" s="92" t="s">
        <v>348</v>
      </c>
      <c r="F106" s="142" t="s">
        <v>38</v>
      </c>
      <c r="G106" s="108" t="s">
        <v>11</v>
      </c>
      <c r="H106" s="112"/>
      <c r="I106" s="70" t="s">
        <v>39</v>
      </c>
      <c r="J106" s="143"/>
      <c r="K106" s="143"/>
      <c r="L106" s="143"/>
      <c r="M106" s="143"/>
      <c r="N106" s="143"/>
      <c r="O106" s="143"/>
      <c r="P106" s="143"/>
      <c r="Q106" s="143"/>
      <c r="R106" s="143"/>
      <c r="S106" s="143"/>
      <c r="T106" s="143"/>
      <c r="U106" s="143"/>
      <c r="V106" s="143"/>
      <c r="W106" s="143"/>
      <c r="X106" s="143"/>
      <c r="Y106" s="143"/>
      <c r="Z106" s="143"/>
    </row>
    <row r="107" s="120" customFormat="1" ht="82.8" spans="1:31">
      <c r="A107" s="108" t="s">
        <v>349</v>
      </c>
      <c r="B107" s="92" t="s">
        <v>350</v>
      </c>
      <c r="C107" s="92" t="s">
        <v>320</v>
      </c>
      <c r="D107" s="73" t="s">
        <v>351</v>
      </c>
      <c r="E107" s="92" t="s">
        <v>352</v>
      </c>
      <c r="F107" s="142" t="s">
        <v>38</v>
      </c>
      <c r="G107" s="108" t="s">
        <v>11</v>
      </c>
      <c r="H107" s="112"/>
      <c r="I107" s="70" t="s">
        <v>39</v>
      </c>
      <c r="J107" s="144"/>
      <c r="K107" s="144"/>
      <c r="L107" s="144"/>
      <c r="M107" s="144"/>
      <c r="N107" s="144"/>
      <c r="O107" s="144"/>
      <c r="P107" s="144"/>
      <c r="Q107" s="144"/>
      <c r="R107" s="144"/>
      <c r="S107" s="144"/>
      <c r="T107" s="144"/>
      <c r="U107" s="144"/>
      <c r="V107" s="144"/>
      <c r="W107" s="144"/>
      <c r="X107" s="144"/>
      <c r="Y107" s="144"/>
      <c r="Z107" s="144"/>
      <c r="AA107" s="146"/>
      <c r="AB107" s="146"/>
      <c r="AC107" s="146"/>
      <c r="AD107" s="146"/>
      <c r="AE107" s="146"/>
    </row>
    <row r="108" ht="41.4" spans="1:26">
      <c r="A108" s="108" t="s">
        <v>353</v>
      </c>
      <c r="B108" s="92" t="s">
        <v>354</v>
      </c>
      <c r="C108" s="92" t="s">
        <v>320</v>
      </c>
      <c r="D108" s="73" t="s">
        <v>355</v>
      </c>
      <c r="E108" s="92" t="s">
        <v>356</v>
      </c>
      <c r="F108" s="142" t="s">
        <v>38</v>
      </c>
      <c r="G108" s="108" t="s">
        <v>11</v>
      </c>
      <c r="H108" s="112"/>
      <c r="I108" s="70" t="s">
        <v>39</v>
      </c>
      <c r="J108" s="143"/>
      <c r="K108" s="143"/>
      <c r="L108" s="143"/>
      <c r="M108" s="143"/>
      <c r="N108" s="143"/>
      <c r="O108" s="143"/>
      <c r="P108" s="143"/>
      <c r="Q108" s="143"/>
      <c r="R108" s="143"/>
      <c r="S108" s="143"/>
      <c r="T108" s="143"/>
      <c r="U108" s="143"/>
      <c r="V108" s="143"/>
      <c r="W108" s="143"/>
      <c r="X108" s="143"/>
      <c r="Y108" s="143"/>
      <c r="Z108" s="143"/>
    </row>
    <row r="109" ht="82.8" spans="1:26">
      <c r="A109" s="108" t="s">
        <v>357</v>
      </c>
      <c r="B109" s="92" t="s">
        <v>358</v>
      </c>
      <c r="C109" s="92" t="s">
        <v>320</v>
      </c>
      <c r="D109" s="73" t="s">
        <v>359</v>
      </c>
      <c r="E109" s="92" t="s">
        <v>360</v>
      </c>
      <c r="F109" s="142" t="s">
        <v>38</v>
      </c>
      <c r="G109" s="108" t="s">
        <v>11</v>
      </c>
      <c r="H109" s="112"/>
      <c r="I109" s="70" t="s">
        <v>39</v>
      </c>
      <c r="J109" s="143"/>
      <c r="K109" s="143"/>
      <c r="L109" s="143"/>
      <c r="M109" s="143"/>
      <c r="N109" s="143"/>
      <c r="O109" s="143"/>
      <c r="P109" s="143"/>
      <c r="Q109" s="143"/>
      <c r="R109" s="143"/>
      <c r="S109" s="143"/>
      <c r="T109" s="143"/>
      <c r="U109" s="143"/>
      <c r="V109" s="143"/>
      <c r="W109" s="143"/>
      <c r="X109" s="143"/>
      <c r="Y109" s="143"/>
      <c r="Z109" s="143"/>
    </row>
    <row r="110" ht="69" spans="1:26">
      <c r="A110" s="108" t="s">
        <v>361</v>
      </c>
      <c r="B110" s="92" t="s">
        <v>362</v>
      </c>
      <c r="C110" s="92" t="s">
        <v>320</v>
      </c>
      <c r="D110" s="73" t="s">
        <v>363</v>
      </c>
      <c r="E110" s="92" t="s">
        <v>364</v>
      </c>
      <c r="F110" s="142" t="s">
        <v>38</v>
      </c>
      <c r="G110" s="108" t="s">
        <v>11</v>
      </c>
      <c r="H110" s="112"/>
      <c r="I110" s="70" t="s">
        <v>39</v>
      </c>
      <c r="J110" s="143"/>
      <c r="K110" s="143"/>
      <c r="L110" s="143"/>
      <c r="M110" s="143"/>
      <c r="N110" s="143"/>
      <c r="O110" s="143"/>
      <c r="P110" s="143"/>
      <c r="Q110" s="143"/>
      <c r="R110" s="143"/>
      <c r="S110" s="143"/>
      <c r="T110" s="143"/>
      <c r="U110" s="143"/>
      <c r="V110" s="143"/>
      <c r="W110" s="143"/>
      <c r="X110" s="143"/>
      <c r="Y110" s="143"/>
      <c r="Z110" s="143"/>
    </row>
    <row r="111" ht="55.2" spans="1:26">
      <c r="A111" s="108" t="s">
        <v>365</v>
      </c>
      <c r="B111" s="92" t="s">
        <v>366</v>
      </c>
      <c r="C111" s="92" t="s">
        <v>320</v>
      </c>
      <c r="D111" s="73" t="s">
        <v>367</v>
      </c>
      <c r="E111" s="92" t="s">
        <v>368</v>
      </c>
      <c r="F111" s="142" t="s">
        <v>38</v>
      </c>
      <c r="G111" s="108" t="s">
        <v>11</v>
      </c>
      <c r="H111" s="112"/>
      <c r="I111" s="70" t="s">
        <v>39</v>
      </c>
      <c r="J111" s="143"/>
      <c r="K111" s="143"/>
      <c r="L111" s="143"/>
      <c r="M111" s="143"/>
      <c r="N111" s="143"/>
      <c r="O111" s="143"/>
      <c r="P111" s="143"/>
      <c r="Q111" s="143"/>
      <c r="R111" s="143"/>
      <c r="S111" s="143"/>
      <c r="T111" s="143"/>
      <c r="U111" s="143"/>
      <c r="V111" s="143"/>
      <c r="W111" s="143"/>
      <c r="X111" s="143"/>
      <c r="Y111" s="143"/>
      <c r="Z111" s="143"/>
    </row>
    <row r="112" ht="69" spans="1:26">
      <c r="A112" s="108" t="s">
        <v>369</v>
      </c>
      <c r="B112" s="92" t="s">
        <v>370</v>
      </c>
      <c r="C112" s="92" t="s">
        <v>320</v>
      </c>
      <c r="D112" s="73" t="s">
        <v>371</v>
      </c>
      <c r="E112" s="92" t="s">
        <v>372</v>
      </c>
      <c r="F112" s="142" t="s">
        <v>38</v>
      </c>
      <c r="G112" s="108" t="s">
        <v>11</v>
      </c>
      <c r="H112" s="112"/>
      <c r="I112" s="70" t="s">
        <v>39</v>
      </c>
      <c r="J112" s="143"/>
      <c r="K112" s="143"/>
      <c r="L112" s="143"/>
      <c r="M112" s="143"/>
      <c r="N112" s="143"/>
      <c r="O112" s="143"/>
      <c r="P112" s="143"/>
      <c r="Q112" s="143"/>
      <c r="R112" s="143"/>
      <c r="S112" s="143"/>
      <c r="T112" s="143"/>
      <c r="U112" s="143"/>
      <c r="V112" s="143"/>
      <c r="W112" s="143"/>
      <c r="X112" s="143"/>
      <c r="Y112" s="143"/>
      <c r="Z112" s="143"/>
    </row>
    <row r="113" ht="55.2" spans="1:26">
      <c r="A113" s="108" t="s">
        <v>373</v>
      </c>
      <c r="B113" s="92" t="s">
        <v>374</v>
      </c>
      <c r="C113" s="92" t="s">
        <v>320</v>
      </c>
      <c r="D113" s="73" t="s">
        <v>375</v>
      </c>
      <c r="E113" s="92" t="s">
        <v>376</v>
      </c>
      <c r="F113" s="142" t="s">
        <v>38</v>
      </c>
      <c r="G113" s="108" t="s">
        <v>11</v>
      </c>
      <c r="H113" s="112"/>
      <c r="I113" s="70" t="s">
        <v>39</v>
      </c>
      <c r="J113" s="143"/>
      <c r="K113" s="143"/>
      <c r="L113" s="143"/>
      <c r="M113" s="143"/>
      <c r="N113" s="143"/>
      <c r="O113" s="143"/>
      <c r="P113" s="143"/>
      <c r="Q113" s="143"/>
      <c r="R113" s="143"/>
      <c r="S113" s="143"/>
      <c r="T113" s="143"/>
      <c r="U113" s="143"/>
      <c r="V113" s="143"/>
      <c r="W113" s="143"/>
      <c r="X113" s="143"/>
      <c r="Y113" s="143"/>
      <c r="Z113" s="143"/>
    </row>
    <row r="114" ht="55.2" spans="1:26">
      <c r="A114" s="108" t="s">
        <v>377</v>
      </c>
      <c r="B114" s="92" t="s">
        <v>378</v>
      </c>
      <c r="C114" s="92" t="s">
        <v>320</v>
      </c>
      <c r="D114" s="73" t="s">
        <v>379</v>
      </c>
      <c r="E114" s="92" t="s">
        <v>380</v>
      </c>
      <c r="F114" s="142" t="s">
        <v>38</v>
      </c>
      <c r="G114" s="108" t="s">
        <v>11</v>
      </c>
      <c r="H114" s="112"/>
      <c r="I114" s="70" t="s">
        <v>39</v>
      </c>
      <c r="J114" s="143"/>
      <c r="K114" s="143"/>
      <c r="L114" s="143"/>
      <c r="M114" s="143"/>
      <c r="N114" s="143"/>
      <c r="O114" s="143"/>
      <c r="P114" s="143"/>
      <c r="Q114" s="143"/>
      <c r="R114" s="143"/>
      <c r="S114" s="143"/>
      <c r="T114" s="143"/>
      <c r="U114" s="143"/>
      <c r="V114" s="143"/>
      <c r="W114" s="143"/>
      <c r="X114" s="143"/>
      <c r="Y114" s="143"/>
      <c r="Z114" s="143"/>
    </row>
    <row r="115" ht="82.8" spans="1:26">
      <c r="A115" s="108" t="s">
        <v>381</v>
      </c>
      <c r="B115" s="92" t="s">
        <v>382</v>
      </c>
      <c r="C115" s="92" t="s">
        <v>320</v>
      </c>
      <c r="D115" s="73" t="s">
        <v>383</v>
      </c>
      <c r="E115" s="92" t="s">
        <v>384</v>
      </c>
      <c r="F115" s="142" t="s">
        <v>38</v>
      </c>
      <c r="G115" s="108" t="s">
        <v>11</v>
      </c>
      <c r="H115" s="112"/>
      <c r="I115" s="70" t="s">
        <v>39</v>
      </c>
      <c r="J115" s="143"/>
      <c r="K115" s="143"/>
      <c r="L115" s="143"/>
      <c r="M115" s="143"/>
      <c r="N115" s="143"/>
      <c r="O115" s="143"/>
      <c r="P115" s="143"/>
      <c r="Q115" s="143"/>
      <c r="R115" s="143"/>
      <c r="S115" s="143"/>
      <c r="T115" s="143"/>
      <c r="U115" s="143"/>
      <c r="V115" s="143"/>
      <c r="W115" s="143"/>
      <c r="X115" s="143"/>
      <c r="Y115" s="143"/>
      <c r="Z115" s="143"/>
    </row>
    <row r="116" ht="41.4" spans="1:26">
      <c r="A116" s="108" t="s">
        <v>385</v>
      </c>
      <c r="B116" s="92" t="s">
        <v>386</v>
      </c>
      <c r="C116" s="92" t="s">
        <v>320</v>
      </c>
      <c r="D116" s="100" t="s">
        <v>387</v>
      </c>
      <c r="E116" s="92" t="s">
        <v>388</v>
      </c>
      <c r="F116" s="142" t="s">
        <v>38</v>
      </c>
      <c r="G116" s="108" t="s">
        <v>11</v>
      </c>
      <c r="H116" s="142"/>
      <c r="I116" s="70" t="s">
        <v>39</v>
      </c>
      <c r="J116" s="145"/>
      <c r="K116" s="145"/>
      <c r="L116" s="145"/>
      <c r="M116" s="145"/>
      <c r="N116" s="145"/>
      <c r="O116" s="145"/>
      <c r="P116" s="145"/>
      <c r="Q116" s="145"/>
      <c r="R116" s="145"/>
      <c r="S116" s="145"/>
      <c r="T116" s="145"/>
      <c r="U116" s="145"/>
      <c r="V116" s="145"/>
      <c r="W116" s="145"/>
      <c r="X116" s="145"/>
      <c r="Y116" s="145"/>
      <c r="Z116" s="143"/>
    </row>
    <row r="117" ht="55.2" spans="1:26">
      <c r="A117" s="108" t="s">
        <v>389</v>
      </c>
      <c r="B117" s="92" t="s">
        <v>390</v>
      </c>
      <c r="C117" s="92" t="s">
        <v>320</v>
      </c>
      <c r="D117" s="100" t="s">
        <v>391</v>
      </c>
      <c r="E117" s="92" t="s">
        <v>392</v>
      </c>
      <c r="F117" s="142" t="s">
        <v>38</v>
      </c>
      <c r="G117" s="108" t="s">
        <v>11</v>
      </c>
      <c r="H117" s="142"/>
      <c r="I117" s="70" t="s">
        <v>39</v>
      </c>
      <c r="J117" s="145"/>
      <c r="K117" s="145"/>
      <c r="L117" s="145"/>
      <c r="M117" s="145"/>
      <c r="N117" s="145"/>
      <c r="O117" s="145"/>
      <c r="P117" s="145"/>
      <c r="Q117" s="145"/>
      <c r="R117" s="145"/>
      <c r="S117" s="145"/>
      <c r="T117" s="145"/>
      <c r="U117" s="145"/>
      <c r="V117" s="145"/>
      <c r="W117" s="145"/>
      <c r="X117" s="145"/>
      <c r="Y117" s="145"/>
      <c r="Z117" s="143"/>
    </row>
    <row r="118" ht="69" spans="1:26">
      <c r="A118" s="108" t="s">
        <v>393</v>
      </c>
      <c r="B118" s="92" t="s">
        <v>394</v>
      </c>
      <c r="C118" s="92" t="s">
        <v>320</v>
      </c>
      <c r="D118" s="100" t="s">
        <v>395</v>
      </c>
      <c r="E118" s="92" t="s">
        <v>396</v>
      </c>
      <c r="F118" s="142" t="s">
        <v>38</v>
      </c>
      <c r="G118" s="108" t="s">
        <v>11</v>
      </c>
      <c r="H118" s="142"/>
      <c r="I118" s="70" t="s">
        <v>39</v>
      </c>
      <c r="J118" s="145"/>
      <c r="K118" s="145"/>
      <c r="L118" s="145"/>
      <c r="M118" s="145"/>
      <c r="N118" s="145"/>
      <c r="O118" s="145"/>
      <c r="P118" s="145"/>
      <c r="Q118" s="145"/>
      <c r="R118" s="145"/>
      <c r="S118" s="145"/>
      <c r="T118" s="145"/>
      <c r="U118" s="145"/>
      <c r="V118" s="145"/>
      <c r="W118" s="145"/>
      <c r="X118" s="145"/>
      <c r="Y118" s="145"/>
      <c r="Z118" s="143"/>
    </row>
    <row r="119" ht="55.2" spans="1:26">
      <c r="A119" s="108" t="s">
        <v>397</v>
      </c>
      <c r="B119" s="92" t="s">
        <v>398</v>
      </c>
      <c r="C119" s="92" t="s">
        <v>320</v>
      </c>
      <c r="D119" s="100" t="s">
        <v>399</v>
      </c>
      <c r="E119" s="92" t="s">
        <v>400</v>
      </c>
      <c r="F119" s="142" t="s">
        <v>38</v>
      </c>
      <c r="G119" s="108" t="s">
        <v>11</v>
      </c>
      <c r="H119" s="142"/>
      <c r="I119" s="70" t="s">
        <v>39</v>
      </c>
      <c r="J119" s="145"/>
      <c r="K119" s="145"/>
      <c r="L119" s="145"/>
      <c r="M119" s="145"/>
      <c r="N119" s="145"/>
      <c r="O119" s="145"/>
      <c r="P119" s="145"/>
      <c r="Q119" s="145"/>
      <c r="R119" s="145"/>
      <c r="S119" s="145"/>
      <c r="T119" s="145"/>
      <c r="U119" s="145"/>
      <c r="V119" s="145"/>
      <c r="W119" s="145"/>
      <c r="X119" s="145"/>
      <c r="Y119" s="145"/>
      <c r="Z119" s="143"/>
    </row>
    <row r="120" ht="69" spans="1:26">
      <c r="A120" s="108" t="s">
        <v>401</v>
      </c>
      <c r="B120" s="92" t="s">
        <v>402</v>
      </c>
      <c r="C120" s="92" t="s">
        <v>320</v>
      </c>
      <c r="D120" s="100" t="s">
        <v>403</v>
      </c>
      <c r="E120" s="92" t="s">
        <v>404</v>
      </c>
      <c r="F120" s="142" t="s">
        <v>38</v>
      </c>
      <c r="G120" s="108" t="s">
        <v>11</v>
      </c>
      <c r="H120" s="142"/>
      <c r="I120" s="70" t="s">
        <v>39</v>
      </c>
      <c r="J120" s="145"/>
      <c r="K120" s="145"/>
      <c r="L120" s="145"/>
      <c r="M120" s="145"/>
      <c r="N120" s="145"/>
      <c r="O120" s="145"/>
      <c r="P120" s="145"/>
      <c r="Q120" s="145"/>
      <c r="R120" s="145"/>
      <c r="S120" s="145"/>
      <c r="T120" s="145"/>
      <c r="U120" s="145"/>
      <c r="V120" s="145"/>
      <c r="W120" s="145"/>
      <c r="X120" s="145"/>
      <c r="Y120" s="145"/>
      <c r="Z120" s="143"/>
    </row>
    <row r="121" ht="55.2" spans="1:26">
      <c r="A121" s="108" t="s">
        <v>405</v>
      </c>
      <c r="B121" s="92" t="s">
        <v>406</v>
      </c>
      <c r="C121" s="92" t="s">
        <v>320</v>
      </c>
      <c r="D121" s="100" t="s">
        <v>407</v>
      </c>
      <c r="E121" s="92" t="s">
        <v>408</v>
      </c>
      <c r="F121" s="142" t="s">
        <v>38</v>
      </c>
      <c r="G121" s="108" t="s">
        <v>11</v>
      </c>
      <c r="H121" s="142"/>
      <c r="I121" s="70" t="s">
        <v>39</v>
      </c>
      <c r="J121" s="145"/>
      <c r="K121" s="145"/>
      <c r="L121" s="145"/>
      <c r="M121" s="145"/>
      <c r="N121" s="145"/>
      <c r="O121" s="145"/>
      <c r="P121" s="145"/>
      <c r="Q121" s="145"/>
      <c r="R121" s="145"/>
      <c r="S121" s="145"/>
      <c r="T121" s="145"/>
      <c r="U121" s="145"/>
      <c r="V121" s="145"/>
      <c r="W121" s="145"/>
      <c r="X121" s="145"/>
      <c r="Y121" s="145"/>
      <c r="Z121" s="143"/>
    </row>
    <row r="122" ht="55.2" spans="1:26">
      <c r="A122" s="108" t="s">
        <v>409</v>
      </c>
      <c r="B122" s="92" t="s">
        <v>410</v>
      </c>
      <c r="C122" s="92" t="s">
        <v>320</v>
      </c>
      <c r="D122" s="100" t="s">
        <v>399</v>
      </c>
      <c r="E122" s="92" t="s">
        <v>411</v>
      </c>
      <c r="F122" s="142" t="s">
        <v>38</v>
      </c>
      <c r="G122" s="108" t="s">
        <v>11</v>
      </c>
      <c r="H122" s="142"/>
      <c r="I122" s="70" t="s">
        <v>39</v>
      </c>
      <c r="J122" s="145"/>
      <c r="K122" s="145"/>
      <c r="L122" s="145"/>
      <c r="M122" s="145"/>
      <c r="N122" s="145"/>
      <c r="O122" s="145"/>
      <c r="P122" s="145"/>
      <c r="Q122" s="145"/>
      <c r="R122" s="145"/>
      <c r="S122" s="145"/>
      <c r="T122" s="145"/>
      <c r="U122" s="145"/>
      <c r="V122" s="145"/>
      <c r="W122" s="145"/>
      <c r="X122" s="145"/>
      <c r="Y122" s="145"/>
      <c r="Z122" s="143"/>
    </row>
    <row r="123" ht="55.2" spans="1:26">
      <c r="A123" s="108" t="s">
        <v>412</v>
      </c>
      <c r="B123" s="92" t="s">
        <v>413</v>
      </c>
      <c r="C123" s="92" t="s">
        <v>320</v>
      </c>
      <c r="D123" s="100" t="s">
        <v>414</v>
      </c>
      <c r="E123" s="92" t="s">
        <v>415</v>
      </c>
      <c r="F123" s="142" t="s">
        <v>38</v>
      </c>
      <c r="G123" s="108" t="s">
        <v>11</v>
      </c>
      <c r="H123" s="142"/>
      <c r="I123" s="70" t="s">
        <v>39</v>
      </c>
      <c r="J123" s="145"/>
      <c r="K123" s="145"/>
      <c r="L123" s="145"/>
      <c r="M123" s="145"/>
      <c r="N123" s="145"/>
      <c r="O123" s="145"/>
      <c r="P123" s="145"/>
      <c r="Q123" s="145"/>
      <c r="R123" s="145"/>
      <c r="S123" s="145"/>
      <c r="T123" s="145"/>
      <c r="U123" s="145"/>
      <c r="V123" s="145"/>
      <c r="W123" s="145"/>
      <c r="X123" s="145"/>
      <c r="Y123" s="145"/>
      <c r="Z123" s="143"/>
    </row>
    <row r="124" ht="55.2" spans="1:26">
      <c r="A124" s="108" t="s">
        <v>416</v>
      </c>
      <c r="B124" s="92" t="s">
        <v>417</v>
      </c>
      <c r="C124" s="92" t="s">
        <v>320</v>
      </c>
      <c r="D124" s="100" t="s">
        <v>391</v>
      </c>
      <c r="E124" s="92" t="s">
        <v>418</v>
      </c>
      <c r="F124" s="142" t="s">
        <v>38</v>
      </c>
      <c r="G124" s="108" t="s">
        <v>11</v>
      </c>
      <c r="H124" s="142"/>
      <c r="I124" s="70" t="s">
        <v>39</v>
      </c>
      <c r="J124" s="145"/>
      <c r="K124" s="145"/>
      <c r="L124" s="145"/>
      <c r="M124" s="145"/>
      <c r="N124" s="145"/>
      <c r="O124" s="145"/>
      <c r="P124" s="145"/>
      <c r="Q124" s="145"/>
      <c r="R124" s="145"/>
      <c r="S124" s="145"/>
      <c r="T124" s="145"/>
      <c r="U124" s="145"/>
      <c r="V124" s="145"/>
      <c r="W124" s="145"/>
      <c r="X124" s="145"/>
      <c r="Y124" s="145"/>
      <c r="Z124" s="143"/>
    </row>
    <row r="125" ht="69" spans="1:26">
      <c r="A125" s="108" t="s">
        <v>419</v>
      </c>
      <c r="B125" s="92" t="s">
        <v>420</v>
      </c>
      <c r="C125" s="92" t="s">
        <v>320</v>
      </c>
      <c r="D125" s="100" t="s">
        <v>421</v>
      </c>
      <c r="E125" s="92" t="s">
        <v>422</v>
      </c>
      <c r="F125" s="142" t="s">
        <v>38</v>
      </c>
      <c r="G125" s="108" t="s">
        <v>11</v>
      </c>
      <c r="H125" s="142"/>
      <c r="I125" s="70" t="s">
        <v>39</v>
      </c>
      <c r="J125" s="145"/>
      <c r="K125" s="145"/>
      <c r="L125" s="145"/>
      <c r="M125" s="145"/>
      <c r="N125" s="145"/>
      <c r="O125" s="145"/>
      <c r="P125" s="145"/>
      <c r="Q125" s="145"/>
      <c r="R125" s="145"/>
      <c r="S125" s="145"/>
      <c r="T125" s="145"/>
      <c r="U125" s="145"/>
      <c r="V125" s="145"/>
      <c r="W125" s="145"/>
      <c r="X125" s="145"/>
      <c r="Y125" s="145"/>
      <c r="Z125" s="143"/>
    </row>
    <row r="126" ht="41.4" spans="1:26">
      <c r="A126" s="108" t="s">
        <v>423</v>
      </c>
      <c r="B126" s="92" t="s">
        <v>424</v>
      </c>
      <c r="C126" s="92" t="s">
        <v>320</v>
      </c>
      <c r="D126" s="100" t="s">
        <v>421</v>
      </c>
      <c r="E126" s="92" t="s">
        <v>425</v>
      </c>
      <c r="F126" s="142" t="s">
        <v>38</v>
      </c>
      <c r="G126" s="108" t="s">
        <v>11</v>
      </c>
      <c r="H126" s="142"/>
      <c r="I126" s="70" t="s">
        <v>39</v>
      </c>
      <c r="J126" s="145"/>
      <c r="K126" s="145"/>
      <c r="L126" s="145"/>
      <c r="M126" s="145"/>
      <c r="N126" s="145"/>
      <c r="O126" s="145"/>
      <c r="P126" s="145"/>
      <c r="Q126" s="145"/>
      <c r="R126" s="145"/>
      <c r="S126" s="145"/>
      <c r="T126" s="145"/>
      <c r="U126" s="145"/>
      <c r="V126" s="145"/>
      <c r="W126" s="145"/>
      <c r="X126" s="145"/>
      <c r="Y126" s="145"/>
      <c r="Z126" s="143"/>
    </row>
    <row r="127" ht="69" spans="1:26">
      <c r="A127" s="108" t="s">
        <v>426</v>
      </c>
      <c r="B127" s="92" t="s">
        <v>427</v>
      </c>
      <c r="C127" s="92" t="s">
        <v>320</v>
      </c>
      <c r="D127" s="100" t="s">
        <v>428</v>
      </c>
      <c r="E127" s="92" t="s">
        <v>429</v>
      </c>
      <c r="F127" s="142" t="s">
        <v>38</v>
      </c>
      <c r="G127" s="108" t="s">
        <v>11</v>
      </c>
      <c r="H127" s="142"/>
      <c r="I127" s="70" t="s">
        <v>39</v>
      </c>
      <c r="J127" s="145"/>
      <c r="K127" s="145"/>
      <c r="L127" s="145"/>
      <c r="M127" s="145"/>
      <c r="N127" s="145"/>
      <c r="O127" s="145"/>
      <c r="P127" s="145"/>
      <c r="Q127" s="145"/>
      <c r="R127" s="145"/>
      <c r="S127" s="145"/>
      <c r="T127" s="145"/>
      <c r="U127" s="145"/>
      <c r="V127" s="145"/>
      <c r="W127" s="145"/>
      <c r="X127" s="145"/>
      <c r="Y127" s="145"/>
      <c r="Z127" s="143"/>
    </row>
    <row r="128" ht="69" spans="1:26">
      <c r="A128" s="108" t="s">
        <v>430</v>
      </c>
      <c r="B128" s="92" t="s">
        <v>431</v>
      </c>
      <c r="C128" s="92" t="s">
        <v>320</v>
      </c>
      <c r="D128" s="100" t="s">
        <v>432</v>
      </c>
      <c r="E128" s="92" t="s">
        <v>433</v>
      </c>
      <c r="F128" s="142" t="s">
        <v>38</v>
      </c>
      <c r="G128" s="108" t="s">
        <v>11</v>
      </c>
      <c r="H128" s="142"/>
      <c r="I128" s="70" t="s">
        <v>39</v>
      </c>
      <c r="J128" s="145"/>
      <c r="K128" s="145"/>
      <c r="L128" s="145"/>
      <c r="M128" s="145"/>
      <c r="N128" s="145"/>
      <c r="O128" s="145"/>
      <c r="P128" s="145"/>
      <c r="Q128" s="145"/>
      <c r="R128" s="145"/>
      <c r="S128" s="145"/>
      <c r="T128" s="145"/>
      <c r="U128" s="145"/>
      <c r="V128" s="145"/>
      <c r="W128" s="145"/>
      <c r="X128" s="145"/>
      <c r="Y128" s="145"/>
      <c r="Z128" s="143"/>
    </row>
    <row r="129" ht="55.2" spans="1:26">
      <c r="A129" s="108" t="s">
        <v>434</v>
      </c>
      <c r="B129" s="92" t="s">
        <v>435</v>
      </c>
      <c r="C129" s="92" t="s">
        <v>320</v>
      </c>
      <c r="D129" s="100" t="s">
        <v>436</v>
      </c>
      <c r="E129" s="92" t="s">
        <v>437</v>
      </c>
      <c r="F129" s="142" t="s">
        <v>38</v>
      </c>
      <c r="G129" s="108" t="s">
        <v>11</v>
      </c>
      <c r="H129" s="142"/>
      <c r="I129" s="70" t="s">
        <v>39</v>
      </c>
      <c r="J129" s="145"/>
      <c r="K129" s="145"/>
      <c r="L129" s="145"/>
      <c r="M129" s="145"/>
      <c r="N129" s="145"/>
      <c r="O129" s="145"/>
      <c r="P129" s="145"/>
      <c r="Q129" s="145"/>
      <c r="R129" s="145"/>
      <c r="S129" s="145"/>
      <c r="T129" s="145"/>
      <c r="U129" s="145"/>
      <c r="V129" s="145"/>
      <c r="W129" s="145"/>
      <c r="X129" s="145"/>
      <c r="Y129" s="145"/>
      <c r="Z129" s="143"/>
    </row>
    <row r="130" ht="69" spans="1:26">
      <c r="A130" s="108" t="s">
        <v>438</v>
      </c>
      <c r="B130" s="92" t="s">
        <v>439</v>
      </c>
      <c r="C130" s="92" t="s">
        <v>320</v>
      </c>
      <c r="D130" s="100" t="s">
        <v>440</v>
      </c>
      <c r="E130" s="92" t="s">
        <v>441</v>
      </c>
      <c r="F130" s="142" t="s">
        <v>38</v>
      </c>
      <c r="G130" s="108" t="s">
        <v>11</v>
      </c>
      <c r="H130" s="142"/>
      <c r="I130" s="70" t="s">
        <v>39</v>
      </c>
      <c r="J130" s="145"/>
      <c r="K130" s="145"/>
      <c r="L130" s="145"/>
      <c r="M130" s="145"/>
      <c r="N130" s="145"/>
      <c r="O130" s="145"/>
      <c r="P130" s="145"/>
      <c r="Q130" s="145"/>
      <c r="R130" s="145"/>
      <c r="S130" s="145"/>
      <c r="T130" s="145"/>
      <c r="U130" s="145"/>
      <c r="V130" s="145"/>
      <c r="W130" s="145"/>
      <c r="X130" s="145"/>
      <c r="Y130" s="145"/>
      <c r="Z130" s="143"/>
    </row>
    <row r="131" ht="55.2" spans="1:26">
      <c r="A131" s="108" t="s">
        <v>442</v>
      </c>
      <c r="B131" s="92" t="s">
        <v>443</v>
      </c>
      <c r="C131" s="92" t="s">
        <v>320</v>
      </c>
      <c r="D131" s="100" t="s">
        <v>444</v>
      </c>
      <c r="E131" s="92" t="s">
        <v>445</v>
      </c>
      <c r="F131" s="142" t="s">
        <v>38</v>
      </c>
      <c r="G131" s="108" t="s">
        <v>11</v>
      </c>
      <c r="H131" s="142"/>
      <c r="I131" s="70" t="s">
        <v>39</v>
      </c>
      <c r="J131" s="145"/>
      <c r="K131" s="145"/>
      <c r="L131" s="145"/>
      <c r="M131" s="145"/>
      <c r="N131" s="145"/>
      <c r="O131" s="145"/>
      <c r="P131" s="145"/>
      <c r="Q131" s="145"/>
      <c r="R131" s="145"/>
      <c r="S131" s="145"/>
      <c r="T131" s="145"/>
      <c r="U131" s="145"/>
      <c r="V131" s="145"/>
      <c r="W131" s="145"/>
      <c r="X131" s="145"/>
      <c r="Y131" s="145"/>
      <c r="Z131" s="143"/>
    </row>
    <row r="132" ht="55.2" spans="1:26">
      <c r="A132" s="108" t="s">
        <v>446</v>
      </c>
      <c r="B132" s="92" t="s">
        <v>447</v>
      </c>
      <c r="C132" s="92" t="s">
        <v>320</v>
      </c>
      <c r="D132" s="100" t="s">
        <v>448</v>
      </c>
      <c r="E132" s="92" t="s">
        <v>449</v>
      </c>
      <c r="F132" s="142" t="s">
        <v>38</v>
      </c>
      <c r="G132" s="108" t="s">
        <v>11</v>
      </c>
      <c r="H132" s="142"/>
      <c r="I132" s="70" t="s">
        <v>39</v>
      </c>
      <c r="J132" s="145"/>
      <c r="K132" s="145"/>
      <c r="L132" s="145"/>
      <c r="M132" s="145"/>
      <c r="N132" s="145"/>
      <c r="O132" s="145"/>
      <c r="P132" s="145"/>
      <c r="Q132" s="145"/>
      <c r="R132" s="145"/>
      <c r="S132" s="145"/>
      <c r="T132" s="145"/>
      <c r="U132" s="145"/>
      <c r="V132" s="145"/>
      <c r="W132" s="145"/>
      <c r="X132" s="145"/>
      <c r="Y132" s="145"/>
      <c r="Z132" s="143"/>
    </row>
    <row r="133" ht="69" spans="1:26">
      <c r="A133" s="108" t="s">
        <v>450</v>
      </c>
      <c r="B133" s="92" t="s">
        <v>451</v>
      </c>
      <c r="C133" s="92" t="s">
        <v>320</v>
      </c>
      <c r="D133" s="100" t="s">
        <v>452</v>
      </c>
      <c r="E133" s="92" t="s">
        <v>453</v>
      </c>
      <c r="F133" s="142" t="s">
        <v>38</v>
      </c>
      <c r="G133" s="108" t="s">
        <v>11</v>
      </c>
      <c r="H133" s="142"/>
      <c r="I133" s="70" t="s">
        <v>39</v>
      </c>
      <c r="J133" s="145"/>
      <c r="K133" s="145"/>
      <c r="L133" s="145"/>
      <c r="M133" s="145"/>
      <c r="N133" s="145"/>
      <c r="O133" s="145"/>
      <c r="P133" s="145"/>
      <c r="Q133" s="145"/>
      <c r="R133" s="145"/>
      <c r="S133" s="145"/>
      <c r="T133" s="145"/>
      <c r="U133" s="145"/>
      <c r="V133" s="145"/>
      <c r="W133" s="145"/>
      <c r="X133" s="145"/>
      <c r="Y133" s="145"/>
      <c r="Z133" s="143"/>
    </row>
    <row r="134" ht="69" spans="1:26">
      <c r="A134" s="108" t="s">
        <v>454</v>
      </c>
      <c r="B134" s="92" t="s">
        <v>455</v>
      </c>
      <c r="C134" s="92" t="s">
        <v>320</v>
      </c>
      <c r="D134" s="100" t="s">
        <v>428</v>
      </c>
      <c r="E134" s="92" t="s">
        <v>456</v>
      </c>
      <c r="F134" s="142" t="s">
        <v>38</v>
      </c>
      <c r="G134" s="108" t="s">
        <v>11</v>
      </c>
      <c r="H134" s="142"/>
      <c r="I134" s="70" t="s">
        <v>39</v>
      </c>
      <c r="J134" s="145"/>
      <c r="K134" s="145"/>
      <c r="L134" s="145"/>
      <c r="M134" s="145"/>
      <c r="N134" s="145"/>
      <c r="O134" s="145"/>
      <c r="P134" s="145"/>
      <c r="Q134" s="145"/>
      <c r="R134" s="145"/>
      <c r="S134" s="145"/>
      <c r="T134" s="145"/>
      <c r="U134" s="145"/>
      <c r="V134" s="145"/>
      <c r="W134" s="145"/>
      <c r="X134" s="145"/>
      <c r="Y134" s="145"/>
      <c r="Z134" s="143"/>
    </row>
    <row r="135" ht="41.4" spans="1:26">
      <c r="A135" s="108" t="s">
        <v>457</v>
      </c>
      <c r="B135" s="92" t="s">
        <v>458</v>
      </c>
      <c r="C135" s="92" t="s">
        <v>320</v>
      </c>
      <c r="D135" s="100" t="s">
        <v>459</v>
      </c>
      <c r="E135" s="92" t="s">
        <v>460</v>
      </c>
      <c r="F135" s="142" t="s">
        <v>38</v>
      </c>
      <c r="G135" s="108" t="s">
        <v>11</v>
      </c>
      <c r="H135" s="142"/>
      <c r="I135" s="70" t="s">
        <v>39</v>
      </c>
      <c r="J135" s="145"/>
      <c r="K135" s="145"/>
      <c r="L135" s="145"/>
      <c r="M135" s="145"/>
      <c r="N135" s="145"/>
      <c r="O135" s="145"/>
      <c r="P135" s="145"/>
      <c r="Q135" s="145"/>
      <c r="R135" s="145"/>
      <c r="S135" s="145"/>
      <c r="T135" s="145"/>
      <c r="U135" s="145"/>
      <c r="V135" s="145"/>
      <c r="W135" s="145"/>
      <c r="X135" s="145"/>
      <c r="Y135" s="145"/>
      <c r="Z135" s="143"/>
    </row>
    <row r="136" ht="41.4" spans="1:26">
      <c r="A136" s="108" t="s">
        <v>461</v>
      </c>
      <c r="B136" s="92" t="s">
        <v>462</v>
      </c>
      <c r="C136" s="92" t="s">
        <v>320</v>
      </c>
      <c r="D136" s="100" t="s">
        <v>463</v>
      </c>
      <c r="E136" s="92" t="s">
        <v>464</v>
      </c>
      <c r="F136" s="142" t="s">
        <v>38</v>
      </c>
      <c r="G136" s="108" t="s">
        <v>11</v>
      </c>
      <c r="H136" s="142"/>
      <c r="I136" s="70" t="s">
        <v>39</v>
      </c>
      <c r="J136" s="145"/>
      <c r="K136" s="145"/>
      <c r="L136" s="145"/>
      <c r="M136" s="145"/>
      <c r="N136" s="145"/>
      <c r="O136" s="145"/>
      <c r="P136" s="145"/>
      <c r="Q136" s="145"/>
      <c r="R136" s="145"/>
      <c r="S136" s="145"/>
      <c r="T136" s="145"/>
      <c r="U136" s="145"/>
      <c r="V136" s="145"/>
      <c r="W136" s="145"/>
      <c r="X136" s="145"/>
      <c r="Y136" s="145"/>
      <c r="Z136" s="116"/>
    </row>
    <row r="137" ht="69" spans="1:26">
      <c r="A137" s="108" t="s">
        <v>465</v>
      </c>
      <c r="B137" s="92" t="s">
        <v>466</v>
      </c>
      <c r="C137" s="92" t="s">
        <v>320</v>
      </c>
      <c r="D137" s="100" t="s">
        <v>467</v>
      </c>
      <c r="E137" s="92" t="s">
        <v>468</v>
      </c>
      <c r="F137" s="142" t="s">
        <v>38</v>
      </c>
      <c r="G137" s="108" t="s">
        <v>11</v>
      </c>
      <c r="H137" s="142"/>
      <c r="I137" s="70" t="s">
        <v>39</v>
      </c>
      <c r="J137" s="145"/>
      <c r="K137" s="145"/>
      <c r="L137" s="145"/>
      <c r="M137" s="145"/>
      <c r="N137" s="145"/>
      <c r="O137" s="145"/>
      <c r="P137" s="145"/>
      <c r="Q137" s="145"/>
      <c r="R137" s="145"/>
      <c r="S137" s="145"/>
      <c r="T137" s="145"/>
      <c r="U137" s="145"/>
      <c r="V137" s="145"/>
      <c r="W137" s="145"/>
      <c r="X137" s="145"/>
      <c r="Y137" s="145"/>
      <c r="Z137" s="116"/>
    </row>
    <row r="138" ht="55.2" spans="1:26">
      <c r="A138" s="108" t="s">
        <v>469</v>
      </c>
      <c r="B138" s="92" t="s">
        <v>470</v>
      </c>
      <c r="C138" s="92" t="s">
        <v>320</v>
      </c>
      <c r="D138" s="100" t="s">
        <v>471</v>
      </c>
      <c r="E138" s="92" t="s">
        <v>472</v>
      </c>
      <c r="F138" s="142" t="s">
        <v>38</v>
      </c>
      <c r="G138" s="108" t="s">
        <v>11</v>
      </c>
      <c r="H138" s="142"/>
      <c r="I138" s="70" t="s">
        <v>39</v>
      </c>
      <c r="J138" s="145"/>
      <c r="K138" s="145"/>
      <c r="L138" s="145"/>
      <c r="M138" s="145"/>
      <c r="N138" s="145"/>
      <c r="O138" s="145"/>
      <c r="P138" s="145"/>
      <c r="Q138" s="145"/>
      <c r="R138" s="145"/>
      <c r="S138" s="145"/>
      <c r="T138" s="145"/>
      <c r="U138" s="145"/>
      <c r="V138" s="145"/>
      <c r="W138" s="145"/>
      <c r="X138" s="145"/>
      <c r="Y138" s="145"/>
      <c r="Z138" s="116"/>
    </row>
    <row r="139" ht="55.2" spans="1:26">
      <c r="A139" s="108" t="s">
        <v>473</v>
      </c>
      <c r="B139" s="92" t="s">
        <v>474</v>
      </c>
      <c r="C139" s="92" t="s">
        <v>320</v>
      </c>
      <c r="D139" s="100" t="s">
        <v>475</v>
      </c>
      <c r="E139" s="92" t="s">
        <v>476</v>
      </c>
      <c r="F139" s="142" t="s">
        <v>38</v>
      </c>
      <c r="G139" s="108" t="s">
        <v>11</v>
      </c>
      <c r="H139" s="142"/>
      <c r="I139" s="70" t="s">
        <v>39</v>
      </c>
      <c r="J139" s="145"/>
      <c r="K139" s="145"/>
      <c r="L139" s="145"/>
      <c r="M139" s="145"/>
      <c r="N139" s="145"/>
      <c r="O139" s="145"/>
      <c r="P139" s="145"/>
      <c r="Q139" s="145"/>
      <c r="R139" s="145"/>
      <c r="S139" s="145"/>
      <c r="T139" s="145"/>
      <c r="U139" s="145"/>
      <c r="V139" s="145"/>
      <c r="W139" s="145"/>
      <c r="X139" s="145"/>
      <c r="Y139" s="145"/>
      <c r="Z139" s="116"/>
    </row>
    <row r="140" ht="55.2" spans="1:26">
      <c r="A140" s="108" t="s">
        <v>477</v>
      </c>
      <c r="B140" s="92" t="s">
        <v>478</v>
      </c>
      <c r="C140" s="92" t="s">
        <v>320</v>
      </c>
      <c r="D140" s="100" t="s">
        <v>479</v>
      </c>
      <c r="E140" s="92" t="s">
        <v>480</v>
      </c>
      <c r="F140" s="142" t="s">
        <v>38</v>
      </c>
      <c r="G140" s="108" t="s">
        <v>11</v>
      </c>
      <c r="H140" s="142"/>
      <c r="I140" s="70" t="s">
        <v>39</v>
      </c>
      <c r="J140" s="145"/>
      <c r="K140" s="145"/>
      <c r="L140" s="145"/>
      <c r="M140" s="145"/>
      <c r="N140" s="145"/>
      <c r="O140" s="145"/>
      <c r="P140" s="145"/>
      <c r="Q140" s="145"/>
      <c r="R140" s="145"/>
      <c r="S140" s="145"/>
      <c r="T140" s="145"/>
      <c r="U140" s="145"/>
      <c r="V140" s="145"/>
      <c r="W140" s="145"/>
      <c r="X140" s="145"/>
      <c r="Y140" s="145"/>
      <c r="Z140" s="116"/>
    </row>
    <row r="141" s="119" customFormat="1" ht="27.6" spans="1:31">
      <c r="A141" s="89" t="s">
        <v>481</v>
      </c>
      <c r="B141" s="89"/>
      <c r="C141" s="89"/>
      <c r="D141" s="89"/>
      <c r="E141" s="89"/>
      <c r="F141" s="89"/>
      <c r="G141" s="89"/>
      <c r="H141" s="89"/>
      <c r="I141" s="89"/>
      <c r="J141" s="138"/>
      <c r="K141" s="138"/>
      <c r="L141" s="138"/>
      <c r="M141" s="138"/>
      <c r="N141" s="138"/>
      <c r="O141" s="138"/>
      <c r="P141" s="138"/>
      <c r="Q141" s="138"/>
      <c r="R141" s="138"/>
      <c r="S141" s="138"/>
      <c r="T141" s="138"/>
      <c r="U141" s="138"/>
      <c r="V141" s="138"/>
      <c r="W141" s="138"/>
      <c r="X141" s="138"/>
      <c r="Y141" s="138"/>
      <c r="Z141" s="138"/>
      <c r="AA141" s="140"/>
      <c r="AB141" s="140"/>
      <c r="AC141" s="140"/>
      <c r="AD141" s="140"/>
      <c r="AE141" s="140"/>
    </row>
    <row r="142" ht="15.6" spans="1:26">
      <c r="A142" s="107" t="s">
        <v>24</v>
      </c>
      <c r="B142" s="107" t="s">
        <v>25</v>
      </c>
      <c r="C142" s="107" t="s">
        <v>26</v>
      </c>
      <c r="D142" s="107" t="s">
        <v>27</v>
      </c>
      <c r="E142" s="107" t="s">
        <v>28</v>
      </c>
      <c r="F142" s="107" t="s">
        <v>29</v>
      </c>
      <c r="G142" s="107" t="s">
        <v>30</v>
      </c>
      <c r="H142" s="128" t="s">
        <v>31</v>
      </c>
      <c r="I142" s="128" t="s">
        <v>32</v>
      </c>
      <c r="J142" s="137"/>
      <c r="K142" s="137"/>
      <c r="L142" s="137"/>
      <c r="M142" s="137"/>
      <c r="N142" s="137"/>
      <c r="O142" s="137"/>
      <c r="P142" s="137"/>
      <c r="Q142" s="137"/>
      <c r="R142" s="137"/>
      <c r="S142" s="137"/>
      <c r="T142" s="137"/>
      <c r="U142" s="137"/>
      <c r="V142" s="137"/>
      <c r="W142" s="137"/>
      <c r="X142" s="137"/>
      <c r="Y142" s="137"/>
      <c r="Z142" s="137"/>
    </row>
    <row r="143" ht="110.4" spans="1:26">
      <c r="A143" s="108" t="s">
        <v>482</v>
      </c>
      <c r="B143" s="92" t="s">
        <v>483</v>
      </c>
      <c r="C143" s="92" t="s">
        <v>484</v>
      </c>
      <c r="D143" s="100" t="s">
        <v>485</v>
      </c>
      <c r="E143" s="92" t="s">
        <v>486</v>
      </c>
      <c r="F143" s="92" t="s">
        <v>38</v>
      </c>
      <c r="G143" s="108" t="s">
        <v>11</v>
      </c>
      <c r="H143" s="92"/>
      <c r="I143" s="70" t="s">
        <v>39</v>
      </c>
      <c r="J143" s="137"/>
      <c r="K143" s="137"/>
      <c r="L143" s="137"/>
      <c r="M143" s="137"/>
      <c r="N143" s="137"/>
      <c r="O143" s="137"/>
      <c r="P143" s="137"/>
      <c r="Q143" s="137"/>
      <c r="R143" s="137"/>
      <c r="S143" s="137"/>
      <c r="T143" s="137"/>
      <c r="U143" s="137"/>
      <c r="V143" s="137"/>
      <c r="W143" s="137"/>
      <c r="X143" s="137"/>
      <c r="Y143" s="137"/>
      <c r="Z143" s="137"/>
    </row>
    <row r="144" ht="55.2" spans="1:26">
      <c r="A144" s="108" t="s">
        <v>487</v>
      </c>
      <c r="B144" s="92" t="s">
        <v>488</v>
      </c>
      <c r="C144" s="92" t="s">
        <v>484</v>
      </c>
      <c r="D144" s="100" t="s">
        <v>489</v>
      </c>
      <c r="E144" s="92" t="s">
        <v>490</v>
      </c>
      <c r="F144" s="92" t="s">
        <v>38</v>
      </c>
      <c r="G144" s="108" t="s">
        <v>11</v>
      </c>
      <c r="H144" s="92"/>
      <c r="I144" s="70" t="s">
        <v>39</v>
      </c>
      <c r="J144" s="137"/>
      <c r="K144" s="137"/>
      <c r="L144" s="137"/>
      <c r="M144" s="137"/>
      <c r="N144" s="137"/>
      <c r="O144" s="137"/>
      <c r="P144" s="137"/>
      <c r="Q144" s="137"/>
      <c r="R144" s="137"/>
      <c r="S144" s="137"/>
      <c r="T144" s="137"/>
      <c r="U144" s="137"/>
      <c r="V144" s="137"/>
      <c r="W144" s="137"/>
      <c r="X144" s="137"/>
      <c r="Y144" s="137"/>
      <c r="Z144" s="137"/>
    </row>
    <row r="145" ht="41.4" spans="1:26">
      <c r="A145" s="108" t="s">
        <v>491</v>
      </c>
      <c r="B145" s="92" t="s">
        <v>492</v>
      </c>
      <c r="C145" s="92" t="s">
        <v>484</v>
      </c>
      <c r="D145" s="100" t="s">
        <v>493</v>
      </c>
      <c r="E145" s="92" t="s">
        <v>494</v>
      </c>
      <c r="F145" s="92" t="s">
        <v>38</v>
      </c>
      <c r="G145" s="108" t="s">
        <v>11</v>
      </c>
      <c r="H145" s="92"/>
      <c r="I145" s="70" t="s">
        <v>39</v>
      </c>
      <c r="J145" s="137"/>
      <c r="K145" s="137"/>
      <c r="L145" s="137"/>
      <c r="M145" s="137"/>
      <c r="N145" s="137"/>
      <c r="O145" s="137"/>
      <c r="P145" s="137"/>
      <c r="Q145" s="137"/>
      <c r="R145" s="137"/>
      <c r="S145" s="137"/>
      <c r="T145" s="137"/>
      <c r="U145" s="137"/>
      <c r="V145" s="137"/>
      <c r="W145" s="137"/>
      <c r="X145" s="137"/>
      <c r="Y145" s="137"/>
      <c r="Z145" s="137"/>
    </row>
    <row r="146" ht="55.2" spans="1:26">
      <c r="A146" s="108" t="s">
        <v>495</v>
      </c>
      <c r="B146" s="92" t="s">
        <v>496</v>
      </c>
      <c r="C146" s="92" t="s">
        <v>484</v>
      </c>
      <c r="D146" s="100" t="s">
        <v>497</v>
      </c>
      <c r="E146" s="92" t="s">
        <v>498</v>
      </c>
      <c r="F146" s="92" t="s">
        <v>38</v>
      </c>
      <c r="G146" s="108" t="s">
        <v>11</v>
      </c>
      <c r="H146" s="92"/>
      <c r="I146" s="70" t="s">
        <v>39</v>
      </c>
      <c r="J146" s="137"/>
      <c r="K146" s="137"/>
      <c r="L146" s="137"/>
      <c r="M146" s="137"/>
      <c r="N146" s="137"/>
      <c r="O146" s="137"/>
      <c r="P146" s="137"/>
      <c r="Q146" s="137"/>
      <c r="R146" s="137"/>
      <c r="S146" s="137"/>
      <c r="T146" s="137"/>
      <c r="U146" s="137"/>
      <c r="V146" s="137"/>
      <c r="W146" s="137"/>
      <c r="X146" s="137"/>
      <c r="Y146" s="137"/>
      <c r="Z146" s="137"/>
    </row>
    <row r="147" ht="55.2" spans="1:26">
      <c r="A147" s="108" t="s">
        <v>499</v>
      </c>
      <c r="B147" s="92" t="s">
        <v>500</v>
      </c>
      <c r="C147" s="92" t="s">
        <v>484</v>
      </c>
      <c r="D147" s="100" t="s">
        <v>501</v>
      </c>
      <c r="E147" s="92" t="s">
        <v>502</v>
      </c>
      <c r="F147" s="92" t="s">
        <v>38</v>
      </c>
      <c r="G147" s="108" t="s">
        <v>11</v>
      </c>
      <c r="H147" s="92"/>
      <c r="I147" s="70" t="s">
        <v>39</v>
      </c>
      <c r="J147" s="137"/>
      <c r="K147" s="137"/>
      <c r="L147" s="137"/>
      <c r="M147" s="137"/>
      <c r="N147" s="137"/>
      <c r="O147" s="137"/>
      <c r="P147" s="137"/>
      <c r="Q147" s="137"/>
      <c r="R147" s="137"/>
      <c r="S147" s="137"/>
      <c r="T147" s="137"/>
      <c r="U147" s="137"/>
      <c r="V147" s="137"/>
      <c r="W147" s="137"/>
      <c r="X147" s="137"/>
      <c r="Y147" s="137"/>
      <c r="Z147" s="137"/>
    </row>
    <row r="148" ht="41.4" spans="1:26">
      <c r="A148" s="108" t="s">
        <v>503</v>
      </c>
      <c r="B148" s="92" t="s">
        <v>504</v>
      </c>
      <c r="C148" s="92" t="s">
        <v>484</v>
      </c>
      <c r="D148" s="100" t="s">
        <v>505</v>
      </c>
      <c r="E148" s="92" t="s">
        <v>506</v>
      </c>
      <c r="F148" s="92" t="s">
        <v>38</v>
      </c>
      <c r="G148" s="108" t="s">
        <v>11</v>
      </c>
      <c r="H148" s="92"/>
      <c r="I148" s="70" t="s">
        <v>39</v>
      </c>
      <c r="J148" s="137"/>
      <c r="K148" s="137"/>
      <c r="L148" s="137"/>
      <c r="M148" s="137"/>
      <c r="N148" s="137"/>
      <c r="O148" s="137"/>
      <c r="P148" s="137"/>
      <c r="Q148" s="137"/>
      <c r="R148" s="137"/>
      <c r="S148" s="137"/>
      <c r="T148" s="137"/>
      <c r="U148" s="137"/>
      <c r="V148" s="137"/>
      <c r="W148" s="137"/>
      <c r="X148" s="137"/>
      <c r="Y148" s="137"/>
      <c r="Z148" s="137"/>
    </row>
    <row r="149" ht="55.2" spans="1:26">
      <c r="A149" s="108" t="s">
        <v>507</v>
      </c>
      <c r="B149" s="92" t="s">
        <v>508</v>
      </c>
      <c r="C149" s="92" t="s">
        <v>484</v>
      </c>
      <c r="D149" s="100" t="s">
        <v>509</v>
      </c>
      <c r="E149" s="92" t="s">
        <v>510</v>
      </c>
      <c r="F149" s="92" t="s">
        <v>38</v>
      </c>
      <c r="G149" s="108" t="s">
        <v>11</v>
      </c>
      <c r="H149" s="92"/>
      <c r="I149" s="70" t="s">
        <v>39</v>
      </c>
      <c r="J149" s="137"/>
      <c r="K149" s="137"/>
      <c r="L149" s="137"/>
      <c r="M149" s="137"/>
      <c r="N149" s="137"/>
      <c r="O149" s="137"/>
      <c r="P149" s="137"/>
      <c r="Q149" s="137"/>
      <c r="R149" s="137"/>
      <c r="S149" s="137"/>
      <c r="T149" s="137"/>
      <c r="U149" s="137"/>
      <c r="V149" s="137"/>
      <c r="W149" s="137"/>
      <c r="X149" s="137"/>
      <c r="Y149" s="137"/>
      <c r="Z149" s="137"/>
    </row>
    <row r="150" ht="55.2" spans="1:26">
      <c r="A150" s="108" t="s">
        <v>511</v>
      </c>
      <c r="B150" s="92" t="s">
        <v>512</v>
      </c>
      <c r="C150" s="92" t="s">
        <v>484</v>
      </c>
      <c r="D150" s="100" t="s">
        <v>513</v>
      </c>
      <c r="E150" s="92" t="s">
        <v>514</v>
      </c>
      <c r="F150" s="92" t="s">
        <v>38</v>
      </c>
      <c r="G150" s="108" t="s">
        <v>11</v>
      </c>
      <c r="H150" s="92"/>
      <c r="I150" s="70" t="s">
        <v>39</v>
      </c>
      <c r="J150" s="137"/>
      <c r="K150" s="137"/>
      <c r="L150" s="137"/>
      <c r="M150" s="137"/>
      <c r="N150" s="137"/>
      <c r="O150" s="137"/>
      <c r="P150" s="137"/>
      <c r="Q150" s="137"/>
      <c r="R150" s="137"/>
      <c r="S150" s="137"/>
      <c r="T150" s="137"/>
      <c r="U150" s="137"/>
      <c r="V150" s="137"/>
      <c r="W150" s="137"/>
      <c r="X150" s="137"/>
      <c r="Y150" s="137"/>
      <c r="Z150" s="137"/>
    </row>
    <row r="151" ht="41.4" spans="1:26">
      <c r="A151" s="108" t="s">
        <v>515</v>
      </c>
      <c r="B151" s="92" t="s">
        <v>516</v>
      </c>
      <c r="C151" s="92" t="s">
        <v>484</v>
      </c>
      <c r="D151" s="100" t="s">
        <v>517</v>
      </c>
      <c r="E151" s="92" t="s">
        <v>518</v>
      </c>
      <c r="F151" s="92" t="s">
        <v>38</v>
      </c>
      <c r="G151" s="108" t="s">
        <v>11</v>
      </c>
      <c r="H151" s="92"/>
      <c r="I151" s="70" t="s">
        <v>39</v>
      </c>
      <c r="J151" s="103"/>
      <c r="K151" s="103"/>
      <c r="L151" s="103"/>
      <c r="M151" s="103"/>
      <c r="N151" s="103"/>
      <c r="O151" s="103"/>
      <c r="P151" s="103"/>
      <c r="Q151" s="103"/>
      <c r="R151" s="103"/>
      <c r="S151" s="103"/>
      <c r="T151" s="103"/>
      <c r="U151" s="103"/>
      <c r="V151" s="103"/>
      <c r="W151" s="103"/>
      <c r="X151" s="103"/>
      <c r="Y151" s="103"/>
      <c r="Z151" s="103"/>
    </row>
    <row r="152" ht="55.2" spans="1:26">
      <c r="A152" s="108" t="s">
        <v>519</v>
      </c>
      <c r="B152" s="92" t="s">
        <v>520</v>
      </c>
      <c r="C152" s="92" t="s">
        <v>484</v>
      </c>
      <c r="D152" s="100" t="s">
        <v>521</v>
      </c>
      <c r="E152" s="92" t="s">
        <v>522</v>
      </c>
      <c r="F152" s="92" t="s">
        <v>38</v>
      </c>
      <c r="G152" s="108" t="s">
        <v>11</v>
      </c>
      <c r="H152" s="92"/>
      <c r="I152" s="70" t="s">
        <v>39</v>
      </c>
      <c r="J152" s="103"/>
      <c r="K152" s="103"/>
      <c r="L152" s="103"/>
      <c r="M152" s="103"/>
      <c r="N152" s="103"/>
      <c r="O152" s="103"/>
      <c r="P152" s="103"/>
      <c r="Q152" s="103"/>
      <c r="R152" s="103"/>
      <c r="S152" s="103"/>
      <c r="T152" s="103"/>
      <c r="U152" s="103"/>
      <c r="V152" s="103"/>
      <c r="W152" s="103"/>
      <c r="X152" s="103"/>
      <c r="Y152" s="103"/>
      <c r="Z152" s="103"/>
    </row>
    <row r="153" ht="69" spans="1:26">
      <c r="A153" s="108" t="s">
        <v>523</v>
      </c>
      <c r="B153" s="92" t="s">
        <v>524</v>
      </c>
      <c r="C153" s="92" t="s">
        <v>484</v>
      </c>
      <c r="D153" s="100" t="s">
        <v>525</v>
      </c>
      <c r="E153" s="92" t="s">
        <v>526</v>
      </c>
      <c r="F153" s="92" t="s">
        <v>38</v>
      </c>
      <c r="G153" s="108" t="s">
        <v>11</v>
      </c>
      <c r="H153" s="92"/>
      <c r="I153" s="70" t="s">
        <v>39</v>
      </c>
      <c r="J153" s="137"/>
      <c r="K153" s="137"/>
      <c r="L153" s="137"/>
      <c r="M153" s="137"/>
      <c r="N153" s="137"/>
      <c r="O153" s="137"/>
      <c r="P153" s="137"/>
      <c r="Q153" s="137"/>
      <c r="R153" s="137"/>
      <c r="S153" s="137"/>
      <c r="T153" s="137"/>
      <c r="U153" s="137"/>
      <c r="V153" s="137"/>
      <c r="W153" s="137"/>
      <c r="X153" s="137"/>
      <c r="Y153" s="137"/>
      <c r="Z153" s="137"/>
    </row>
    <row r="154" ht="41.4" spans="1:26">
      <c r="A154" s="108" t="s">
        <v>527</v>
      </c>
      <c r="B154" s="92" t="s">
        <v>528</v>
      </c>
      <c r="C154" s="92" t="s">
        <v>484</v>
      </c>
      <c r="D154" s="100" t="s">
        <v>529</v>
      </c>
      <c r="E154" s="92" t="s">
        <v>530</v>
      </c>
      <c r="F154" s="92" t="s">
        <v>38</v>
      </c>
      <c r="G154" s="108" t="s">
        <v>11</v>
      </c>
      <c r="H154" s="92"/>
      <c r="I154" s="70" t="s">
        <v>39</v>
      </c>
      <c r="J154" s="137"/>
      <c r="K154" s="137"/>
      <c r="L154" s="137"/>
      <c r="M154" s="137"/>
      <c r="N154" s="137"/>
      <c r="O154" s="137"/>
      <c r="P154" s="137"/>
      <c r="Q154" s="137"/>
      <c r="R154" s="137"/>
      <c r="S154" s="137"/>
      <c r="T154" s="137"/>
      <c r="U154" s="137"/>
      <c r="V154" s="137"/>
      <c r="W154" s="137"/>
      <c r="X154" s="137"/>
      <c r="Y154" s="137"/>
      <c r="Z154" s="137"/>
    </row>
    <row r="155" ht="69" spans="1:26">
      <c r="A155" s="108" t="s">
        <v>531</v>
      </c>
      <c r="B155" s="92" t="s">
        <v>532</v>
      </c>
      <c r="C155" s="92" t="s">
        <v>484</v>
      </c>
      <c r="D155" s="100" t="s">
        <v>533</v>
      </c>
      <c r="E155" s="92" t="s">
        <v>534</v>
      </c>
      <c r="F155" s="92" t="s">
        <v>38</v>
      </c>
      <c r="G155" s="108" t="s">
        <v>11</v>
      </c>
      <c r="H155" s="92"/>
      <c r="I155" s="70" t="s">
        <v>39</v>
      </c>
      <c r="J155" s="137"/>
      <c r="K155" s="137"/>
      <c r="L155" s="137"/>
      <c r="M155" s="137"/>
      <c r="N155" s="137"/>
      <c r="O155" s="137"/>
      <c r="P155" s="137"/>
      <c r="Q155" s="137"/>
      <c r="R155" s="137"/>
      <c r="S155" s="137"/>
      <c r="T155" s="137"/>
      <c r="U155" s="137"/>
      <c r="V155" s="137"/>
      <c r="W155" s="137"/>
      <c r="X155" s="137"/>
      <c r="Y155" s="137"/>
      <c r="Z155" s="137"/>
    </row>
    <row r="156" ht="55.2" spans="1:26">
      <c r="A156" s="108" t="s">
        <v>535</v>
      </c>
      <c r="B156" s="92" t="s">
        <v>536</v>
      </c>
      <c r="C156" s="92" t="s">
        <v>484</v>
      </c>
      <c r="D156" s="100" t="s">
        <v>537</v>
      </c>
      <c r="E156" s="92" t="s">
        <v>538</v>
      </c>
      <c r="F156" s="92" t="s">
        <v>38</v>
      </c>
      <c r="G156" s="108" t="s">
        <v>11</v>
      </c>
      <c r="H156" s="92"/>
      <c r="I156" s="70" t="s">
        <v>39</v>
      </c>
      <c r="J156" s="137"/>
      <c r="K156" s="137"/>
      <c r="L156" s="137"/>
      <c r="M156" s="137"/>
      <c r="N156" s="137"/>
      <c r="O156" s="137"/>
      <c r="P156" s="137"/>
      <c r="Q156" s="137"/>
      <c r="R156" s="137"/>
      <c r="S156" s="137"/>
      <c r="T156" s="137"/>
      <c r="U156" s="137"/>
      <c r="V156" s="137"/>
      <c r="W156" s="137"/>
      <c r="X156" s="137"/>
      <c r="Y156" s="137"/>
      <c r="Z156" s="137"/>
    </row>
    <row r="157" ht="41.4" spans="1:26">
      <c r="A157" s="108" t="s">
        <v>539</v>
      </c>
      <c r="B157" s="92" t="s">
        <v>540</v>
      </c>
      <c r="C157" s="92" t="s">
        <v>484</v>
      </c>
      <c r="D157" s="100" t="s">
        <v>541</v>
      </c>
      <c r="E157" s="92" t="s">
        <v>542</v>
      </c>
      <c r="F157" s="92" t="s">
        <v>38</v>
      </c>
      <c r="G157" s="108" t="s">
        <v>11</v>
      </c>
      <c r="H157" s="92"/>
      <c r="I157" s="70" t="s">
        <v>39</v>
      </c>
      <c r="J157" s="137"/>
      <c r="K157" s="137"/>
      <c r="L157" s="137"/>
      <c r="M157" s="137"/>
      <c r="N157" s="137"/>
      <c r="O157" s="137"/>
      <c r="P157" s="137"/>
      <c r="Q157" s="137"/>
      <c r="R157" s="137"/>
      <c r="S157" s="137"/>
      <c r="T157" s="137"/>
      <c r="U157" s="137"/>
      <c r="V157" s="137"/>
      <c r="W157" s="137"/>
      <c r="X157" s="137"/>
      <c r="Y157" s="137"/>
      <c r="Z157" s="137"/>
    </row>
    <row r="158" ht="55.2" spans="1:26">
      <c r="A158" s="108" t="s">
        <v>543</v>
      </c>
      <c r="B158" s="92" t="s">
        <v>544</v>
      </c>
      <c r="C158" s="92" t="s">
        <v>484</v>
      </c>
      <c r="D158" s="100" t="s">
        <v>545</v>
      </c>
      <c r="E158" s="92" t="s">
        <v>546</v>
      </c>
      <c r="F158" s="92" t="s">
        <v>38</v>
      </c>
      <c r="G158" s="108" t="s">
        <v>11</v>
      </c>
      <c r="H158" s="92"/>
      <c r="I158" s="70" t="s">
        <v>39</v>
      </c>
      <c r="J158" s="137"/>
      <c r="K158" s="137"/>
      <c r="L158" s="137"/>
      <c r="M158" s="137"/>
      <c r="N158" s="137"/>
      <c r="O158" s="137"/>
      <c r="P158" s="137"/>
      <c r="Q158" s="137"/>
      <c r="R158" s="137"/>
      <c r="S158" s="137"/>
      <c r="T158" s="137"/>
      <c r="U158" s="137"/>
      <c r="V158" s="137"/>
      <c r="W158" s="137"/>
      <c r="X158" s="137"/>
      <c r="Y158" s="137"/>
      <c r="Z158" s="137"/>
    </row>
    <row r="159" ht="55.2" spans="1:26">
      <c r="A159" s="108" t="s">
        <v>547</v>
      </c>
      <c r="B159" s="92" t="s">
        <v>548</v>
      </c>
      <c r="C159" s="92" t="s">
        <v>484</v>
      </c>
      <c r="D159" s="100" t="s">
        <v>549</v>
      </c>
      <c r="E159" s="92" t="s">
        <v>550</v>
      </c>
      <c r="F159" s="92" t="s">
        <v>38</v>
      </c>
      <c r="G159" s="108" t="s">
        <v>11</v>
      </c>
      <c r="H159" s="92"/>
      <c r="I159" s="70" t="s">
        <v>39</v>
      </c>
      <c r="J159" s="137"/>
      <c r="K159" s="137"/>
      <c r="L159" s="137"/>
      <c r="M159" s="137"/>
      <c r="N159" s="137"/>
      <c r="O159" s="137"/>
      <c r="P159" s="137"/>
      <c r="Q159" s="137"/>
      <c r="R159" s="137"/>
      <c r="S159" s="137"/>
      <c r="T159" s="137"/>
      <c r="U159" s="137"/>
      <c r="V159" s="137"/>
      <c r="W159" s="137"/>
      <c r="X159" s="137"/>
      <c r="Y159" s="137"/>
      <c r="Z159" s="137"/>
    </row>
    <row r="160" ht="41.4" spans="1:26">
      <c r="A160" s="108" t="s">
        <v>551</v>
      </c>
      <c r="B160" s="92" t="s">
        <v>552</v>
      </c>
      <c r="C160" s="92" t="s">
        <v>484</v>
      </c>
      <c r="D160" s="100" t="s">
        <v>553</v>
      </c>
      <c r="E160" s="92" t="s">
        <v>554</v>
      </c>
      <c r="F160" s="92" t="s">
        <v>38</v>
      </c>
      <c r="G160" s="108" t="s">
        <v>11</v>
      </c>
      <c r="H160" s="92"/>
      <c r="I160" s="70" t="s">
        <v>39</v>
      </c>
      <c r="J160" s="137"/>
      <c r="K160" s="137"/>
      <c r="L160" s="137"/>
      <c r="M160" s="137"/>
      <c r="N160" s="137"/>
      <c r="O160" s="137"/>
      <c r="P160" s="137"/>
      <c r="Q160" s="137"/>
      <c r="R160" s="137"/>
      <c r="S160" s="137"/>
      <c r="T160" s="137"/>
      <c r="U160" s="137"/>
      <c r="V160" s="137"/>
      <c r="W160" s="137"/>
      <c r="X160" s="137"/>
      <c r="Y160" s="137"/>
      <c r="Z160" s="137"/>
    </row>
    <row r="161" ht="55.2" spans="1:26">
      <c r="A161" s="108" t="s">
        <v>555</v>
      </c>
      <c r="B161" s="92" t="s">
        <v>556</v>
      </c>
      <c r="C161" s="92" t="s">
        <v>484</v>
      </c>
      <c r="D161" s="100" t="s">
        <v>557</v>
      </c>
      <c r="E161" s="92" t="s">
        <v>558</v>
      </c>
      <c r="F161" s="92" t="s">
        <v>38</v>
      </c>
      <c r="G161" s="108" t="s">
        <v>11</v>
      </c>
      <c r="H161" s="92"/>
      <c r="I161" s="70" t="s">
        <v>39</v>
      </c>
      <c r="J161" s="137"/>
      <c r="K161" s="137"/>
      <c r="L161" s="137"/>
      <c r="M161" s="137"/>
      <c r="N161" s="137"/>
      <c r="O161" s="137"/>
      <c r="P161" s="137"/>
      <c r="Q161" s="137"/>
      <c r="R161" s="137"/>
      <c r="S161" s="137"/>
      <c r="T161" s="137"/>
      <c r="U161" s="137"/>
      <c r="V161" s="137"/>
      <c r="W161" s="137"/>
      <c r="X161" s="137"/>
      <c r="Y161" s="137"/>
      <c r="Z161" s="137"/>
    </row>
    <row r="162" ht="55.2" spans="1:26">
      <c r="A162" s="108" t="s">
        <v>559</v>
      </c>
      <c r="B162" s="92" t="s">
        <v>560</v>
      </c>
      <c r="C162" s="92" t="s">
        <v>484</v>
      </c>
      <c r="D162" s="100" t="s">
        <v>561</v>
      </c>
      <c r="E162" s="92" t="s">
        <v>562</v>
      </c>
      <c r="F162" s="92" t="s">
        <v>38</v>
      </c>
      <c r="G162" s="108" t="s">
        <v>11</v>
      </c>
      <c r="H162" s="92"/>
      <c r="I162" s="70" t="s">
        <v>39</v>
      </c>
      <c r="J162" s="137"/>
      <c r="K162" s="137"/>
      <c r="L162" s="137"/>
      <c r="M162" s="137"/>
      <c r="N162" s="137"/>
      <c r="O162" s="137"/>
      <c r="P162" s="137"/>
      <c r="Q162" s="137"/>
      <c r="R162" s="137"/>
      <c r="S162" s="137"/>
      <c r="T162" s="137"/>
      <c r="U162" s="137"/>
      <c r="V162" s="137"/>
      <c r="W162" s="137"/>
      <c r="X162" s="137"/>
      <c r="Y162" s="137"/>
      <c r="Z162" s="137"/>
    </row>
    <row r="163" ht="41.4" spans="1:26">
      <c r="A163" s="108" t="s">
        <v>563</v>
      </c>
      <c r="B163" s="92" t="s">
        <v>564</v>
      </c>
      <c r="C163" s="92" t="s">
        <v>484</v>
      </c>
      <c r="D163" s="100" t="s">
        <v>565</v>
      </c>
      <c r="E163" s="92" t="s">
        <v>566</v>
      </c>
      <c r="F163" s="92" t="s">
        <v>38</v>
      </c>
      <c r="G163" s="108" t="s">
        <v>11</v>
      </c>
      <c r="H163" s="92"/>
      <c r="I163" s="70" t="s">
        <v>39</v>
      </c>
      <c r="J163" s="137"/>
      <c r="K163" s="137"/>
      <c r="L163" s="137"/>
      <c r="M163" s="137"/>
      <c r="N163" s="137"/>
      <c r="O163" s="137"/>
      <c r="P163" s="137"/>
      <c r="Q163" s="137"/>
      <c r="R163" s="137"/>
      <c r="S163" s="137"/>
      <c r="T163" s="137"/>
      <c r="U163" s="137"/>
      <c r="V163" s="137"/>
      <c r="W163" s="137"/>
      <c r="X163" s="137"/>
      <c r="Y163" s="137"/>
      <c r="Z163" s="137"/>
    </row>
    <row r="164" ht="55.2" spans="1:26">
      <c r="A164" s="108" t="s">
        <v>567</v>
      </c>
      <c r="B164" s="92" t="s">
        <v>568</v>
      </c>
      <c r="C164" s="92" t="s">
        <v>484</v>
      </c>
      <c r="D164" s="100" t="s">
        <v>569</v>
      </c>
      <c r="E164" s="92" t="s">
        <v>570</v>
      </c>
      <c r="F164" s="92" t="s">
        <v>38</v>
      </c>
      <c r="G164" s="108" t="s">
        <v>11</v>
      </c>
      <c r="H164" s="92"/>
      <c r="I164" s="70" t="s">
        <v>39</v>
      </c>
      <c r="J164" s="137"/>
      <c r="K164" s="137"/>
      <c r="L164" s="137"/>
      <c r="M164" s="137"/>
      <c r="N164" s="137"/>
      <c r="O164" s="137"/>
      <c r="P164" s="137"/>
      <c r="Q164" s="137"/>
      <c r="R164" s="137"/>
      <c r="S164" s="137"/>
      <c r="T164" s="137"/>
      <c r="U164" s="137"/>
      <c r="V164" s="137"/>
      <c r="W164" s="137"/>
      <c r="X164" s="137"/>
      <c r="Y164" s="137"/>
      <c r="Z164" s="137"/>
    </row>
    <row r="165" ht="55.2" spans="1:26">
      <c r="A165" s="108" t="s">
        <v>571</v>
      </c>
      <c r="B165" s="92" t="s">
        <v>572</v>
      </c>
      <c r="C165" s="92" t="s">
        <v>484</v>
      </c>
      <c r="D165" s="100" t="s">
        <v>573</v>
      </c>
      <c r="E165" s="92" t="s">
        <v>574</v>
      </c>
      <c r="F165" s="92" t="s">
        <v>38</v>
      </c>
      <c r="G165" s="108" t="s">
        <v>11</v>
      </c>
      <c r="H165" s="92"/>
      <c r="I165" s="70" t="s">
        <v>39</v>
      </c>
      <c r="J165" s="137"/>
      <c r="K165" s="137"/>
      <c r="L165" s="137"/>
      <c r="M165" s="137"/>
      <c r="N165" s="137"/>
      <c r="O165" s="137"/>
      <c r="P165" s="137"/>
      <c r="Q165" s="137"/>
      <c r="R165" s="137"/>
      <c r="S165" s="137"/>
      <c r="T165" s="137"/>
      <c r="U165" s="137"/>
      <c r="V165" s="137"/>
      <c r="W165" s="137"/>
      <c r="X165" s="137"/>
      <c r="Y165" s="137"/>
      <c r="Z165" s="137"/>
    </row>
    <row r="166" ht="55.2" spans="1:26">
      <c r="A166" s="108" t="s">
        <v>575</v>
      </c>
      <c r="B166" s="92" t="s">
        <v>576</v>
      </c>
      <c r="C166" s="92" t="s">
        <v>484</v>
      </c>
      <c r="D166" s="100" t="s">
        <v>577</v>
      </c>
      <c r="E166" s="92" t="s">
        <v>578</v>
      </c>
      <c r="F166" s="92" t="s">
        <v>38</v>
      </c>
      <c r="G166" s="108" t="s">
        <v>11</v>
      </c>
      <c r="H166" s="92"/>
      <c r="I166" s="70" t="s">
        <v>39</v>
      </c>
      <c r="J166" s="137"/>
      <c r="K166" s="137"/>
      <c r="L166" s="137"/>
      <c r="M166" s="137"/>
      <c r="N166" s="137"/>
      <c r="O166" s="137"/>
      <c r="P166" s="137"/>
      <c r="Q166" s="137"/>
      <c r="R166" s="137"/>
      <c r="S166" s="137"/>
      <c r="T166" s="137"/>
      <c r="U166" s="137"/>
      <c r="V166" s="137"/>
      <c r="W166" s="137"/>
      <c r="X166" s="137"/>
      <c r="Y166" s="137"/>
      <c r="Z166" s="137"/>
    </row>
    <row r="167" ht="41.4" spans="1:26">
      <c r="A167" s="108" t="s">
        <v>579</v>
      </c>
      <c r="B167" s="92" t="s">
        <v>580</v>
      </c>
      <c r="C167" s="92" t="s">
        <v>484</v>
      </c>
      <c r="D167" s="100" t="s">
        <v>581</v>
      </c>
      <c r="E167" s="92" t="s">
        <v>582</v>
      </c>
      <c r="F167" s="92" t="s">
        <v>38</v>
      </c>
      <c r="G167" s="108" t="s">
        <v>11</v>
      </c>
      <c r="H167" s="92"/>
      <c r="I167" s="70" t="s">
        <v>39</v>
      </c>
      <c r="J167" s="137"/>
      <c r="K167" s="137"/>
      <c r="L167" s="137"/>
      <c r="M167" s="137"/>
      <c r="N167" s="137"/>
      <c r="O167" s="137"/>
      <c r="P167" s="137"/>
      <c r="Q167" s="137"/>
      <c r="R167" s="137"/>
      <c r="S167" s="137"/>
      <c r="T167" s="137"/>
      <c r="U167" s="137"/>
      <c r="V167" s="137"/>
      <c r="W167" s="137"/>
      <c r="X167" s="137"/>
      <c r="Y167" s="137"/>
      <c r="Z167" s="137"/>
    </row>
    <row r="168" ht="55.2" spans="1:26">
      <c r="A168" s="108" t="s">
        <v>583</v>
      </c>
      <c r="B168" s="92" t="s">
        <v>584</v>
      </c>
      <c r="C168" s="92" t="s">
        <v>484</v>
      </c>
      <c r="D168" s="100" t="s">
        <v>577</v>
      </c>
      <c r="E168" s="92" t="s">
        <v>578</v>
      </c>
      <c r="F168" s="92" t="s">
        <v>38</v>
      </c>
      <c r="G168" s="108" t="s">
        <v>11</v>
      </c>
      <c r="H168" s="92"/>
      <c r="I168" s="70" t="s">
        <v>39</v>
      </c>
      <c r="J168" s="137"/>
      <c r="K168" s="137"/>
      <c r="L168" s="137"/>
      <c r="M168" s="137"/>
      <c r="N168" s="137"/>
      <c r="O168" s="137"/>
      <c r="P168" s="137"/>
      <c r="Q168" s="137"/>
      <c r="R168" s="137"/>
      <c r="S168" s="137"/>
      <c r="T168" s="137"/>
      <c r="U168" s="137"/>
      <c r="V168" s="137"/>
      <c r="W168" s="137"/>
      <c r="X168" s="137"/>
      <c r="Y168" s="137"/>
      <c r="Z168" s="137"/>
    </row>
    <row r="169" ht="69" spans="1:26">
      <c r="A169" s="108" t="s">
        <v>585</v>
      </c>
      <c r="B169" s="92" t="s">
        <v>586</v>
      </c>
      <c r="C169" s="92" t="s">
        <v>484</v>
      </c>
      <c r="D169" s="100" t="s">
        <v>587</v>
      </c>
      <c r="E169" s="92" t="s">
        <v>588</v>
      </c>
      <c r="F169" s="92" t="s">
        <v>38</v>
      </c>
      <c r="G169" s="108" t="s">
        <v>11</v>
      </c>
      <c r="H169" s="92"/>
      <c r="I169" s="70" t="s">
        <v>39</v>
      </c>
      <c r="J169" s="137"/>
      <c r="K169" s="137"/>
      <c r="L169" s="137"/>
      <c r="M169" s="137"/>
      <c r="N169" s="137"/>
      <c r="O169" s="137"/>
      <c r="P169" s="137"/>
      <c r="Q169" s="137"/>
      <c r="R169" s="137"/>
      <c r="S169" s="137"/>
      <c r="T169" s="137"/>
      <c r="U169" s="137"/>
      <c r="V169" s="137"/>
      <c r="W169" s="137"/>
      <c r="X169" s="137"/>
      <c r="Y169" s="137"/>
      <c r="Z169" s="137"/>
    </row>
    <row r="170" ht="41.4" spans="1:26">
      <c r="A170" s="108" t="s">
        <v>589</v>
      </c>
      <c r="B170" s="92" t="s">
        <v>590</v>
      </c>
      <c r="C170" s="92" t="s">
        <v>484</v>
      </c>
      <c r="D170" s="100" t="s">
        <v>591</v>
      </c>
      <c r="E170" s="92" t="s">
        <v>592</v>
      </c>
      <c r="F170" s="92" t="s">
        <v>38</v>
      </c>
      <c r="G170" s="108" t="s">
        <v>11</v>
      </c>
      <c r="H170" s="92"/>
      <c r="I170" s="70" t="s">
        <v>39</v>
      </c>
      <c r="J170" s="137"/>
      <c r="K170" s="137"/>
      <c r="L170" s="137"/>
      <c r="M170" s="137"/>
      <c r="N170" s="137"/>
      <c r="O170" s="137"/>
      <c r="P170" s="137"/>
      <c r="Q170" s="137"/>
      <c r="R170" s="137"/>
      <c r="S170" s="137"/>
      <c r="T170" s="137"/>
      <c r="U170" s="137"/>
      <c r="V170" s="137"/>
      <c r="W170" s="137"/>
      <c r="X170" s="137"/>
      <c r="Y170" s="137"/>
      <c r="Z170" s="137"/>
    </row>
    <row r="171" ht="55.2" spans="1:26">
      <c r="A171" s="108" t="s">
        <v>593</v>
      </c>
      <c r="B171" s="92" t="s">
        <v>594</v>
      </c>
      <c r="C171" s="92" t="s">
        <v>484</v>
      </c>
      <c r="D171" s="100" t="s">
        <v>595</v>
      </c>
      <c r="E171" s="92" t="s">
        <v>596</v>
      </c>
      <c r="F171" s="92" t="s">
        <v>38</v>
      </c>
      <c r="G171" s="108" t="s">
        <v>11</v>
      </c>
      <c r="H171" s="92"/>
      <c r="I171" s="70" t="s">
        <v>39</v>
      </c>
      <c r="J171" s="137"/>
      <c r="K171" s="137"/>
      <c r="L171" s="137"/>
      <c r="M171" s="137"/>
      <c r="N171" s="137"/>
      <c r="O171" s="137"/>
      <c r="P171" s="137"/>
      <c r="Q171" s="137"/>
      <c r="R171" s="137"/>
      <c r="S171" s="137"/>
      <c r="T171" s="137"/>
      <c r="U171" s="137"/>
      <c r="V171" s="137"/>
      <c r="W171" s="137"/>
      <c r="X171" s="137"/>
      <c r="Y171" s="137"/>
      <c r="Z171" s="137"/>
    </row>
    <row r="172" ht="69" spans="1:26">
      <c r="A172" s="108" t="s">
        <v>597</v>
      </c>
      <c r="B172" s="92" t="s">
        <v>598</v>
      </c>
      <c r="C172" s="92" t="s">
        <v>484</v>
      </c>
      <c r="D172" s="100" t="s">
        <v>599</v>
      </c>
      <c r="E172" s="92" t="s">
        <v>600</v>
      </c>
      <c r="F172" s="92" t="s">
        <v>38</v>
      </c>
      <c r="G172" s="108" t="s">
        <v>11</v>
      </c>
      <c r="H172" s="92"/>
      <c r="I172" s="70" t="s">
        <v>39</v>
      </c>
      <c r="J172" s="137"/>
      <c r="K172" s="137"/>
      <c r="L172" s="137"/>
      <c r="M172" s="137"/>
      <c r="N172" s="137"/>
      <c r="O172" s="137"/>
      <c r="P172" s="137"/>
      <c r="Q172" s="137"/>
      <c r="R172" s="137"/>
      <c r="S172" s="137"/>
      <c r="T172" s="137"/>
      <c r="U172" s="137"/>
      <c r="V172" s="137"/>
      <c r="W172" s="137"/>
      <c r="X172" s="137"/>
      <c r="Y172" s="137"/>
      <c r="Z172" s="137"/>
    </row>
    <row r="173" ht="41.4" spans="1:26">
      <c r="A173" s="108" t="s">
        <v>601</v>
      </c>
      <c r="B173" s="92" t="s">
        <v>602</v>
      </c>
      <c r="C173" s="92" t="s">
        <v>484</v>
      </c>
      <c r="D173" s="100" t="s">
        <v>603</v>
      </c>
      <c r="E173" s="92" t="s">
        <v>604</v>
      </c>
      <c r="F173" s="92" t="s">
        <v>38</v>
      </c>
      <c r="G173" s="108" t="s">
        <v>11</v>
      </c>
      <c r="H173" s="92"/>
      <c r="I173" s="70" t="s">
        <v>39</v>
      </c>
      <c r="J173" s="137"/>
      <c r="K173" s="137"/>
      <c r="L173" s="137"/>
      <c r="M173" s="137"/>
      <c r="N173" s="137"/>
      <c r="O173" s="137"/>
      <c r="P173" s="137"/>
      <c r="Q173" s="137"/>
      <c r="R173" s="137"/>
      <c r="S173" s="137"/>
      <c r="T173" s="137"/>
      <c r="U173" s="137"/>
      <c r="V173" s="137"/>
      <c r="W173" s="137"/>
      <c r="X173" s="137"/>
      <c r="Y173" s="137"/>
      <c r="Z173" s="137"/>
    </row>
    <row r="174" ht="55.2" spans="1:26">
      <c r="A174" s="108" t="s">
        <v>605</v>
      </c>
      <c r="B174" s="92" t="s">
        <v>606</v>
      </c>
      <c r="C174" s="92" t="s">
        <v>484</v>
      </c>
      <c r="D174" s="100" t="s">
        <v>607</v>
      </c>
      <c r="E174" s="92" t="s">
        <v>608</v>
      </c>
      <c r="F174" s="92" t="s">
        <v>38</v>
      </c>
      <c r="G174" s="108" t="s">
        <v>11</v>
      </c>
      <c r="H174" s="92"/>
      <c r="I174" s="70" t="s">
        <v>39</v>
      </c>
      <c r="J174" s="137"/>
      <c r="K174" s="137"/>
      <c r="L174" s="137"/>
      <c r="M174" s="137"/>
      <c r="N174" s="137"/>
      <c r="O174" s="137"/>
      <c r="P174" s="137"/>
      <c r="Q174" s="137"/>
      <c r="R174" s="137"/>
      <c r="S174" s="137"/>
      <c r="T174" s="137"/>
      <c r="U174" s="137"/>
      <c r="V174" s="137"/>
      <c r="W174" s="137"/>
      <c r="X174" s="137"/>
      <c r="Y174" s="137"/>
      <c r="Z174" s="137"/>
    </row>
    <row r="175" ht="69" spans="1:26">
      <c r="A175" s="108" t="s">
        <v>609</v>
      </c>
      <c r="B175" s="92" t="s">
        <v>610</v>
      </c>
      <c r="C175" s="92" t="s">
        <v>484</v>
      </c>
      <c r="D175" s="100" t="s">
        <v>611</v>
      </c>
      <c r="E175" s="92" t="s">
        <v>612</v>
      </c>
      <c r="F175" s="92" t="s">
        <v>38</v>
      </c>
      <c r="G175" s="108" t="s">
        <v>11</v>
      </c>
      <c r="H175" s="92"/>
      <c r="I175" s="70" t="s">
        <v>39</v>
      </c>
      <c r="J175" s="137"/>
      <c r="K175" s="137"/>
      <c r="L175" s="137"/>
      <c r="M175" s="137"/>
      <c r="N175" s="137"/>
      <c r="O175" s="137"/>
      <c r="P175" s="137"/>
      <c r="Q175" s="137"/>
      <c r="R175" s="137"/>
      <c r="S175" s="137"/>
      <c r="T175" s="137"/>
      <c r="U175" s="137"/>
      <c r="V175" s="137"/>
      <c r="W175" s="137"/>
      <c r="X175" s="137"/>
      <c r="Y175" s="137"/>
      <c r="Z175" s="137"/>
    </row>
    <row r="176" ht="41.4" spans="1:26">
      <c r="A176" s="108" t="s">
        <v>613</v>
      </c>
      <c r="B176" s="92" t="s">
        <v>614</v>
      </c>
      <c r="C176" s="92" t="s">
        <v>484</v>
      </c>
      <c r="D176" s="100" t="s">
        <v>615</v>
      </c>
      <c r="E176" s="92" t="s">
        <v>616</v>
      </c>
      <c r="F176" s="92" t="s">
        <v>38</v>
      </c>
      <c r="G176" s="108" t="s">
        <v>11</v>
      </c>
      <c r="H176" s="92"/>
      <c r="I176" s="70" t="s">
        <v>39</v>
      </c>
      <c r="J176" s="137"/>
      <c r="K176" s="137"/>
      <c r="L176" s="137"/>
      <c r="M176" s="137"/>
      <c r="N176" s="137"/>
      <c r="O176" s="137"/>
      <c r="P176" s="137"/>
      <c r="Q176" s="137"/>
      <c r="R176" s="137"/>
      <c r="S176" s="137"/>
      <c r="T176" s="137"/>
      <c r="U176" s="137"/>
      <c r="V176" s="137"/>
      <c r="W176" s="137"/>
      <c r="X176" s="137"/>
      <c r="Y176" s="137"/>
      <c r="Z176" s="137"/>
    </row>
    <row r="177" ht="55.2" spans="1:26">
      <c r="A177" s="108" t="s">
        <v>617</v>
      </c>
      <c r="B177" s="92" t="s">
        <v>618</v>
      </c>
      <c r="C177" s="92" t="s">
        <v>484</v>
      </c>
      <c r="D177" s="100" t="s">
        <v>619</v>
      </c>
      <c r="E177" s="92" t="s">
        <v>620</v>
      </c>
      <c r="F177" s="92" t="s">
        <v>38</v>
      </c>
      <c r="G177" s="108" t="s">
        <v>11</v>
      </c>
      <c r="H177" s="92"/>
      <c r="I177" s="70" t="s">
        <v>39</v>
      </c>
      <c r="J177" s="137"/>
      <c r="K177" s="137"/>
      <c r="L177" s="137"/>
      <c r="M177" s="137"/>
      <c r="N177" s="137"/>
      <c r="O177" s="137"/>
      <c r="P177" s="137"/>
      <c r="Q177" s="137"/>
      <c r="R177" s="137"/>
      <c r="S177" s="137"/>
      <c r="T177" s="137"/>
      <c r="U177" s="137"/>
      <c r="V177" s="137"/>
      <c r="W177" s="137"/>
      <c r="X177" s="137"/>
      <c r="Y177" s="137"/>
      <c r="Z177" s="137"/>
    </row>
    <row r="178" ht="55.2" spans="1:26">
      <c r="A178" s="108" t="s">
        <v>621</v>
      </c>
      <c r="B178" s="92" t="s">
        <v>622</v>
      </c>
      <c r="C178" s="92" t="s">
        <v>484</v>
      </c>
      <c r="D178" s="100" t="s">
        <v>623</v>
      </c>
      <c r="E178" s="92" t="s">
        <v>624</v>
      </c>
      <c r="F178" s="92" t="s">
        <v>38</v>
      </c>
      <c r="G178" s="108" t="s">
        <v>11</v>
      </c>
      <c r="H178" s="92"/>
      <c r="I178" s="70" t="s">
        <v>39</v>
      </c>
      <c r="J178" s="137"/>
      <c r="K178" s="137"/>
      <c r="L178" s="137"/>
      <c r="M178" s="137"/>
      <c r="N178" s="137"/>
      <c r="O178" s="137"/>
      <c r="P178" s="137"/>
      <c r="Q178" s="137"/>
      <c r="R178" s="137"/>
      <c r="S178" s="137"/>
      <c r="T178" s="137"/>
      <c r="U178" s="137"/>
      <c r="V178" s="137"/>
      <c r="W178" s="137"/>
      <c r="X178" s="137"/>
      <c r="Y178" s="137"/>
      <c r="Z178" s="137"/>
    </row>
    <row r="179" ht="27" customHeight="1" spans="1:26">
      <c r="A179" s="108" t="s">
        <v>625</v>
      </c>
      <c r="B179" s="92" t="s">
        <v>626</v>
      </c>
      <c r="C179" s="92" t="s">
        <v>484</v>
      </c>
      <c r="D179" s="100" t="s">
        <v>627</v>
      </c>
      <c r="E179" s="92" t="s">
        <v>628</v>
      </c>
      <c r="F179" s="92" t="s">
        <v>38</v>
      </c>
      <c r="G179" s="108" t="s">
        <v>11</v>
      </c>
      <c r="H179" s="92"/>
      <c r="I179" s="70" t="s">
        <v>39</v>
      </c>
      <c r="J179" s="137"/>
      <c r="K179" s="137"/>
      <c r="L179" s="137"/>
      <c r="M179" s="137"/>
      <c r="N179" s="137"/>
      <c r="O179" s="137"/>
      <c r="P179" s="137"/>
      <c r="Q179" s="137"/>
      <c r="R179" s="137"/>
      <c r="S179" s="137"/>
      <c r="T179" s="137"/>
      <c r="U179" s="137"/>
      <c r="V179" s="137"/>
      <c r="W179" s="137"/>
      <c r="X179" s="137"/>
      <c r="Y179" s="137"/>
      <c r="Z179" s="137"/>
    </row>
    <row r="180" ht="55.2" spans="1:26">
      <c r="A180" s="108" t="s">
        <v>629</v>
      </c>
      <c r="B180" s="92" t="s">
        <v>630</v>
      </c>
      <c r="C180" s="92" t="s">
        <v>484</v>
      </c>
      <c r="D180" s="100" t="s">
        <v>631</v>
      </c>
      <c r="E180" s="92" t="s">
        <v>632</v>
      </c>
      <c r="F180" s="92" t="s">
        <v>38</v>
      </c>
      <c r="G180" s="108" t="s">
        <v>11</v>
      </c>
      <c r="H180" s="92"/>
      <c r="I180" s="70" t="s">
        <v>39</v>
      </c>
      <c r="J180" s="137"/>
      <c r="K180" s="137"/>
      <c r="L180" s="137"/>
      <c r="M180" s="137"/>
      <c r="N180" s="137"/>
      <c r="O180" s="137"/>
      <c r="P180" s="137"/>
      <c r="Q180" s="137"/>
      <c r="R180" s="137"/>
      <c r="S180" s="137"/>
      <c r="T180" s="137"/>
      <c r="U180" s="137"/>
      <c r="V180" s="137"/>
      <c r="W180" s="137"/>
      <c r="X180" s="137"/>
      <c r="Y180" s="137"/>
      <c r="Z180" s="137"/>
    </row>
    <row r="181" s="119" customFormat="1" ht="27.6" spans="1:31">
      <c r="A181" s="89" t="s">
        <v>633</v>
      </c>
      <c r="B181" s="89"/>
      <c r="C181" s="89"/>
      <c r="D181" s="89"/>
      <c r="E181" s="89"/>
      <c r="F181" s="89"/>
      <c r="G181" s="89"/>
      <c r="H181" s="89"/>
      <c r="I181" s="89"/>
      <c r="J181" s="138"/>
      <c r="K181" s="138"/>
      <c r="L181" s="138"/>
      <c r="M181" s="138"/>
      <c r="N181" s="138"/>
      <c r="O181" s="138"/>
      <c r="P181" s="138"/>
      <c r="Q181" s="138"/>
      <c r="R181" s="138"/>
      <c r="S181" s="138"/>
      <c r="T181" s="138"/>
      <c r="U181" s="138"/>
      <c r="V181" s="138"/>
      <c r="W181" s="138"/>
      <c r="X181" s="138"/>
      <c r="Y181" s="138"/>
      <c r="Z181" s="138"/>
      <c r="AA181" s="140"/>
      <c r="AB181" s="140"/>
      <c r="AC181" s="140"/>
      <c r="AD181" s="140"/>
      <c r="AE181" s="140"/>
    </row>
    <row r="182" ht="15.6" spans="1:26">
      <c r="A182" s="107" t="s">
        <v>24</v>
      </c>
      <c r="B182" s="107" t="s">
        <v>25</v>
      </c>
      <c r="C182" s="107" t="s">
        <v>26</v>
      </c>
      <c r="D182" s="107" t="s">
        <v>27</v>
      </c>
      <c r="E182" s="107" t="s">
        <v>28</v>
      </c>
      <c r="F182" s="107" t="s">
        <v>29</v>
      </c>
      <c r="G182" s="107" t="s">
        <v>30</v>
      </c>
      <c r="H182" s="128" t="s">
        <v>31</v>
      </c>
      <c r="I182" s="128" t="s">
        <v>32</v>
      </c>
      <c r="J182" s="137"/>
      <c r="K182" s="137"/>
      <c r="L182" s="137"/>
      <c r="M182" s="137"/>
      <c r="N182" s="137"/>
      <c r="O182" s="137"/>
      <c r="P182" s="137"/>
      <c r="Q182" s="137"/>
      <c r="R182" s="137"/>
      <c r="S182" s="137"/>
      <c r="T182" s="137"/>
      <c r="U182" s="137"/>
      <c r="V182" s="137"/>
      <c r="W182" s="137"/>
      <c r="X182" s="137"/>
      <c r="Y182" s="137"/>
      <c r="Z182" s="137"/>
    </row>
    <row r="183" ht="82.8" spans="1:26">
      <c r="A183" s="108" t="s">
        <v>634</v>
      </c>
      <c r="B183" s="92" t="s">
        <v>635</v>
      </c>
      <c r="C183" s="92" t="s">
        <v>636</v>
      </c>
      <c r="D183" s="100" t="s">
        <v>637</v>
      </c>
      <c r="E183" s="92" t="s">
        <v>638</v>
      </c>
      <c r="F183" s="92" t="s">
        <v>38</v>
      </c>
      <c r="G183" s="108" t="s">
        <v>11</v>
      </c>
      <c r="H183" s="92"/>
      <c r="I183" s="70" t="s">
        <v>39</v>
      </c>
      <c r="J183" s="137"/>
      <c r="K183" s="137"/>
      <c r="L183" s="137"/>
      <c r="M183" s="137"/>
      <c r="N183" s="137"/>
      <c r="O183" s="137"/>
      <c r="P183" s="137"/>
      <c r="Q183" s="137"/>
      <c r="R183" s="137"/>
      <c r="S183" s="137"/>
      <c r="T183" s="137"/>
      <c r="U183" s="137"/>
      <c r="V183" s="137"/>
      <c r="W183" s="137"/>
      <c r="X183" s="137"/>
      <c r="Y183" s="137"/>
      <c r="Z183" s="137"/>
    </row>
    <row r="184" ht="55.2" spans="1:26">
      <c r="A184" s="108" t="s">
        <v>639</v>
      </c>
      <c r="B184" s="92" t="s">
        <v>640</v>
      </c>
      <c r="C184" s="92" t="s">
        <v>636</v>
      </c>
      <c r="D184" s="100" t="s">
        <v>641</v>
      </c>
      <c r="E184" s="92" t="s">
        <v>642</v>
      </c>
      <c r="F184" s="92" t="s">
        <v>38</v>
      </c>
      <c r="G184" s="108" t="s">
        <v>11</v>
      </c>
      <c r="H184" s="92"/>
      <c r="I184" s="70" t="s">
        <v>39</v>
      </c>
      <c r="J184" s="137"/>
      <c r="K184" s="137"/>
      <c r="L184" s="137"/>
      <c r="M184" s="137"/>
      <c r="N184" s="137"/>
      <c r="O184" s="137"/>
      <c r="P184" s="137"/>
      <c r="Q184" s="137"/>
      <c r="R184" s="137"/>
      <c r="S184" s="137"/>
      <c r="T184" s="137"/>
      <c r="U184" s="137"/>
      <c r="V184" s="137"/>
      <c r="W184" s="137"/>
      <c r="X184" s="137"/>
      <c r="Y184" s="137"/>
      <c r="Z184" s="137"/>
    </row>
    <row r="185" ht="41.4" spans="1:26">
      <c r="A185" s="108" t="s">
        <v>643</v>
      </c>
      <c r="B185" s="92" t="s">
        <v>644</v>
      </c>
      <c r="C185" s="92" t="s">
        <v>636</v>
      </c>
      <c r="D185" s="100" t="s">
        <v>645</v>
      </c>
      <c r="E185" s="92" t="s">
        <v>646</v>
      </c>
      <c r="F185" s="92" t="s">
        <v>38</v>
      </c>
      <c r="G185" s="108" t="s">
        <v>11</v>
      </c>
      <c r="H185" s="92"/>
      <c r="I185" s="70" t="s">
        <v>39</v>
      </c>
      <c r="J185" s="137"/>
      <c r="K185" s="137"/>
      <c r="L185" s="137"/>
      <c r="M185" s="137"/>
      <c r="N185" s="137"/>
      <c r="O185" s="137"/>
      <c r="P185" s="137"/>
      <c r="Q185" s="137"/>
      <c r="R185" s="137"/>
      <c r="S185" s="137"/>
      <c r="T185" s="137"/>
      <c r="U185" s="137"/>
      <c r="V185" s="137"/>
      <c r="W185" s="137"/>
      <c r="X185" s="137"/>
      <c r="Y185" s="137"/>
      <c r="Z185" s="137"/>
    </row>
    <row r="186" ht="55.2" spans="1:26">
      <c r="A186" s="108" t="s">
        <v>647</v>
      </c>
      <c r="B186" s="92" t="s">
        <v>648</v>
      </c>
      <c r="C186" s="92" t="s">
        <v>636</v>
      </c>
      <c r="D186" s="100" t="s">
        <v>649</v>
      </c>
      <c r="E186" s="92" t="s">
        <v>650</v>
      </c>
      <c r="F186" s="92" t="s">
        <v>38</v>
      </c>
      <c r="G186" s="108" t="s">
        <v>11</v>
      </c>
      <c r="H186" s="92"/>
      <c r="I186" s="70" t="s">
        <v>39</v>
      </c>
      <c r="J186" s="137"/>
      <c r="K186" s="137"/>
      <c r="L186" s="137"/>
      <c r="M186" s="137"/>
      <c r="N186" s="137"/>
      <c r="O186" s="137"/>
      <c r="P186" s="137"/>
      <c r="Q186" s="137"/>
      <c r="R186" s="137"/>
      <c r="S186" s="137"/>
      <c r="T186" s="137"/>
      <c r="U186" s="137"/>
      <c r="V186" s="137"/>
      <c r="W186" s="137"/>
      <c r="X186" s="137"/>
      <c r="Y186" s="137"/>
      <c r="Z186" s="137"/>
    </row>
    <row r="187" ht="55.2" spans="1:26">
      <c r="A187" s="108" t="s">
        <v>651</v>
      </c>
      <c r="B187" s="92" t="s">
        <v>652</v>
      </c>
      <c r="C187" s="92" t="s">
        <v>636</v>
      </c>
      <c r="D187" s="100" t="s">
        <v>653</v>
      </c>
      <c r="E187" s="92" t="s">
        <v>654</v>
      </c>
      <c r="F187" s="92" t="s">
        <v>38</v>
      </c>
      <c r="G187" s="108" t="s">
        <v>11</v>
      </c>
      <c r="H187" s="92"/>
      <c r="I187" s="70" t="s">
        <v>39</v>
      </c>
      <c r="J187" s="137"/>
      <c r="K187" s="137"/>
      <c r="L187" s="137"/>
      <c r="M187" s="137"/>
      <c r="N187" s="137"/>
      <c r="O187" s="137"/>
      <c r="P187" s="137"/>
      <c r="Q187" s="137"/>
      <c r="R187" s="137"/>
      <c r="S187" s="137"/>
      <c r="T187" s="137"/>
      <c r="U187" s="137"/>
      <c r="V187" s="137"/>
      <c r="W187" s="137"/>
      <c r="X187" s="137"/>
      <c r="Y187" s="137"/>
      <c r="Z187" s="137"/>
    </row>
    <row r="188" ht="41.4" spans="1:26">
      <c r="A188" s="108" t="s">
        <v>655</v>
      </c>
      <c r="B188" s="92" t="s">
        <v>656</v>
      </c>
      <c r="C188" s="92" t="s">
        <v>636</v>
      </c>
      <c r="D188" s="100" t="s">
        <v>657</v>
      </c>
      <c r="E188" s="92" t="s">
        <v>658</v>
      </c>
      <c r="F188" s="92" t="s">
        <v>38</v>
      </c>
      <c r="G188" s="108" t="s">
        <v>11</v>
      </c>
      <c r="H188" s="92"/>
      <c r="I188" s="70" t="s">
        <v>39</v>
      </c>
      <c r="J188" s="103"/>
      <c r="K188" s="103"/>
      <c r="L188" s="103"/>
      <c r="M188" s="103"/>
      <c r="N188" s="103"/>
      <c r="O188" s="103"/>
      <c r="P188" s="103"/>
      <c r="Q188" s="103"/>
      <c r="R188" s="103"/>
      <c r="S188" s="103"/>
      <c r="T188" s="103"/>
      <c r="U188" s="103"/>
      <c r="V188" s="103"/>
      <c r="W188" s="103"/>
      <c r="X188" s="103"/>
      <c r="Y188" s="103"/>
      <c r="Z188" s="103"/>
    </row>
    <row r="189" ht="55.2" spans="1:26">
      <c r="A189" s="108" t="s">
        <v>659</v>
      </c>
      <c r="B189" s="92" t="s">
        <v>660</v>
      </c>
      <c r="C189" s="92" t="s">
        <v>636</v>
      </c>
      <c r="D189" s="100" t="s">
        <v>661</v>
      </c>
      <c r="E189" s="92" t="s">
        <v>662</v>
      </c>
      <c r="F189" s="92" t="s">
        <v>38</v>
      </c>
      <c r="G189" s="108" t="s">
        <v>11</v>
      </c>
      <c r="H189" s="92"/>
      <c r="I189" s="70" t="s">
        <v>39</v>
      </c>
      <c r="J189" s="137"/>
      <c r="K189" s="137"/>
      <c r="L189" s="137"/>
      <c r="M189" s="137"/>
      <c r="N189" s="137"/>
      <c r="O189" s="137"/>
      <c r="P189" s="137"/>
      <c r="Q189" s="137"/>
      <c r="R189" s="137"/>
      <c r="S189" s="137"/>
      <c r="T189" s="137"/>
      <c r="U189" s="137"/>
      <c r="V189" s="137"/>
      <c r="W189" s="137"/>
      <c r="X189" s="137"/>
      <c r="Y189" s="137"/>
      <c r="Z189" s="137"/>
    </row>
    <row r="190" ht="55.2" spans="1:26">
      <c r="A190" s="108" t="s">
        <v>663</v>
      </c>
      <c r="B190" s="92" t="s">
        <v>664</v>
      </c>
      <c r="C190" s="92" t="s">
        <v>636</v>
      </c>
      <c r="D190" s="100" t="s">
        <v>665</v>
      </c>
      <c r="E190" s="92" t="s">
        <v>666</v>
      </c>
      <c r="F190" s="92" t="s">
        <v>38</v>
      </c>
      <c r="G190" s="108" t="s">
        <v>11</v>
      </c>
      <c r="H190" s="92"/>
      <c r="I190" s="70" t="s">
        <v>39</v>
      </c>
      <c r="J190" s="137"/>
      <c r="K190" s="137"/>
      <c r="L190" s="137"/>
      <c r="M190" s="137"/>
      <c r="N190" s="137"/>
      <c r="O190" s="137"/>
      <c r="P190" s="137"/>
      <c r="Q190" s="137"/>
      <c r="R190" s="137"/>
      <c r="S190" s="137"/>
      <c r="T190" s="137"/>
      <c r="U190" s="137"/>
      <c r="V190" s="137"/>
      <c r="W190" s="137"/>
      <c r="X190" s="137"/>
      <c r="Y190" s="137"/>
      <c r="Z190" s="137"/>
    </row>
    <row r="191" ht="41.4" spans="1:26">
      <c r="A191" s="108" t="s">
        <v>667</v>
      </c>
      <c r="B191" s="92" t="s">
        <v>668</v>
      </c>
      <c r="C191" s="92" t="s">
        <v>636</v>
      </c>
      <c r="D191" s="100" t="s">
        <v>669</v>
      </c>
      <c r="E191" s="92" t="s">
        <v>670</v>
      </c>
      <c r="F191" s="92" t="s">
        <v>38</v>
      </c>
      <c r="G191" s="108" t="s">
        <v>11</v>
      </c>
      <c r="H191" s="92"/>
      <c r="I191" s="70" t="s">
        <v>39</v>
      </c>
      <c r="J191" s="137"/>
      <c r="K191" s="137"/>
      <c r="L191" s="137"/>
      <c r="M191" s="137"/>
      <c r="N191" s="137"/>
      <c r="O191" s="137"/>
      <c r="P191" s="137"/>
      <c r="Q191" s="137"/>
      <c r="R191" s="137"/>
      <c r="S191" s="137"/>
      <c r="T191" s="137"/>
      <c r="U191" s="137"/>
      <c r="V191" s="137"/>
      <c r="W191" s="137"/>
      <c r="X191" s="137"/>
      <c r="Y191" s="137"/>
      <c r="Z191" s="137"/>
    </row>
    <row r="192" ht="55.2" spans="1:26">
      <c r="A192" s="108" t="s">
        <v>671</v>
      </c>
      <c r="B192" s="92" t="s">
        <v>672</v>
      </c>
      <c r="C192" s="92" t="s">
        <v>636</v>
      </c>
      <c r="D192" s="100" t="s">
        <v>673</v>
      </c>
      <c r="E192" s="92" t="s">
        <v>674</v>
      </c>
      <c r="F192" s="92" t="s">
        <v>38</v>
      </c>
      <c r="G192" s="108" t="s">
        <v>11</v>
      </c>
      <c r="H192" s="92"/>
      <c r="I192" s="70" t="s">
        <v>39</v>
      </c>
      <c r="J192" s="137"/>
      <c r="K192" s="137"/>
      <c r="L192" s="137"/>
      <c r="M192" s="137"/>
      <c r="N192" s="137"/>
      <c r="O192" s="137"/>
      <c r="P192" s="137"/>
      <c r="Q192" s="137"/>
      <c r="R192" s="137"/>
      <c r="S192" s="137"/>
      <c r="T192" s="137"/>
      <c r="U192" s="137"/>
      <c r="V192" s="137"/>
      <c r="W192" s="137"/>
      <c r="X192" s="137"/>
      <c r="Y192" s="137"/>
      <c r="Z192" s="137"/>
    </row>
    <row r="193" ht="55.2" spans="1:26">
      <c r="A193" s="108" t="s">
        <v>675</v>
      </c>
      <c r="B193" s="92" t="s">
        <v>676</v>
      </c>
      <c r="C193" s="92" t="s">
        <v>636</v>
      </c>
      <c r="D193" s="100" t="s">
        <v>677</v>
      </c>
      <c r="E193" s="92" t="s">
        <v>678</v>
      </c>
      <c r="F193" s="92" t="s">
        <v>38</v>
      </c>
      <c r="G193" s="108" t="s">
        <v>11</v>
      </c>
      <c r="H193" s="92"/>
      <c r="I193" s="70" t="s">
        <v>39</v>
      </c>
      <c r="J193" s="137"/>
      <c r="K193" s="137"/>
      <c r="L193" s="137"/>
      <c r="M193" s="137"/>
      <c r="N193" s="137"/>
      <c r="O193" s="137"/>
      <c r="P193" s="137"/>
      <c r="Q193" s="137"/>
      <c r="R193" s="137"/>
      <c r="S193" s="137"/>
      <c r="T193" s="137"/>
      <c r="U193" s="137"/>
      <c r="V193" s="137"/>
      <c r="W193" s="137"/>
      <c r="X193" s="137"/>
      <c r="Y193" s="137"/>
      <c r="Z193" s="137"/>
    </row>
    <row r="194" ht="41.4" spans="1:26">
      <c r="A194" s="108" t="s">
        <v>679</v>
      </c>
      <c r="B194" s="92" t="s">
        <v>680</v>
      </c>
      <c r="C194" s="92" t="s">
        <v>636</v>
      </c>
      <c r="D194" s="100" t="s">
        <v>681</v>
      </c>
      <c r="E194" s="92" t="s">
        <v>682</v>
      </c>
      <c r="F194" s="92" t="s">
        <v>38</v>
      </c>
      <c r="G194" s="108" t="s">
        <v>11</v>
      </c>
      <c r="H194" s="92"/>
      <c r="I194" s="70" t="s">
        <v>39</v>
      </c>
      <c r="J194" s="137"/>
      <c r="K194" s="137"/>
      <c r="L194" s="137"/>
      <c r="M194" s="137"/>
      <c r="N194" s="137"/>
      <c r="O194" s="137"/>
      <c r="P194" s="137"/>
      <c r="Q194" s="137"/>
      <c r="R194" s="137"/>
      <c r="S194" s="137"/>
      <c r="T194" s="137"/>
      <c r="U194" s="137"/>
      <c r="V194" s="137"/>
      <c r="W194" s="137"/>
      <c r="X194" s="137"/>
      <c r="Y194" s="137"/>
      <c r="Z194" s="137"/>
    </row>
    <row r="195" ht="55.2" spans="1:26">
      <c r="A195" s="108" t="s">
        <v>683</v>
      </c>
      <c r="B195" s="92" t="s">
        <v>684</v>
      </c>
      <c r="C195" s="92" t="s">
        <v>636</v>
      </c>
      <c r="D195" s="100" t="s">
        <v>685</v>
      </c>
      <c r="E195" s="92" t="s">
        <v>686</v>
      </c>
      <c r="F195" s="92" t="s">
        <v>38</v>
      </c>
      <c r="G195" s="108" t="s">
        <v>11</v>
      </c>
      <c r="H195" s="92"/>
      <c r="I195" s="70" t="s">
        <v>39</v>
      </c>
      <c r="J195" s="137"/>
      <c r="K195" s="137"/>
      <c r="L195" s="137"/>
      <c r="M195" s="137"/>
      <c r="N195" s="137"/>
      <c r="O195" s="137"/>
      <c r="P195" s="137"/>
      <c r="Q195" s="137"/>
      <c r="R195" s="137"/>
      <c r="S195" s="137"/>
      <c r="T195" s="137"/>
      <c r="U195" s="137"/>
      <c r="V195" s="137"/>
      <c r="W195" s="137"/>
      <c r="X195" s="137"/>
      <c r="Y195" s="137"/>
      <c r="Z195" s="137"/>
    </row>
    <row r="196" ht="55.2" spans="1:26">
      <c r="A196" s="108" t="s">
        <v>687</v>
      </c>
      <c r="B196" s="92" t="s">
        <v>688</v>
      </c>
      <c r="C196" s="92" t="s">
        <v>636</v>
      </c>
      <c r="D196" s="100" t="s">
        <v>689</v>
      </c>
      <c r="E196" s="92" t="s">
        <v>690</v>
      </c>
      <c r="F196" s="92" t="s">
        <v>38</v>
      </c>
      <c r="G196" s="108" t="s">
        <v>11</v>
      </c>
      <c r="H196" s="92"/>
      <c r="I196" s="70" t="s">
        <v>39</v>
      </c>
      <c r="J196" s="137"/>
      <c r="K196" s="137"/>
      <c r="L196" s="137"/>
      <c r="M196" s="137"/>
      <c r="N196" s="137"/>
      <c r="O196" s="137"/>
      <c r="P196" s="137"/>
      <c r="Q196" s="137"/>
      <c r="R196" s="137"/>
      <c r="S196" s="137"/>
      <c r="T196" s="137"/>
      <c r="U196" s="137"/>
      <c r="V196" s="137"/>
      <c r="W196" s="137"/>
      <c r="X196" s="137"/>
      <c r="Y196" s="137"/>
      <c r="Z196" s="137"/>
    </row>
    <row r="197" ht="41.4" spans="1:26">
      <c r="A197" s="108" t="s">
        <v>691</v>
      </c>
      <c r="B197" s="92" t="s">
        <v>692</v>
      </c>
      <c r="C197" s="92" t="s">
        <v>636</v>
      </c>
      <c r="D197" s="100" t="s">
        <v>693</v>
      </c>
      <c r="E197" s="92" t="s">
        <v>694</v>
      </c>
      <c r="F197" s="92" t="s">
        <v>38</v>
      </c>
      <c r="G197" s="108" t="s">
        <v>11</v>
      </c>
      <c r="H197" s="92"/>
      <c r="I197" s="70" t="s">
        <v>39</v>
      </c>
      <c r="J197" s="137"/>
      <c r="K197" s="137"/>
      <c r="L197" s="137"/>
      <c r="M197" s="137"/>
      <c r="N197" s="137"/>
      <c r="O197" s="137"/>
      <c r="P197" s="137"/>
      <c r="Q197" s="137"/>
      <c r="R197" s="137"/>
      <c r="S197" s="137"/>
      <c r="T197" s="137"/>
      <c r="U197" s="137"/>
      <c r="V197" s="137"/>
      <c r="W197" s="137"/>
      <c r="X197" s="137"/>
      <c r="Y197" s="137"/>
      <c r="Z197" s="137"/>
    </row>
    <row r="198" ht="55.2" spans="1:26">
      <c r="A198" s="108" t="s">
        <v>695</v>
      </c>
      <c r="B198" s="92" t="s">
        <v>696</v>
      </c>
      <c r="C198" s="92" t="s">
        <v>636</v>
      </c>
      <c r="D198" s="100" t="s">
        <v>697</v>
      </c>
      <c r="E198" s="92" t="s">
        <v>698</v>
      </c>
      <c r="F198" s="92" t="s">
        <v>38</v>
      </c>
      <c r="G198" s="108" t="s">
        <v>11</v>
      </c>
      <c r="H198" s="92"/>
      <c r="I198" s="70" t="s">
        <v>39</v>
      </c>
      <c r="J198" s="137"/>
      <c r="K198" s="137"/>
      <c r="L198" s="137"/>
      <c r="M198" s="137"/>
      <c r="N198" s="137"/>
      <c r="O198" s="137"/>
      <c r="P198" s="137"/>
      <c r="Q198" s="137"/>
      <c r="R198" s="137"/>
      <c r="S198" s="137"/>
      <c r="T198" s="137"/>
      <c r="U198" s="137"/>
      <c r="V198" s="137"/>
      <c r="W198" s="137"/>
      <c r="X198" s="137"/>
      <c r="Y198" s="137"/>
      <c r="Z198" s="137"/>
    </row>
    <row r="199" ht="55.2" spans="1:26">
      <c r="A199" s="108" t="s">
        <v>699</v>
      </c>
      <c r="B199" s="92" t="s">
        <v>700</v>
      </c>
      <c r="C199" s="92" t="s">
        <v>636</v>
      </c>
      <c r="D199" s="100" t="s">
        <v>701</v>
      </c>
      <c r="E199" s="92" t="s">
        <v>624</v>
      </c>
      <c r="F199" s="92" t="s">
        <v>38</v>
      </c>
      <c r="G199" s="108" t="s">
        <v>11</v>
      </c>
      <c r="H199" s="92"/>
      <c r="I199" s="70" t="s">
        <v>39</v>
      </c>
      <c r="J199" s="137"/>
      <c r="K199" s="137"/>
      <c r="L199" s="137"/>
      <c r="M199" s="137"/>
      <c r="N199" s="137"/>
      <c r="O199" s="137"/>
      <c r="P199" s="137"/>
      <c r="Q199" s="137"/>
      <c r="R199" s="137"/>
      <c r="S199" s="137"/>
      <c r="T199" s="137"/>
      <c r="U199" s="137"/>
      <c r="V199" s="137"/>
      <c r="W199" s="137"/>
      <c r="X199" s="137"/>
      <c r="Y199" s="137"/>
      <c r="Z199" s="137"/>
    </row>
    <row r="200" ht="41.4" spans="1:26">
      <c r="A200" s="108" t="s">
        <v>702</v>
      </c>
      <c r="B200" s="92" t="s">
        <v>703</v>
      </c>
      <c r="C200" s="92" t="s">
        <v>636</v>
      </c>
      <c r="D200" s="100" t="s">
        <v>704</v>
      </c>
      <c r="E200" s="92" t="s">
        <v>628</v>
      </c>
      <c r="F200" s="92" t="s">
        <v>38</v>
      </c>
      <c r="G200" s="108" t="s">
        <v>11</v>
      </c>
      <c r="H200" s="92"/>
      <c r="I200" s="70" t="s">
        <v>39</v>
      </c>
      <c r="J200" s="137"/>
      <c r="K200" s="137"/>
      <c r="L200" s="137"/>
      <c r="M200" s="137"/>
      <c r="N200" s="137"/>
      <c r="O200" s="137"/>
      <c r="P200" s="137"/>
      <c r="Q200" s="137"/>
      <c r="R200" s="137"/>
      <c r="S200" s="137"/>
      <c r="T200" s="137"/>
      <c r="U200" s="137"/>
      <c r="V200" s="137"/>
      <c r="W200" s="137"/>
      <c r="X200" s="137"/>
      <c r="Y200" s="137"/>
      <c r="Z200" s="137"/>
    </row>
    <row r="201" ht="55.2" spans="1:26">
      <c r="A201" s="108" t="s">
        <v>705</v>
      </c>
      <c r="B201" s="92" t="s">
        <v>706</v>
      </c>
      <c r="C201" s="92" t="s">
        <v>636</v>
      </c>
      <c r="D201" s="100" t="s">
        <v>707</v>
      </c>
      <c r="E201" s="92" t="s">
        <v>632</v>
      </c>
      <c r="F201" s="92" t="s">
        <v>38</v>
      </c>
      <c r="G201" s="108" t="s">
        <v>11</v>
      </c>
      <c r="H201" s="92"/>
      <c r="I201" s="70" t="s">
        <v>39</v>
      </c>
      <c r="J201" s="137"/>
      <c r="K201" s="137"/>
      <c r="L201" s="137"/>
      <c r="M201" s="137"/>
      <c r="N201" s="137"/>
      <c r="O201" s="137"/>
      <c r="P201" s="137"/>
      <c r="Q201" s="137"/>
      <c r="R201" s="137"/>
      <c r="S201" s="137"/>
      <c r="T201" s="137"/>
      <c r="U201" s="137"/>
      <c r="V201" s="137"/>
      <c r="W201" s="137"/>
      <c r="X201" s="137"/>
      <c r="Y201" s="137"/>
      <c r="Z201" s="137"/>
    </row>
    <row r="202" s="119" customFormat="1" ht="27.6" spans="1:31">
      <c r="A202" s="89" t="s">
        <v>708</v>
      </c>
      <c r="B202" s="89"/>
      <c r="C202" s="89"/>
      <c r="D202" s="89"/>
      <c r="E202" s="89"/>
      <c r="F202" s="89"/>
      <c r="G202" s="89"/>
      <c r="H202" s="89"/>
      <c r="I202" s="89"/>
      <c r="J202" s="138"/>
      <c r="K202" s="138"/>
      <c r="L202" s="138"/>
      <c r="M202" s="138"/>
      <c r="N202" s="138"/>
      <c r="O202" s="138"/>
      <c r="P202" s="138"/>
      <c r="Q202" s="138"/>
      <c r="R202" s="138"/>
      <c r="S202" s="138"/>
      <c r="T202" s="138"/>
      <c r="U202" s="138"/>
      <c r="V202" s="138"/>
      <c r="W202" s="138"/>
      <c r="X202" s="138"/>
      <c r="Y202" s="138"/>
      <c r="Z202" s="138"/>
      <c r="AA202" s="140"/>
      <c r="AB202" s="140"/>
      <c r="AC202" s="140"/>
      <c r="AD202" s="140"/>
      <c r="AE202" s="140"/>
    </row>
    <row r="203" ht="15.6" spans="1:26">
      <c r="A203" s="107" t="s">
        <v>24</v>
      </c>
      <c r="B203" s="107" t="s">
        <v>25</v>
      </c>
      <c r="C203" s="107" t="s">
        <v>26</v>
      </c>
      <c r="D203" s="107" t="s">
        <v>27</v>
      </c>
      <c r="E203" s="107" t="s">
        <v>28</v>
      </c>
      <c r="F203" s="107" t="s">
        <v>29</v>
      </c>
      <c r="G203" s="107" t="s">
        <v>30</v>
      </c>
      <c r="H203" s="128" t="s">
        <v>31</v>
      </c>
      <c r="I203" s="128" t="s">
        <v>32</v>
      </c>
      <c r="J203" s="137"/>
      <c r="K203" s="137"/>
      <c r="L203" s="137"/>
      <c r="M203" s="137"/>
      <c r="N203" s="137"/>
      <c r="O203" s="137"/>
      <c r="P203" s="137"/>
      <c r="Q203" s="137"/>
      <c r="R203" s="137"/>
      <c r="S203" s="137"/>
      <c r="T203" s="137"/>
      <c r="U203" s="137"/>
      <c r="V203" s="137"/>
      <c r="W203" s="137"/>
      <c r="X203" s="137"/>
      <c r="Y203" s="137"/>
      <c r="Z203" s="137"/>
    </row>
    <row r="204" ht="96.6" spans="1:26">
      <c r="A204" s="108" t="s">
        <v>709</v>
      </c>
      <c r="B204" s="92" t="s">
        <v>710</v>
      </c>
      <c r="C204" s="92" t="s">
        <v>711</v>
      </c>
      <c r="D204" s="100" t="s">
        <v>712</v>
      </c>
      <c r="E204" s="92" t="s">
        <v>713</v>
      </c>
      <c r="F204" s="92" t="s">
        <v>38</v>
      </c>
      <c r="G204" s="108" t="s">
        <v>11</v>
      </c>
      <c r="H204" s="92"/>
      <c r="I204" s="70" t="s">
        <v>39</v>
      </c>
      <c r="J204" s="137"/>
      <c r="K204" s="137"/>
      <c r="L204" s="137"/>
      <c r="M204" s="137"/>
      <c r="N204" s="137"/>
      <c r="O204" s="137"/>
      <c r="P204" s="137"/>
      <c r="Q204" s="137"/>
      <c r="R204" s="137"/>
      <c r="S204" s="137"/>
      <c r="T204" s="137"/>
      <c r="U204" s="137"/>
      <c r="V204" s="137"/>
      <c r="W204" s="137"/>
      <c r="X204" s="137"/>
      <c r="Y204" s="137"/>
      <c r="Z204" s="137"/>
    </row>
    <row r="205" ht="41.4" spans="1:26">
      <c r="A205" s="108" t="s">
        <v>714</v>
      </c>
      <c r="B205" s="92" t="s">
        <v>715</v>
      </c>
      <c r="C205" s="92" t="s">
        <v>711</v>
      </c>
      <c r="D205" s="100" t="s">
        <v>716</v>
      </c>
      <c r="E205" s="92" t="s">
        <v>717</v>
      </c>
      <c r="F205" s="92" t="s">
        <v>38</v>
      </c>
      <c r="G205" s="108" t="s">
        <v>11</v>
      </c>
      <c r="H205" s="92"/>
      <c r="I205" s="70" t="s">
        <v>39</v>
      </c>
      <c r="J205" s="137"/>
      <c r="K205" s="137"/>
      <c r="L205" s="137"/>
      <c r="M205" s="137"/>
      <c r="N205" s="137"/>
      <c r="O205" s="137"/>
      <c r="P205" s="137"/>
      <c r="Q205" s="137"/>
      <c r="R205" s="137"/>
      <c r="S205" s="137"/>
      <c r="T205" s="137"/>
      <c r="U205" s="137"/>
      <c r="V205" s="137"/>
      <c r="W205" s="137"/>
      <c r="X205" s="137"/>
      <c r="Y205" s="137"/>
      <c r="Z205" s="137"/>
    </row>
    <row r="206" ht="55.2" spans="1:26">
      <c r="A206" s="108" t="s">
        <v>718</v>
      </c>
      <c r="B206" s="92" t="s">
        <v>719</v>
      </c>
      <c r="C206" s="92" t="s">
        <v>711</v>
      </c>
      <c r="D206" s="100" t="s">
        <v>720</v>
      </c>
      <c r="E206" s="92" t="s">
        <v>721</v>
      </c>
      <c r="F206" s="92" t="s">
        <v>38</v>
      </c>
      <c r="G206" s="108" t="s">
        <v>11</v>
      </c>
      <c r="H206" s="92"/>
      <c r="I206" s="70" t="s">
        <v>39</v>
      </c>
      <c r="J206" s="137"/>
      <c r="K206" s="137"/>
      <c r="L206" s="137"/>
      <c r="M206" s="137"/>
      <c r="N206" s="137"/>
      <c r="O206" s="137"/>
      <c r="P206" s="137"/>
      <c r="Q206" s="137"/>
      <c r="R206" s="137"/>
      <c r="S206" s="137"/>
      <c r="T206" s="137"/>
      <c r="U206" s="137"/>
      <c r="V206" s="137"/>
      <c r="W206" s="137"/>
      <c r="X206" s="137"/>
      <c r="Y206" s="137"/>
      <c r="Z206" s="137"/>
    </row>
    <row r="207" ht="41.4" spans="1:26">
      <c r="A207" s="108" t="s">
        <v>722</v>
      </c>
      <c r="B207" s="92" t="s">
        <v>540</v>
      </c>
      <c r="C207" s="92" t="s">
        <v>711</v>
      </c>
      <c r="D207" s="100" t="s">
        <v>723</v>
      </c>
      <c r="E207" s="92" t="s">
        <v>542</v>
      </c>
      <c r="F207" s="92" t="s">
        <v>38</v>
      </c>
      <c r="G207" s="108" t="s">
        <v>11</v>
      </c>
      <c r="H207" s="92"/>
      <c r="I207" s="70" t="s">
        <v>39</v>
      </c>
      <c r="J207" s="137"/>
      <c r="K207" s="137"/>
      <c r="L207" s="137"/>
      <c r="M207" s="137"/>
      <c r="N207" s="137"/>
      <c r="O207" s="137"/>
      <c r="P207" s="137"/>
      <c r="Q207" s="137"/>
      <c r="R207" s="137"/>
      <c r="S207" s="137"/>
      <c r="T207" s="137"/>
      <c r="U207" s="137"/>
      <c r="V207" s="137"/>
      <c r="W207" s="137"/>
      <c r="X207" s="137"/>
      <c r="Y207" s="137"/>
      <c r="Z207" s="137"/>
    </row>
    <row r="208" ht="55.2" spans="1:26">
      <c r="A208" s="108" t="s">
        <v>724</v>
      </c>
      <c r="B208" s="92" t="s">
        <v>725</v>
      </c>
      <c r="C208" s="92" t="s">
        <v>711</v>
      </c>
      <c r="D208" s="100" t="s">
        <v>726</v>
      </c>
      <c r="E208" s="92" t="s">
        <v>727</v>
      </c>
      <c r="F208" s="92" t="s">
        <v>38</v>
      </c>
      <c r="G208" s="108" t="s">
        <v>11</v>
      </c>
      <c r="H208" s="92"/>
      <c r="I208" s="70" t="s">
        <v>39</v>
      </c>
      <c r="J208" s="137"/>
      <c r="K208" s="137"/>
      <c r="L208" s="137"/>
      <c r="M208" s="137"/>
      <c r="N208" s="137"/>
      <c r="O208" s="137"/>
      <c r="P208" s="137"/>
      <c r="Q208" s="137"/>
      <c r="R208" s="137"/>
      <c r="S208" s="137"/>
      <c r="T208" s="137"/>
      <c r="U208" s="137"/>
      <c r="V208" s="137"/>
      <c r="W208" s="137"/>
      <c r="X208" s="137"/>
      <c r="Y208" s="137"/>
      <c r="Z208" s="137"/>
    </row>
    <row r="209" ht="41.4" spans="1:26">
      <c r="A209" s="108" t="s">
        <v>728</v>
      </c>
      <c r="B209" s="92" t="s">
        <v>552</v>
      </c>
      <c r="C209" s="92" t="s">
        <v>711</v>
      </c>
      <c r="D209" s="100" t="s">
        <v>729</v>
      </c>
      <c r="E209" s="92" t="s">
        <v>554</v>
      </c>
      <c r="F209" s="92" t="s">
        <v>38</v>
      </c>
      <c r="G209" s="108" t="s">
        <v>11</v>
      </c>
      <c r="H209" s="92"/>
      <c r="I209" s="70" t="s">
        <v>39</v>
      </c>
      <c r="J209" s="137"/>
      <c r="K209" s="137"/>
      <c r="L209" s="137"/>
      <c r="M209" s="137"/>
      <c r="N209" s="137"/>
      <c r="O209" s="137"/>
      <c r="P209" s="137"/>
      <c r="Q209" s="137"/>
      <c r="R209" s="137"/>
      <c r="S209" s="137"/>
      <c r="T209" s="137"/>
      <c r="U209" s="137"/>
      <c r="V209" s="137"/>
      <c r="W209" s="137"/>
      <c r="X209" s="137"/>
      <c r="Y209" s="137"/>
      <c r="Z209" s="137"/>
    </row>
    <row r="210" ht="55.2" spans="1:26">
      <c r="A210" s="108" t="s">
        <v>730</v>
      </c>
      <c r="B210" s="92" t="s">
        <v>731</v>
      </c>
      <c r="C210" s="92" t="s">
        <v>711</v>
      </c>
      <c r="D210" s="100" t="s">
        <v>732</v>
      </c>
      <c r="E210" s="92" t="s">
        <v>733</v>
      </c>
      <c r="F210" s="92" t="s">
        <v>38</v>
      </c>
      <c r="G210" s="108" t="s">
        <v>11</v>
      </c>
      <c r="H210" s="92"/>
      <c r="I210" s="70" t="s">
        <v>39</v>
      </c>
      <c r="J210" s="137"/>
      <c r="K210" s="137"/>
      <c r="L210" s="137"/>
      <c r="M210" s="137"/>
      <c r="N210" s="137"/>
      <c r="O210" s="137"/>
      <c r="P210" s="137"/>
      <c r="Q210" s="137"/>
      <c r="R210" s="137"/>
      <c r="S210" s="137"/>
      <c r="T210" s="137"/>
      <c r="U210" s="137"/>
      <c r="V210" s="137"/>
      <c r="W210" s="137"/>
      <c r="X210" s="137"/>
      <c r="Y210" s="137"/>
      <c r="Z210" s="137"/>
    </row>
    <row r="211" ht="55.2" spans="1:26">
      <c r="A211" s="108" t="s">
        <v>734</v>
      </c>
      <c r="B211" s="92" t="s">
        <v>735</v>
      </c>
      <c r="C211" s="92" t="s">
        <v>711</v>
      </c>
      <c r="D211" s="100" t="s">
        <v>736</v>
      </c>
      <c r="E211" s="92" t="s">
        <v>737</v>
      </c>
      <c r="F211" s="92" t="s">
        <v>38</v>
      </c>
      <c r="G211" s="108" t="s">
        <v>11</v>
      </c>
      <c r="H211" s="92"/>
      <c r="I211" s="70" t="s">
        <v>39</v>
      </c>
      <c r="J211" s="137"/>
      <c r="K211" s="137"/>
      <c r="L211" s="137"/>
      <c r="M211" s="137"/>
      <c r="N211" s="137"/>
      <c r="O211" s="137"/>
      <c r="P211" s="137"/>
      <c r="Q211" s="137"/>
      <c r="R211" s="137"/>
      <c r="S211" s="137"/>
      <c r="T211" s="137"/>
      <c r="U211" s="137"/>
      <c r="V211" s="137"/>
      <c r="W211" s="137"/>
      <c r="X211" s="137"/>
      <c r="Y211" s="137"/>
      <c r="Z211" s="137"/>
    </row>
    <row r="212" ht="55.2" spans="1:26">
      <c r="A212" s="108" t="s">
        <v>738</v>
      </c>
      <c r="B212" s="92" t="s">
        <v>739</v>
      </c>
      <c r="C212" s="92" t="s">
        <v>711</v>
      </c>
      <c r="D212" s="100" t="s">
        <v>740</v>
      </c>
      <c r="E212" s="92" t="s">
        <v>741</v>
      </c>
      <c r="F212" s="92" t="s">
        <v>38</v>
      </c>
      <c r="G212" s="108" t="s">
        <v>11</v>
      </c>
      <c r="H212" s="92"/>
      <c r="I212" s="70" t="s">
        <v>39</v>
      </c>
      <c r="J212" s="137"/>
      <c r="K212" s="137"/>
      <c r="L212" s="137"/>
      <c r="M212" s="137"/>
      <c r="N212" s="137"/>
      <c r="O212" s="137"/>
      <c r="P212" s="137"/>
      <c r="Q212" s="137"/>
      <c r="R212" s="137"/>
      <c r="S212" s="137"/>
      <c r="T212" s="137"/>
      <c r="U212" s="137"/>
      <c r="V212" s="137"/>
      <c r="W212" s="137"/>
      <c r="X212" s="137"/>
      <c r="Y212" s="137"/>
      <c r="Z212" s="137"/>
    </row>
    <row r="213" ht="96.6" spans="1:26">
      <c r="A213" s="108" t="s">
        <v>742</v>
      </c>
      <c r="B213" s="92" t="s">
        <v>710</v>
      </c>
      <c r="C213" s="92" t="s">
        <v>711</v>
      </c>
      <c r="D213" s="100" t="s">
        <v>743</v>
      </c>
      <c r="E213" s="92" t="s">
        <v>713</v>
      </c>
      <c r="F213" s="92" t="s">
        <v>38</v>
      </c>
      <c r="G213" s="108" t="s">
        <v>11</v>
      </c>
      <c r="H213" s="92"/>
      <c r="I213" s="70" t="s">
        <v>39</v>
      </c>
      <c r="J213" s="137"/>
      <c r="K213" s="137"/>
      <c r="L213" s="137"/>
      <c r="M213" s="137"/>
      <c r="N213" s="137"/>
      <c r="O213" s="137"/>
      <c r="P213" s="137"/>
      <c r="Q213" s="137"/>
      <c r="R213" s="137"/>
      <c r="S213" s="137"/>
      <c r="T213" s="137"/>
      <c r="U213" s="137"/>
      <c r="V213" s="137"/>
      <c r="W213" s="137"/>
      <c r="X213" s="137"/>
      <c r="Y213" s="137"/>
      <c r="Z213" s="137"/>
    </row>
    <row r="214" ht="41.4" spans="1:26">
      <c r="A214" s="108" t="s">
        <v>744</v>
      </c>
      <c r="B214" s="92" t="s">
        <v>715</v>
      </c>
      <c r="C214" s="92" t="s">
        <v>711</v>
      </c>
      <c r="D214" s="100" t="s">
        <v>716</v>
      </c>
      <c r="E214" s="92" t="s">
        <v>717</v>
      </c>
      <c r="F214" s="92" t="s">
        <v>38</v>
      </c>
      <c r="G214" s="108" t="s">
        <v>11</v>
      </c>
      <c r="H214" s="92"/>
      <c r="I214" s="70" t="s">
        <v>39</v>
      </c>
      <c r="J214" s="137"/>
      <c r="K214" s="137"/>
      <c r="L214" s="137"/>
      <c r="M214" s="137"/>
      <c r="N214" s="137"/>
      <c r="O214" s="137"/>
      <c r="P214" s="137"/>
      <c r="Q214" s="137"/>
      <c r="R214" s="137"/>
      <c r="S214" s="137"/>
      <c r="T214" s="137"/>
      <c r="U214" s="137"/>
      <c r="V214" s="137"/>
      <c r="W214" s="137"/>
      <c r="X214" s="137"/>
      <c r="Y214" s="137"/>
      <c r="Z214" s="137"/>
    </row>
    <row r="215" ht="55.2" spans="1:26">
      <c r="A215" s="108" t="s">
        <v>745</v>
      </c>
      <c r="B215" s="92" t="s">
        <v>719</v>
      </c>
      <c r="C215" s="92" t="s">
        <v>711</v>
      </c>
      <c r="D215" s="100" t="s">
        <v>720</v>
      </c>
      <c r="E215" s="92" t="s">
        <v>721</v>
      </c>
      <c r="F215" s="92" t="s">
        <v>38</v>
      </c>
      <c r="G215" s="108" t="s">
        <v>11</v>
      </c>
      <c r="H215" s="92"/>
      <c r="I215" s="70" t="s">
        <v>39</v>
      </c>
      <c r="J215" s="137"/>
      <c r="K215" s="137"/>
      <c r="L215" s="137"/>
      <c r="M215" s="137"/>
      <c r="N215" s="137"/>
      <c r="O215" s="137"/>
      <c r="P215" s="137"/>
      <c r="Q215" s="137"/>
      <c r="R215" s="137"/>
      <c r="S215" s="137"/>
      <c r="T215" s="137"/>
      <c r="U215" s="137"/>
      <c r="V215" s="137"/>
      <c r="W215" s="137"/>
      <c r="X215" s="137"/>
      <c r="Y215" s="137"/>
      <c r="Z215" s="137"/>
    </row>
    <row r="216" ht="41.4" spans="1:26">
      <c r="A216" s="108" t="s">
        <v>746</v>
      </c>
      <c r="B216" s="92" t="s">
        <v>540</v>
      </c>
      <c r="C216" s="92" t="s">
        <v>711</v>
      </c>
      <c r="D216" s="100" t="s">
        <v>723</v>
      </c>
      <c r="E216" s="92" t="s">
        <v>542</v>
      </c>
      <c r="F216" s="92" t="s">
        <v>38</v>
      </c>
      <c r="G216" s="108" t="s">
        <v>11</v>
      </c>
      <c r="H216" s="92"/>
      <c r="I216" s="70" t="s">
        <v>39</v>
      </c>
      <c r="J216" s="137"/>
      <c r="K216" s="137"/>
      <c r="L216" s="137"/>
      <c r="M216" s="137"/>
      <c r="N216" s="137"/>
      <c r="O216" s="137"/>
      <c r="P216" s="137"/>
      <c r="Q216" s="137"/>
      <c r="R216" s="137"/>
      <c r="S216" s="137"/>
      <c r="T216" s="137"/>
      <c r="U216" s="137"/>
      <c r="V216" s="137"/>
      <c r="W216" s="137"/>
      <c r="X216" s="137"/>
      <c r="Y216" s="137"/>
      <c r="Z216" s="137"/>
    </row>
    <row r="217" ht="55.2" spans="1:26">
      <c r="A217" s="108" t="s">
        <v>747</v>
      </c>
      <c r="B217" s="92" t="s">
        <v>725</v>
      </c>
      <c r="C217" s="92" t="s">
        <v>711</v>
      </c>
      <c r="D217" s="100" t="s">
        <v>726</v>
      </c>
      <c r="E217" s="92" t="s">
        <v>727</v>
      </c>
      <c r="F217" s="92" t="s">
        <v>38</v>
      </c>
      <c r="G217" s="108" t="s">
        <v>11</v>
      </c>
      <c r="H217" s="92"/>
      <c r="I217" s="70" t="s">
        <v>39</v>
      </c>
      <c r="J217" s="137"/>
      <c r="K217" s="137"/>
      <c r="L217" s="137"/>
      <c r="M217" s="137"/>
      <c r="N217" s="137"/>
      <c r="O217" s="137"/>
      <c r="P217" s="137"/>
      <c r="Q217" s="137"/>
      <c r="R217" s="137"/>
      <c r="S217" s="137"/>
      <c r="T217" s="137"/>
      <c r="U217" s="137"/>
      <c r="V217" s="137"/>
      <c r="W217" s="137"/>
      <c r="X217" s="137"/>
      <c r="Y217" s="137"/>
      <c r="Z217" s="137"/>
    </row>
    <row r="218" ht="41.4" spans="1:26">
      <c r="A218" s="108" t="s">
        <v>748</v>
      </c>
      <c r="B218" s="92" t="s">
        <v>552</v>
      </c>
      <c r="C218" s="92" t="s">
        <v>711</v>
      </c>
      <c r="D218" s="100" t="s">
        <v>729</v>
      </c>
      <c r="E218" s="92" t="s">
        <v>554</v>
      </c>
      <c r="F218" s="92" t="s">
        <v>38</v>
      </c>
      <c r="G218" s="108" t="s">
        <v>11</v>
      </c>
      <c r="H218" s="92"/>
      <c r="I218" s="70" t="s">
        <v>39</v>
      </c>
      <c r="J218" s="137"/>
      <c r="K218" s="137"/>
      <c r="L218" s="137"/>
      <c r="M218" s="137"/>
      <c r="N218" s="137"/>
      <c r="O218" s="137"/>
      <c r="P218" s="137"/>
      <c r="Q218" s="137"/>
      <c r="R218" s="137"/>
      <c r="S218" s="137"/>
      <c r="T218" s="137"/>
      <c r="U218" s="137"/>
      <c r="V218" s="137"/>
      <c r="W218" s="137"/>
      <c r="X218" s="137"/>
      <c r="Y218" s="137"/>
      <c r="Z218" s="137"/>
    </row>
    <row r="219" ht="55.2" spans="1:26">
      <c r="A219" s="108" t="s">
        <v>749</v>
      </c>
      <c r="B219" s="92" t="s">
        <v>731</v>
      </c>
      <c r="C219" s="92" t="s">
        <v>711</v>
      </c>
      <c r="D219" s="100" t="s">
        <v>732</v>
      </c>
      <c r="E219" s="92" t="s">
        <v>733</v>
      </c>
      <c r="F219" s="92" t="s">
        <v>38</v>
      </c>
      <c r="G219" s="108" t="s">
        <v>11</v>
      </c>
      <c r="H219" s="92"/>
      <c r="I219" s="70" t="s">
        <v>39</v>
      </c>
      <c r="J219" s="137"/>
      <c r="K219" s="137"/>
      <c r="L219" s="137"/>
      <c r="M219" s="137"/>
      <c r="N219" s="137"/>
      <c r="O219" s="137"/>
      <c r="P219" s="137"/>
      <c r="Q219" s="137"/>
      <c r="R219" s="137"/>
      <c r="S219" s="137"/>
      <c r="T219" s="137"/>
      <c r="U219" s="137"/>
      <c r="V219" s="137"/>
      <c r="W219" s="137"/>
      <c r="X219" s="137"/>
      <c r="Y219" s="137"/>
      <c r="Z219" s="137"/>
    </row>
    <row r="220" ht="55.2" spans="1:26">
      <c r="A220" s="108" t="s">
        <v>750</v>
      </c>
      <c r="B220" s="92" t="s">
        <v>735</v>
      </c>
      <c r="C220" s="92" t="s">
        <v>711</v>
      </c>
      <c r="D220" s="100" t="s">
        <v>736</v>
      </c>
      <c r="E220" s="92" t="s">
        <v>737</v>
      </c>
      <c r="F220" s="92" t="s">
        <v>38</v>
      </c>
      <c r="G220" s="108" t="s">
        <v>11</v>
      </c>
      <c r="H220" s="92"/>
      <c r="I220" s="70" t="s">
        <v>39</v>
      </c>
      <c r="J220" s="137"/>
      <c r="K220" s="137"/>
      <c r="L220" s="137"/>
      <c r="M220" s="137"/>
      <c r="N220" s="137"/>
      <c r="O220" s="137"/>
      <c r="P220" s="137"/>
      <c r="Q220" s="137"/>
      <c r="R220" s="137"/>
      <c r="S220" s="137"/>
      <c r="T220" s="137"/>
      <c r="U220" s="137"/>
      <c r="V220" s="137"/>
      <c r="W220" s="137"/>
      <c r="X220" s="137"/>
      <c r="Y220" s="137"/>
      <c r="Z220" s="137"/>
    </row>
    <row r="221" ht="55.2" spans="1:26">
      <c r="A221" s="108" t="s">
        <v>751</v>
      </c>
      <c r="B221" s="92" t="s">
        <v>739</v>
      </c>
      <c r="C221" s="92" t="s">
        <v>711</v>
      </c>
      <c r="D221" s="100" t="s">
        <v>740</v>
      </c>
      <c r="E221" s="92" t="s">
        <v>741</v>
      </c>
      <c r="F221" s="92" t="s">
        <v>38</v>
      </c>
      <c r="G221" s="108" t="s">
        <v>11</v>
      </c>
      <c r="H221" s="92"/>
      <c r="I221" s="70" t="s">
        <v>39</v>
      </c>
      <c r="J221" s="137"/>
      <c r="K221" s="137"/>
      <c r="L221" s="137"/>
      <c r="M221" s="137"/>
      <c r="N221" s="137"/>
      <c r="O221" s="137"/>
      <c r="P221" s="137"/>
      <c r="Q221" s="137"/>
      <c r="R221" s="137"/>
      <c r="S221" s="137"/>
      <c r="T221" s="137"/>
      <c r="U221" s="137"/>
      <c r="V221" s="137"/>
      <c r="W221" s="137"/>
      <c r="X221" s="137"/>
      <c r="Y221" s="137"/>
      <c r="Z221" s="137"/>
    </row>
    <row r="222" ht="96.6" spans="1:26">
      <c r="A222" s="108" t="s">
        <v>752</v>
      </c>
      <c r="B222" s="92" t="s">
        <v>710</v>
      </c>
      <c r="C222" s="92" t="s">
        <v>711</v>
      </c>
      <c r="D222" s="100" t="s">
        <v>743</v>
      </c>
      <c r="E222" s="92" t="s">
        <v>713</v>
      </c>
      <c r="F222" s="92" t="s">
        <v>38</v>
      </c>
      <c r="G222" s="108" t="s">
        <v>11</v>
      </c>
      <c r="H222" s="92"/>
      <c r="I222" s="70" t="s">
        <v>39</v>
      </c>
      <c r="J222" s="137"/>
      <c r="K222" s="137"/>
      <c r="L222" s="137"/>
      <c r="M222" s="137"/>
      <c r="N222" s="137"/>
      <c r="O222" s="137"/>
      <c r="P222" s="137"/>
      <c r="Q222" s="137"/>
      <c r="R222" s="137"/>
      <c r="S222" s="137"/>
      <c r="T222" s="137"/>
      <c r="U222" s="137"/>
      <c r="V222" s="137"/>
      <c r="W222" s="137"/>
      <c r="X222" s="137"/>
      <c r="Y222" s="137"/>
      <c r="Z222" s="137"/>
    </row>
    <row r="223" ht="41.4" spans="1:22">
      <c r="A223" s="108" t="s">
        <v>753</v>
      </c>
      <c r="B223" s="92" t="s">
        <v>715</v>
      </c>
      <c r="C223" s="92" t="s">
        <v>711</v>
      </c>
      <c r="D223" s="100" t="s">
        <v>716</v>
      </c>
      <c r="E223" s="92" t="s">
        <v>717</v>
      </c>
      <c r="F223" s="92" t="s">
        <v>38</v>
      </c>
      <c r="G223" s="108" t="s">
        <v>11</v>
      </c>
      <c r="H223" s="92"/>
      <c r="I223" s="70" t="s">
        <v>39</v>
      </c>
      <c r="J223" s="137"/>
      <c r="K223" s="137"/>
      <c r="L223" s="137"/>
      <c r="M223" s="137"/>
      <c r="N223" s="137"/>
      <c r="O223" s="137"/>
      <c r="P223" s="137"/>
      <c r="Q223" s="137"/>
      <c r="R223" s="137"/>
      <c r="S223" s="137"/>
      <c r="T223" s="137"/>
      <c r="U223" s="137"/>
      <c r="V223" s="137"/>
    </row>
    <row r="224" ht="55.2" spans="1:22">
      <c r="A224" s="108" t="s">
        <v>754</v>
      </c>
      <c r="B224" s="92" t="s">
        <v>719</v>
      </c>
      <c r="C224" s="92" t="s">
        <v>711</v>
      </c>
      <c r="D224" s="100" t="s">
        <v>720</v>
      </c>
      <c r="E224" s="92" t="s">
        <v>721</v>
      </c>
      <c r="F224" s="92" t="s">
        <v>38</v>
      </c>
      <c r="G224" s="108" t="s">
        <v>11</v>
      </c>
      <c r="H224" s="92"/>
      <c r="I224" s="70" t="s">
        <v>39</v>
      </c>
      <c r="J224" s="137"/>
      <c r="K224" s="137"/>
      <c r="L224" s="137"/>
      <c r="M224" s="137"/>
      <c r="N224" s="137"/>
      <c r="O224" s="137"/>
      <c r="P224" s="137"/>
      <c r="Q224" s="137"/>
      <c r="R224" s="137"/>
      <c r="S224" s="137"/>
      <c r="T224" s="137"/>
      <c r="U224" s="137"/>
      <c r="V224" s="137"/>
    </row>
    <row r="225" ht="41.4" spans="1:26">
      <c r="A225" s="108" t="s">
        <v>755</v>
      </c>
      <c r="B225" s="92" t="s">
        <v>540</v>
      </c>
      <c r="C225" s="92" t="s">
        <v>711</v>
      </c>
      <c r="D225" s="100" t="s">
        <v>723</v>
      </c>
      <c r="E225" s="92" t="s">
        <v>542</v>
      </c>
      <c r="F225" s="92" t="s">
        <v>38</v>
      </c>
      <c r="G225" s="108" t="s">
        <v>11</v>
      </c>
      <c r="H225" s="92"/>
      <c r="I225" s="70" t="s">
        <v>39</v>
      </c>
      <c r="J225" s="137"/>
      <c r="K225" s="137"/>
      <c r="L225" s="137"/>
      <c r="M225" s="137"/>
      <c r="N225" s="137"/>
      <c r="O225" s="137"/>
      <c r="P225" s="137"/>
      <c r="Q225" s="137"/>
      <c r="R225" s="137"/>
      <c r="S225" s="137"/>
      <c r="T225" s="137"/>
      <c r="U225" s="137"/>
      <c r="V225" s="137"/>
      <c r="W225" s="137"/>
      <c r="X225" s="137"/>
      <c r="Y225" s="137"/>
      <c r="Z225" s="137"/>
    </row>
    <row r="226" ht="55.2" spans="1:26">
      <c r="A226" s="108" t="s">
        <v>756</v>
      </c>
      <c r="B226" s="92" t="s">
        <v>725</v>
      </c>
      <c r="C226" s="92" t="s">
        <v>711</v>
      </c>
      <c r="D226" s="100" t="s">
        <v>726</v>
      </c>
      <c r="E226" s="92" t="s">
        <v>727</v>
      </c>
      <c r="F226" s="92" t="s">
        <v>38</v>
      </c>
      <c r="G226" s="108" t="s">
        <v>11</v>
      </c>
      <c r="H226" s="92"/>
      <c r="I226" s="70" t="s">
        <v>39</v>
      </c>
      <c r="J226" s="137"/>
      <c r="K226" s="137"/>
      <c r="L226" s="137"/>
      <c r="M226" s="137"/>
      <c r="N226" s="137"/>
      <c r="O226" s="137"/>
      <c r="P226" s="137"/>
      <c r="Q226" s="137"/>
      <c r="R226" s="137"/>
      <c r="S226" s="137"/>
      <c r="T226" s="137"/>
      <c r="U226" s="137"/>
      <c r="V226" s="137"/>
      <c r="W226" s="137"/>
      <c r="X226" s="137"/>
      <c r="Y226" s="137"/>
      <c r="Z226" s="137"/>
    </row>
    <row r="227" ht="41.4" spans="1:26">
      <c r="A227" s="108" t="s">
        <v>757</v>
      </c>
      <c r="B227" s="92" t="s">
        <v>552</v>
      </c>
      <c r="C227" s="92" t="s">
        <v>711</v>
      </c>
      <c r="D227" s="100" t="s">
        <v>729</v>
      </c>
      <c r="E227" s="92" t="s">
        <v>554</v>
      </c>
      <c r="F227" s="92" t="s">
        <v>38</v>
      </c>
      <c r="G227" s="108" t="s">
        <v>11</v>
      </c>
      <c r="H227" s="92"/>
      <c r="I227" s="70" t="s">
        <v>39</v>
      </c>
      <c r="J227" s="137"/>
      <c r="K227" s="137"/>
      <c r="L227" s="137"/>
      <c r="M227" s="137"/>
      <c r="N227" s="137"/>
      <c r="O227" s="137"/>
      <c r="P227" s="137"/>
      <c r="Q227" s="137"/>
      <c r="R227" s="137"/>
      <c r="S227" s="137"/>
      <c r="T227" s="137"/>
      <c r="U227" s="137"/>
      <c r="V227" s="137"/>
      <c r="W227" s="137"/>
      <c r="X227" s="137"/>
      <c r="Y227" s="137"/>
      <c r="Z227" s="137"/>
    </row>
    <row r="228" ht="55.2" spans="1:26">
      <c r="A228" s="108" t="s">
        <v>758</v>
      </c>
      <c r="B228" s="92" t="s">
        <v>731</v>
      </c>
      <c r="C228" s="92" t="s">
        <v>711</v>
      </c>
      <c r="D228" s="100" t="s">
        <v>732</v>
      </c>
      <c r="E228" s="92" t="s">
        <v>733</v>
      </c>
      <c r="F228" s="92" t="s">
        <v>38</v>
      </c>
      <c r="G228" s="108" t="s">
        <v>11</v>
      </c>
      <c r="H228" s="92"/>
      <c r="I228" s="70" t="s">
        <v>39</v>
      </c>
      <c r="J228" s="137"/>
      <c r="K228" s="137"/>
      <c r="L228" s="137"/>
      <c r="M228" s="137"/>
      <c r="N228" s="137"/>
      <c r="O228" s="137"/>
      <c r="P228" s="137"/>
      <c r="Q228" s="137"/>
      <c r="R228" s="137"/>
      <c r="S228" s="137"/>
      <c r="T228" s="137"/>
      <c r="U228" s="137"/>
      <c r="V228" s="137"/>
      <c r="W228" s="137"/>
      <c r="X228" s="137"/>
      <c r="Y228" s="137"/>
      <c r="Z228" s="137"/>
    </row>
    <row r="229" ht="55.2" spans="1:26">
      <c r="A229" s="108" t="s">
        <v>759</v>
      </c>
      <c r="B229" s="92" t="s">
        <v>735</v>
      </c>
      <c r="C229" s="92" t="s">
        <v>711</v>
      </c>
      <c r="D229" s="100" t="s">
        <v>736</v>
      </c>
      <c r="E229" s="92" t="s">
        <v>737</v>
      </c>
      <c r="F229" s="92" t="s">
        <v>38</v>
      </c>
      <c r="G229" s="108" t="s">
        <v>11</v>
      </c>
      <c r="H229" s="92"/>
      <c r="I229" s="70" t="s">
        <v>39</v>
      </c>
      <c r="J229" s="137"/>
      <c r="K229" s="137"/>
      <c r="L229" s="137"/>
      <c r="M229" s="137"/>
      <c r="N229" s="137"/>
      <c r="O229" s="137"/>
      <c r="P229" s="137"/>
      <c r="Q229" s="137"/>
      <c r="R229" s="137"/>
      <c r="S229" s="137"/>
      <c r="T229" s="137"/>
      <c r="U229" s="137"/>
      <c r="V229" s="137"/>
      <c r="W229" s="137"/>
      <c r="X229" s="137"/>
      <c r="Y229" s="137"/>
      <c r="Z229" s="137"/>
    </row>
    <row r="230" ht="55.2" spans="1:26">
      <c r="A230" s="108" t="s">
        <v>760</v>
      </c>
      <c r="B230" s="92" t="s">
        <v>739</v>
      </c>
      <c r="C230" s="92" t="s">
        <v>711</v>
      </c>
      <c r="D230" s="100" t="s">
        <v>740</v>
      </c>
      <c r="E230" s="92" t="s">
        <v>741</v>
      </c>
      <c r="F230" s="92" t="s">
        <v>38</v>
      </c>
      <c r="G230" s="108" t="s">
        <v>11</v>
      </c>
      <c r="H230" s="92"/>
      <c r="I230" s="70" t="s">
        <v>39</v>
      </c>
      <c r="J230" s="137"/>
      <c r="K230" s="137"/>
      <c r="L230" s="137"/>
      <c r="M230" s="137"/>
      <c r="N230" s="137"/>
      <c r="O230" s="137"/>
      <c r="P230" s="137"/>
      <c r="Q230" s="137"/>
      <c r="R230" s="137"/>
      <c r="S230" s="137"/>
      <c r="T230" s="137"/>
      <c r="U230" s="137"/>
      <c r="V230" s="137"/>
      <c r="W230" s="137"/>
      <c r="X230" s="137"/>
      <c r="Y230" s="137"/>
      <c r="Z230" s="137"/>
    </row>
    <row r="231" ht="96.6" spans="1:26">
      <c r="A231" s="108" t="s">
        <v>761</v>
      </c>
      <c r="B231" s="92" t="s">
        <v>710</v>
      </c>
      <c r="C231" s="92" t="s">
        <v>711</v>
      </c>
      <c r="D231" s="100" t="s">
        <v>743</v>
      </c>
      <c r="E231" s="92" t="s">
        <v>713</v>
      </c>
      <c r="F231" s="92" t="s">
        <v>38</v>
      </c>
      <c r="G231" s="108" t="s">
        <v>11</v>
      </c>
      <c r="H231" s="92"/>
      <c r="I231" s="70" t="s">
        <v>39</v>
      </c>
      <c r="J231" s="137"/>
      <c r="K231" s="137"/>
      <c r="L231" s="137"/>
      <c r="M231" s="137"/>
      <c r="N231" s="137"/>
      <c r="O231" s="137"/>
      <c r="P231" s="137"/>
      <c r="Q231" s="137"/>
      <c r="R231" s="137"/>
      <c r="S231" s="137"/>
      <c r="T231" s="137"/>
      <c r="U231" s="137"/>
      <c r="V231" s="137"/>
      <c r="W231" s="137"/>
      <c r="X231" s="137"/>
      <c r="Y231" s="137"/>
      <c r="Z231" s="137"/>
    </row>
    <row r="232" ht="41.4" spans="1:26">
      <c r="A232" s="108" t="s">
        <v>762</v>
      </c>
      <c r="B232" s="92" t="s">
        <v>715</v>
      </c>
      <c r="C232" s="92" t="s">
        <v>711</v>
      </c>
      <c r="D232" s="100" t="s">
        <v>716</v>
      </c>
      <c r="E232" s="92" t="s">
        <v>717</v>
      </c>
      <c r="F232" s="92" t="s">
        <v>38</v>
      </c>
      <c r="G232" s="108" t="s">
        <v>11</v>
      </c>
      <c r="H232" s="92"/>
      <c r="I232" s="70" t="s">
        <v>39</v>
      </c>
      <c r="J232" s="137"/>
      <c r="K232" s="137"/>
      <c r="L232" s="137"/>
      <c r="M232" s="137"/>
      <c r="N232" s="137"/>
      <c r="O232" s="137"/>
      <c r="P232" s="137"/>
      <c r="Q232" s="137"/>
      <c r="R232" s="137"/>
      <c r="S232" s="137"/>
      <c r="T232" s="137"/>
      <c r="U232" s="137"/>
      <c r="V232" s="137"/>
      <c r="W232" s="137"/>
      <c r="X232" s="137"/>
      <c r="Y232" s="137"/>
      <c r="Z232" s="137"/>
    </row>
    <row r="233" ht="55.2" spans="1:26">
      <c r="A233" s="108" t="s">
        <v>763</v>
      </c>
      <c r="B233" s="92" t="s">
        <v>719</v>
      </c>
      <c r="C233" s="92" t="s">
        <v>711</v>
      </c>
      <c r="D233" s="100" t="s">
        <v>720</v>
      </c>
      <c r="E233" s="92" t="s">
        <v>721</v>
      </c>
      <c r="F233" s="92" t="s">
        <v>38</v>
      </c>
      <c r="G233" s="108" t="s">
        <v>11</v>
      </c>
      <c r="H233" s="92"/>
      <c r="I233" s="70" t="s">
        <v>39</v>
      </c>
      <c r="J233" s="137"/>
      <c r="K233" s="137"/>
      <c r="L233" s="137"/>
      <c r="M233" s="137"/>
      <c r="N233" s="137"/>
      <c r="O233" s="137"/>
      <c r="P233" s="137"/>
      <c r="Q233" s="137"/>
      <c r="R233" s="137"/>
      <c r="S233" s="137"/>
      <c r="T233" s="137"/>
      <c r="U233" s="137"/>
      <c r="V233" s="137"/>
      <c r="W233" s="137"/>
      <c r="X233" s="137"/>
      <c r="Y233" s="137"/>
      <c r="Z233" s="137"/>
    </row>
    <row r="234" s="119" customFormat="1" ht="27.6" spans="1:31">
      <c r="A234" s="89" t="s">
        <v>764</v>
      </c>
      <c r="B234" s="89"/>
      <c r="C234" s="89"/>
      <c r="D234" s="89"/>
      <c r="E234" s="89"/>
      <c r="F234" s="89"/>
      <c r="G234" s="89"/>
      <c r="H234" s="89"/>
      <c r="I234" s="89"/>
      <c r="J234" s="138"/>
      <c r="K234" s="138"/>
      <c r="L234" s="138"/>
      <c r="M234" s="138"/>
      <c r="N234" s="138"/>
      <c r="O234" s="138"/>
      <c r="P234" s="138"/>
      <c r="Q234" s="138"/>
      <c r="R234" s="138"/>
      <c r="S234" s="138"/>
      <c r="T234" s="138"/>
      <c r="U234" s="138"/>
      <c r="V234" s="138"/>
      <c r="W234" s="138"/>
      <c r="X234" s="138"/>
      <c r="Y234" s="138"/>
      <c r="Z234" s="138"/>
      <c r="AA234" s="140"/>
      <c r="AB234" s="140"/>
      <c r="AC234" s="140"/>
      <c r="AD234" s="140"/>
      <c r="AE234" s="140"/>
    </row>
    <row r="235" ht="15.6" spans="1:26">
      <c r="A235" s="107" t="s">
        <v>24</v>
      </c>
      <c r="B235" s="107" t="s">
        <v>25</v>
      </c>
      <c r="C235" s="107" t="s">
        <v>26</v>
      </c>
      <c r="D235" s="107" t="s">
        <v>27</v>
      </c>
      <c r="E235" s="107" t="s">
        <v>28</v>
      </c>
      <c r="F235" s="107" t="s">
        <v>29</v>
      </c>
      <c r="G235" s="107" t="s">
        <v>30</v>
      </c>
      <c r="H235" s="128" t="s">
        <v>31</v>
      </c>
      <c r="I235" s="128" t="s">
        <v>32</v>
      </c>
      <c r="J235" s="137"/>
      <c r="K235" s="137"/>
      <c r="L235" s="137"/>
      <c r="M235" s="137"/>
      <c r="N235" s="137"/>
      <c r="O235" s="137"/>
      <c r="P235" s="137"/>
      <c r="Q235" s="137"/>
      <c r="R235" s="137"/>
      <c r="S235" s="137"/>
      <c r="T235" s="137"/>
      <c r="U235" s="137"/>
      <c r="V235" s="137"/>
      <c r="W235" s="137"/>
      <c r="X235" s="137"/>
      <c r="Y235" s="137"/>
      <c r="Z235" s="137"/>
    </row>
    <row r="236" ht="69" spans="1:26">
      <c r="A236" s="108" t="s">
        <v>765</v>
      </c>
      <c r="B236" s="92" t="s">
        <v>766</v>
      </c>
      <c r="C236" s="92" t="s">
        <v>767</v>
      </c>
      <c r="D236" s="100" t="s">
        <v>768</v>
      </c>
      <c r="E236" s="92" t="s">
        <v>769</v>
      </c>
      <c r="F236" s="92" t="s">
        <v>38</v>
      </c>
      <c r="G236" s="108" t="s">
        <v>11</v>
      </c>
      <c r="H236" s="92"/>
      <c r="I236" s="70" t="s">
        <v>39</v>
      </c>
      <c r="J236" s="137"/>
      <c r="K236" s="137"/>
      <c r="L236" s="137"/>
      <c r="M236" s="137"/>
      <c r="N236" s="137"/>
      <c r="O236" s="137"/>
      <c r="P236" s="137"/>
      <c r="Q236" s="137"/>
      <c r="R236" s="137"/>
      <c r="S236" s="137"/>
      <c r="T236" s="137"/>
      <c r="U236" s="137"/>
      <c r="V236" s="137"/>
      <c r="W236" s="137"/>
      <c r="X236" s="137"/>
      <c r="Y236" s="137"/>
      <c r="Z236" s="137"/>
    </row>
    <row r="237" ht="41.4" spans="1:26">
      <c r="A237" s="108" t="s">
        <v>770</v>
      </c>
      <c r="B237" s="92" t="s">
        <v>771</v>
      </c>
      <c r="C237" s="92" t="s">
        <v>767</v>
      </c>
      <c r="D237" s="100" t="s">
        <v>772</v>
      </c>
      <c r="E237" s="92" t="s">
        <v>773</v>
      </c>
      <c r="F237" s="92" t="s">
        <v>38</v>
      </c>
      <c r="G237" s="108" t="s">
        <v>11</v>
      </c>
      <c r="H237" s="92"/>
      <c r="I237" s="70" t="s">
        <v>39</v>
      </c>
      <c r="J237" s="137"/>
      <c r="K237" s="137"/>
      <c r="L237" s="137"/>
      <c r="M237" s="137"/>
      <c r="N237" s="137"/>
      <c r="O237" s="137"/>
      <c r="P237" s="137"/>
      <c r="Q237" s="137"/>
      <c r="R237" s="137"/>
      <c r="S237" s="137"/>
      <c r="T237" s="137"/>
      <c r="U237" s="137"/>
      <c r="V237" s="137"/>
      <c r="W237" s="137"/>
      <c r="X237" s="137"/>
      <c r="Y237" s="137"/>
      <c r="Z237" s="137"/>
    </row>
    <row r="238" ht="55.2" spans="1:26">
      <c r="A238" s="108" t="s">
        <v>774</v>
      </c>
      <c r="B238" s="92" t="s">
        <v>775</v>
      </c>
      <c r="C238" s="92" t="s">
        <v>767</v>
      </c>
      <c r="D238" s="100" t="s">
        <v>776</v>
      </c>
      <c r="E238" s="92" t="s">
        <v>777</v>
      </c>
      <c r="F238" s="92" t="s">
        <v>38</v>
      </c>
      <c r="G238" s="108" t="s">
        <v>11</v>
      </c>
      <c r="H238" s="92"/>
      <c r="I238" s="70" t="s">
        <v>39</v>
      </c>
      <c r="J238" s="137"/>
      <c r="K238" s="137"/>
      <c r="L238" s="137"/>
      <c r="M238" s="137"/>
      <c r="N238" s="137"/>
      <c r="O238" s="137"/>
      <c r="P238" s="137"/>
      <c r="Q238" s="137"/>
      <c r="R238" s="137"/>
      <c r="S238" s="137"/>
      <c r="T238" s="137"/>
      <c r="U238" s="137"/>
      <c r="V238" s="137"/>
      <c r="W238" s="137"/>
      <c r="X238" s="137"/>
      <c r="Y238" s="137"/>
      <c r="Z238" s="137"/>
    </row>
    <row r="239" ht="41.4" spans="1:26">
      <c r="A239" s="108" t="s">
        <v>778</v>
      </c>
      <c r="B239" s="92" t="s">
        <v>779</v>
      </c>
      <c r="C239" s="92" t="s">
        <v>767</v>
      </c>
      <c r="D239" s="100" t="s">
        <v>780</v>
      </c>
      <c r="E239" s="92" t="s">
        <v>781</v>
      </c>
      <c r="F239" s="92" t="s">
        <v>38</v>
      </c>
      <c r="G239" s="108" t="s">
        <v>11</v>
      </c>
      <c r="H239" s="92"/>
      <c r="I239" s="70" t="s">
        <v>39</v>
      </c>
      <c r="J239" s="137"/>
      <c r="K239" s="137"/>
      <c r="L239" s="137"/>
      <c r="M239" s="137"/>
      <c r="N239" s="137"/>
      <c r="O239" s="137"/>
      <c r="P239" s="137"/>
      <c r="Q239" s="137"/>
      <c r="R239" s="137"/>
      <c r="S239" s="137"/>
      <c r="T239" s="137"/>
      <c r="U239" s="137"/>
      <c r="V239" s="137"/>
      <c r="W239" s="137"/>
      <c r="X239" s="137"/>
      <c r="Y239" s="137"/>
      <c r="Z239" s="137"/>
    </row>
    <row r="240" ht="55.2" spans="1:26">
      <c r="A240" s="108" t="s">
        <v>782</v>
      </c>
      <c r="B240" s="92" t="s">
        <v>783</v>
      </c>
      <c r="C240" s="92" t="s">
        <v>767</v>
      </c>
      <c r="D240" s="100" t="s">
        <v>784</v>
      </c>
      <c r="E240" s="92" t="s">
        <v>785</v>
      </c>
      <c r="F240" s="92" t="s">
        <v>38</v>
      </c>
      <c r="G240" s="108" t="s">
        <v>11</v>
      </c>
      <c r="H240" s="92"/>
      <c r="I240" s="70" t="s">
        <v>39</v>
      </c>
      <c r="J240" s="137"/>
      <c r="K240" s="137"/>
      <c r="L240" s="137"/>
      <c r="M240" s="137"/>
      <c r="N240" s="137"/>
      <c r="O240" s="137"/>
      <c r="P240" s="137"/>
      <c r="Q240" s="137"/>
      <c r="R240" s="137"/>
      <c r="S240" s="137"/>
      <c r="T240" s="137"/>
      <c r="U240" s="137"/>
      <c r="V240" s="137"/>
      <c r="W240" s="137"/>
      <c r="X240" s="137"/>
      <c r="Y240" s="137"/>
      <c r="Z240" s="137"/>
    </row>
    <row r="241" ht="41.4" spans="1:26">
      <c r="A241" s="108" t="s">
        <v>786</v>
      </c>
      <c r="B241" s="92" t="s">
        <v>787</v>
      </c>
      <c r="C241" s="92" t="s">
        <v>767</v>
      </c>
      <c r="D241" s="100" t="s">
        <v>788</v>
      </c>
      <c r="E241" s="92" t="s">
        <v>789</v>
      </c>
      <c r="F241" s="92" t="s">
        <v>38</v>
      </c>
      <c r="G241" s="108" t="s">
        <v>11</v>
      </c>
      <c r="H241" s="92"/>
      <c r="I241" s="70" t="s">
        <v>39</v>
      </c>
      <c r="J241" s="137"/>
      <c r="K241" s="137"/>
      <c r="L241" s="137"/>
      <c r="M241" s="137"/>
      <c r="N241" s="137"/>
      <c r="O241" s="137"/>
      <c r="P241" s="137"/>
      <c r="Q241" s="137"/>
      <c r="R241" s="137"/>
      <c r="S241" s="137"/>
      <c r="T241" s="137"/>
      <c r="U241" s="137"/>
      <c r="V241" s="137"/>
      <c r="W241" s="137"/>
      <c r="X241" s="137"/>
      <c r="Y241" s="137"/>
      <c r="Z241" s="137"/>
    </row>
    <row r="242" ht="55.2" spans="1:26">
      <c r="A242" s="108" t="s">
        <v>790</v>
      </c>
      <c r="B242" s="92" t="s">
        <v>791</v>
      </c>
      <c r="C242" s="92" t="s">
        <v>767</v>
      </c>
      <c r="D242" s="100" t="s">
        <v>792</v>
      </c>
      <c r="E242" s="92" t="s">
        <v>793</v>
      </c>
      <c r="F242" s="92" t="s">
        <v>38</v>
      </c>
      <c r="G242" s="108" t="s">
        <v>11</v>
      </c>
      <c r="H242" s="92"/>
      <c r="I242" s="70" t="s">
        <v>39</v>
      </c>
      <c r="J242" s="137"/>
      <c r="K242" s="137"/>
      <c r="L242" s="137"/>
      <c r="M242" s="137"/>
      <c r="N242" s="137"/>
      <c r="O242" s="137"/>
      <c r="P242" s="137"/>
      <c r="Q242" s="137"/>
      <c r="R242" s="137"/>
      <c r="S242" s="137"/>
      <c r="T242" s="137"/>
      <c r="U242" s="137"/>
      <c r="V242" s="137"/>
      <c r="W242" s="137"/>
      <c r="X242" s="137"/>
      <c r="Y242" s="137"/>
      <c r="Z242" s="137"/>
    </row>
    <row r="243" ht="41.4" spans="1:26">
      <c r="A243" s="108" t="s">
        <v>794</v>
      </c>
      <c r="B243" s="92" t="s">
        <v>795</v>
      </c>
      <c r="C243" s="92" t="s">
        <v>767</v>
      </c>
      <c r="D243" s="100" t="s">
        <v>796</v>
      </c>
      <c r="E243" s="92" t="s">
        <v>797</v>
      </c>
      <c r="F243" s="92" t="s">
        <v>38</v>
      </c>
      <c r="G243" s="108" t="s">
        <v>11</v>
      </c>
      <c r="H243" s="92"/>
      <c r="I243" s="70" t="s">
        <v>39</v>
      </c>
      <c r="J243" s="137"/>
      <c r="K243" s="137"/>
      <c r="L243" s="137"/>
      <c r="M243" s="137"/>
      <c r="N243" s="137"/>
      <c r="O243" s="137"/>
      <c r="P243" s="137"/>
      <c r="Q243" s="137"/>
      <c r="R243" s="137"/>
      <c r="S243" s="137"/>
      <c r="T243" s="137"/>
      <c r="U243" s="137"/>
      <c r="V243" s="137"/>
      <c r="W243" s="137"/>
      <c r="X243" s="137"/>
      <c r="Y243" s="137"/>
      <c r="Z243" s="137"/>
    </row>
    <row r="244" ht="55.2" spans="1:26">
      <c r="A244" s="108" t="s">
        <v>798</v>
      </c>
      <c r="B244" s="92" t="s">
        <v>799</v>
      </c>
      <c r="C244" s="92" t="s">
        <v>767</v>
      </c>
      <c r="D244" s="100" t="s">
        <v>800</v>
      </c>
      <c r="E244" s="92" t="s">
        <v>801</v>
      </c>
      <c r="F244" s="92" t="s">
        <v>38</v>
      </c>
      <c r="G244" s="108" t="s">
        <v>11</v>
      </c>
      <c r="H244" s="92"/>
      <c r="I244" s="70" t="s">
        <v>39</v>
      </c>
      <c r="J244" s="137"/>
      <c r="K244" s="137"/>
      <c r="L244" s="137"/>
      <c r="M244" s="137"/>
      <c r="N244" s="137"/>
      <c r="O244" s="137"/>
      <c r="P244" s="137"/>
      <c r="Q244" s="137"/>
      <c r="R244" s="137"/>
      <c r="S244" s="137"/>
      <c r="T244" s="137"/>
      <c r="U244" s="137"/>
      <c r="V244" s="137"/>
      <c r="W244" s="137"/>
      <c r="X244" s="137"/>
      <c r="Y244" s="137"/>
      <c r="Z244" s="137"/>
    </row>
    <row r="245" s="119" customFormat="1" ht="27.6" spans="1:31">
      <c r="A245" s="89" t="s">
        <v>802</v>
      </c>
      <c r="B245" s="89"/>
      <c r="C245" s="89"/>
      <c r="D245" s="89"/>
      <c r="E245" s="89"/>
      <c r="F245" s="89"/>
      <c r="G245" s="89"/>
      <c r="H245" s="89"/>
      <c r="I245" s="89"/>
      <c r="J245" s="138"/>
      <c r="K245" s="138"/>
      <c r="L245" s="138"/>
      <c r="M245" s="138"/>
      <c r="N245" s="138"/>
      <c r="O245" s="138"/>
      <c r="P245" s="138"/>
      <c r="Q245" s="138"/>
      <c r="R245" s="138"/>
      <c r="S245" s="138"/>
      <c r="T245" s="138"/>
      <c r="U245" s="138"/>
      <c r="V245" s="138"/>
      <c r="W245" s="138"/>
      <c r="X245" s="138"/>
      <c r="Y245" s="138"/>
      <c r="Z245" s="138"/>
      <c r="AA245" s="140"/>
      <c r="AB245" s="140"/>
      <c r="AC245" s="140"/>
      <c r="AD245" s="140"/>
      <c r="AE245" s="140"/>
    </row>
    <row r="246" ht="15.6" spans="1:26">
      <c r="A246" s="107" t="s">
        <v>24</v>
      </c>
      <c r="B246" s="107" t="s">
        <v>25</v>
      </c>
      <c r="C246" s="107" t="s">
        <v>26</v>
      </c>
      <c r="D246" s="107" t="s">
        <v>27</v>
      </c>
      <c r="E246" s="107" t="s">
        <v>28</v>
      </c>
      <c r="F246" s="107" t="s">
        <v>29</v>
      </c>
      <c r="G246" s="107" t="s">
        <v>30</v>
      </c>
      <c r="H246" s="128" t="s">
        <v>31</v>
      </c>
      <c r="I246" s="128" t="s">
        <v>32</v>
      </c>
      <c r="J246" s="137"/>
      <c r="K246" s="137"/>
      <c r="L246" s="137"/>
      <c r="M246" s="137"/>
      <c r="N246" s="137"/>
      <c r="O246" s="137"/>
      <c r="P246" s="137"/>
      <c r="Q246" s="137"/>
      <c r="R246" s="137"/>
      <c r="S246" s="137"/>
      <c r="T246" s="137"/>
      <c r="U246" s="137"/>
      <c r="V246" s="137"/>
      <c r="W246" s="137"/>
      <c r="X246" s="137"/>
      <c r="Y246" s="137"/>
      <c r="Z246" s="137"/>
    </row>
    <row r="247" ht="124.2" spans="1:26">
      <c r="A247" s="108" t="s">
        <v>803</v>
      </c>
      <c r="B247" s="92" t="s">
        <v>804</v>
      </c>
      <c r="C247" s="92" t="s">
        <v>805</v>
      </c>
      <c r="D247" s="100" t="s">
        <v>806</v>
      </c>
      <c r="E247" s="92" t="s">
        <v>807</v>
      </c>
      <c r="F247" s="92" t="s">
        <v>38</v>
      </c>
      <c r="G247" s="108" t="s">
        <v>11</v>
      </c>
      <c r="H247" s="92"/>
      <c r="I247" s="70" t="s">
        <v>39</v>
      </c>
      <c r="J247" s="137"/>
      <c r="K247" s="137"/>
      <c r="L247" s="137"/>
      <c r="M247" s="137"/>
      <c r="N247" s="137"/>
      <c r="O247" s="137"/>
      <c r="P247" s="137"/>
      <c r="Q247" s="137"/>
      <c r="R247" s="137"/>
      <c r="S247" s="137"/>
      <c r="T247" s="137"/>
      <c r="U247" s="137"/>
      <c r="V247" s="137"/>
      <c r="W247" s="137"/>
      <c r="X247" s="137"/>
      <c r="Y247" s="137"/>
      <c r="Z247" s="137"/>
    </row>
    <row r="248" ht="41.4" spans="1:26">
      <c r="A248" s="108" t="s">
        <v>808</v>
      </c>
      <c r="B248" s="92" t="s">
        <v>809</v>
      </c>
      <c r="C248" s="92" t="s">
        <v>805</v>
      </c>
      <c r="D248" s="100" t="s">
        <v>810</v>
      </c>
      <c r="E248" s="92" t="s">
        <v>811</v>
      </c>
      <c r="F248" s="92" t="s">
        <v>38</v>
      </c>
      <c r="G248" s="108" t="s">
        <v>11</v>
      </c>
      <c r="H248" s="92"/>
      <c r="I248" s="70" t="s">
        <v>39</v>
      </c>
      <c r="J248" s="137"/>
      <c r="K248" s="137"/>
      <c r="L248" s="137"/>
      <c r="M248" s="137"/>
      <c r="N248" s="137"/>
      <c r="O248" s="137"/>
      <c r="P248" s="137"/>
      <c r="Q248" s="137"/>
      <c r="R248" s="137"/>
      <c r="S248" s="137"/>
      <c r="T248" s="137"/>
      <c r="U248" s="137"/>
      <c r="V248" s="137"/>
      <c r="W248" s="137"/>
      <c r="X248" s="137"/>
      <c r="Y248" s="137"/>
      <c r="Z248" s="137"/>
    </row>
    <row r="249" ht="124.2" spans="1:26">
      <c r="A249" s="108" t="s">
        <v>812</v>
      </c>
      <c r="B249" s="92" t="s">
        <v>813</v>
      </c>
      <c r="C249" s="92" t="s">
        <v>805</v>
      </c>
      <c r="D249" s="100" t="s">
        <v>814</v>
      </c>
      <c r="E249" s="92" t="s">
        <v>815</v>
      </c>
      <c r="F249" s="92" t="s">
        <v>38</v>
      </c>
      <c r="G249" s="108" t="s">
        <v>11</v>
      </c>
      <c r="H249" s="92"/>
      <c r="I249" s="70" t="s">
        <v>39</v>
      </c>
      <c r="J249" s="137"/>
      <c r="K249" s="137"/>
      <c r="L249" s="137"/>
      <c r="M249" s="137"/>
      <c r="N249" s="137"/>
      <c r="O249" s="137"/>
      <c r="P249" s="137"/>
      <c r="Q249" s="137"/>
      <c r="R249" s="137"/>
      <c r="S249" s="137"/>
      <c r="T249" s="137"/>
      <c r="U249" s="137"/>
      <c r="V249" s="137"/>
      <c r="W249" s="137"/>
      <c r="X249" s="137"/>
      <c r="Y249" s="137"/>
      <c r="Z249" s="137"/>
    </row>
    <row r="250" ht="41.4" spans="1:26">
      <c r="A250" s="108" t="s">
        <v>816</v>
      </c>
      <c r="B250" s="92" t="s">
        <v>817</v>
      </c>
      <c r="C250" s="92" t="s">
        <v>805</v>
      </c>
      <c r="D250" s="100" t="s">
        <v>818</v>
      </c>
      <c r="E250" s="92" t="s">
        <v>819</v>
      </c>
      <c r="F250" s="92" t="s">
        <v>38</v>
      </c>
      <c r="G250" s="108" t="s">
        <v>11</v>
      </c>
      <c r="H250" s="92"/>
      <c r="I250" s="70" t="s">
        <v>39</v>
      </c>
      <c r="J250" s="137"/>
      <c r="K250" s="137"/>
      <c r="L250" s="137"/>
      <c r="M250" s="137"/>
      <c r="N250" s="137"/>
      <c r="O250" s="137"/>
      <c r="P250" s="137"/>
      <c r="Q250" s="137"/>
      <c r="R250" s="137"/>
      <c r="S250" s="137"/>
      <c r="T250" s="137"/>
      <c r="U250" s="137"/>
      <c r="V250" s="137"/>
      <c r="W250" s="137"/>
      <c r="X250" s="137"/>
      <c r="Y250" s="137"/>
      <c r="Z250" s="137"/>
    </row>
    <row r="251" ht="55.2" spans="1:26">
      <c r="A251" s="108" t="s">
        <v>820</v>
      </c>
      <c r="B251" s="92" t="s">
        <v>821</v>
      </c>
      <c r="C251" s="92" t="s">
        <v>805</v>
      </c>
      <c r="D251" s="100" t="s">
        <v>822</v>
      </c>
      <c r="E251" s="92" t="s">
        <v>823</v>
      </c>
      <c r="F251" s="92" t="s">
        <v>38</v>
      </c>
      <c r="G251" s="108" t="s">
        <v>11</v>
      </c>
      <c r="H251" s="92"/>
      <c r="I251" s="70" t="s">
        <v>39</v>
      </c>
      <c r="J251" s="137"/>
      <c r="K251" s="137"/>
      <c r="L251" s="137"/>
      <c r="M251" s="137"/>
      <c r="N251" s="137"/>
      <c r="O251" s="137"/>
      <c r="P251" s="137"/>
      <c r="Q251" s="137"/>
      <c r="R251" s="137"/>
      <c r="S251" s="137"/>
      <c r="T251" s="137"/>
      <c r="U251" s="137"/>
      <c r="V251" s="137"/>
      <c r="W251" s="137"/>
      <c r="X251" s="137"/>
      <c r="Y251" s="137"/>
      <c r="Z251" s="137"/>
    </row>
    <row r="252" ht="41.4" spans="1:26">
      <c r="A252" s="108" t="s">
        <v>824</v>
      </c>
      <c r="B252" s="92" t="s">
        <v>825</v>
      </c>
      <c r="C252" s="92" t="s">
        <v>805</v>
      </c>
      <c r="D252" s="100" t="s">
        <v>826</v>
      </c>
      <c r="E252" s="92" t="s">
        <v>827</v>
      </c>
      <c r="F252" s="92" t="s">
        <v>38</v>
      </c>
      <c r="G252" s="108" t="s">
        <v>11</v>
      </c>
      <c r="H252" s="92"/>
      <c r="I252" s="70" t="s">
        <v>39</v>
      </c>
      <c r="J252" s="137"/>
      <c r="K252" s="137"/>
      <c r="L252" s="137"/>
      <c r="M252" s="137"/>
      <c r="N252" s="137"/>
      <c r="O252" s="137"/>
      <c r="P252" s="137"/>
      <c r="Q252" s="137"/>
      <c r="R252" s="137"/>
      <c r="S252" s="137"/>
      <c r="T252" s="137"/>
      <c r="U252" s="137"/>
      <c r="V252" s="137"/>
      <c r="W252" s="137"/>
      <c r="X252" s="137"/>
      <c r="Y252" s="137"/>
      <c r="Z252" s="137"/>
    </row>
    <row r="253" ht="55.2" spans="1:26">
      <c r="A253" s="108" t="s">
        <v>828</v>
      </c>
      <c r="B253" s="92" t="s">
        <v>829</v>
      </c>
      <c r="C253" s="92" t="s">
        <v>805</v>
      </c>
      <c r="D253" s="100" t="s">
        <v>830</v>
      </c>
      <c r="E253" s="92" t="s">
        <v>831</v>
      </c>
      <c r="F253" s="92" t="s">
        <v>38</v>
      </c>
      <c r="G253" s="108" t="s">
        <v>11</v>
      </c>
      <c r="H253" s="92"/>
      <c r="I253" s="70" t="s">
        <v>39</v>
      </c>
      <c r="J253" s="137"/>
      <c r="K253" s="137"/>
      <c r="L253" s="137"/>
      <c r="M253" s="137"/>
      <c r="N253" s="137"/>
      <c r="O253" s="137"/>
      <c r="P253" s="137"/>
      <c r="Q253" s="137"/>
      <c r="R253" s="137"/>
      <c r="S253" s="137"/>
      <c r="T253" s="137"/>
      <c r="U253" s="137"/>
      <c r="V253" s="137"/>
      <c r="W253" s="137"/>
      <c r="X253" s="137"/>
      <c r="Y253" s="137"/>
      <c r="Z253" s="137"/>
    </row>
    <row r="254" ht="41.4" spans="1:26">
      <c r="A254" s="108" t="s">
        <v>832</v>
      </c>
      <c r="B254" s="92" t="s">
        <v>833</v>
      </c>
      <c r="C254" s="92" t="s">
        <v>805</v>
      </c>
      <c r="D254" s="100" t="s">
        <v>834</v>
      </c>
      <c r="E254" s="92" t="s">
        <v>835</v>
      </c>
      <c r="F254" s="92" t="s">
        <v>38</v>
      </c>
      <c r="G254" s="108" t="s">
        <v>11</v>
      </c>
      <c r="H254" s="142"/>
      <c r="I254" s="70" t="s">
        <v>39</v>
      </c>
      <c r="J254" s="137"/>
      <c r="K254" s="137"/>
      <c r="L254" s="137"/>
      <c r="M254" s="137"/>
      <c r="N254" s="137"/>
      <c r="O254" s="137"/>
      <c r="P254" s="137"/>
      <c r="Q254" s="137"/>
      <c r="R254" s="137"/>
      <c r="S254" s="137"/>
      <c r="T254" s="137"/>
      <c r="U254" s="137"/>
      <c r="V254" s="137"/>
      <c r="W254" s="137"/>
      <c r="X254" s="137"/>
      <c r="Y254" s="137"/>
      <c r="Z254" s="137"/>
    </row>
    <row r="255" ht="55.2" spans="1:26">
      <c r="A255" s="108" t="s">
        <v>836</v>
      </c>
      <c r="B255" s="92" t="s">
        <v>837</v>
      </c>
      <c r="C255" s="92" t="s">
        <v>805</v>
      </c>
      <c r="D255" s="100" t="s">
        <v>838</v>
      </c>
      <c r="E255" s="92" t="s">
        <v>839</v>
      </c>
      <c r="F255" s="92" t="s">
        <v>38</v>
      </c>
      <c r="G255" s="108" t="s">
        <v>11</v>
      </c>
      <c r="H255" s="142"/>
      <c r="I255" s="70" t="s">
        <v>39</v>
      </c>
      <c r="J255" s="137"/>
      <c r="K255" s="137"/>
      <c r="L255" s="137"/>
      <c r="M255" s="137"/>
      <c r="N255" s="137"/>
      <c r="O255" s="137"/>
      <c r="P255" s="137"/>
      <c r="Q255" s="137"/>
      <c r="R255" s="137"/>
      <c r="S255" s="137"/>
      <c r="T255" s="137"/>
      <c r="U255" s="137"/>
      <c r="V255" s="137"/>
      <c r="W255" s="137"/>
      <c r="X255" s="137"/>
      <c r="Y255" s="137"/>
      <c r="Z255" s="137"/>
    </row>
    <row r="256" ht="41.4" spans="1:26">
      <c r="A256" s="108" t="s">
        <v>840</v>
      </c>
      <c r="B256" s="92" t="s">
        <v>841</v>
      </c>
      <c r="C256" s="92" t="s">
        <v>805</v>
      </c>
      <c r="D256" s="100" t="s">
        <v>842</v>
      </c>
      <c r="E256" s="92" t="s">
        <v>843</v>
      </c>
      <c r="F256" s="92" t="s">
        <v>38</v>
      </c>
      <c r="G256" s="108" t="s">
        <v>11</v>
      </c>
      <c r="H256" s="92"/>
      <c r="I256" s="70" t="s">
        <v>39</v>
      </c>
      <c r="J256" s="137"/>
      <c r="K256" s="137"/>
      <c r="L256" s="137"/>
      <c r="M256" s="137"/>
      <c r="N256" s="137"/>
      <c r="O256" s="137"/>
      <c r="P256" s="137"/>
      <c r="Q256" s="137"/>
      <c r="R256" s="137"/>
      <c r="S256" s="137"/>
      <c r="T256" s="137"/>
      <c r="U256" s="137"/>
      <c r="V256" s="137"/>
      <c r="W256" s="137"/>
      <c r="X256" s="137"/>
      <c r="Y256" s="137"/>
      <c r="Z256" s="137"/>
    </row>
    <row r="257" ht="55.2" spans="1:26">
      <c r="A257" s="108" t="s">
        <v>844</v>
      </c>
      <c r="B257" s="92" t="s">
        <v>845</v>
      </c>
      <c r="C257" s="92" t="s">
        <v>805</v>
      </c>
      <c r="D257" s="100" t="s">
        <v>846</v>
      </c>
      <c r="E257" s="92" t="s">
        <v>847</v>
      </c>
      <c r="F257" s="92" t="s">
        <v>38</v>
      </c>
      <c r="G257" s="108" t="s">
        <v>11</v>
      </c>
      <c r="H257" s="92"/>
      <c r="I257" s="70" t="s">
        <v>39</v>
      </c>
      <c r="J257" s="137"/>
      <c r="K257" s="137"/>
      <c r="L257" s="137"/>
      <c r="M257" s="137"/>
      <c r="N257" s="137"/>
      <c r="O257" s="137"/>
      <c r="P257" s="137"/>
      <c r="Q257" s="137"/>
      <c r="R257" s="137"/>
      <c r="S257" s="137"/>
      <c r="T257" s="137"/>
      <c r="U257" s="137"/>
      <c r="V257" s="137"/>
      <c r="W257" s="137"/>
      <c r="X257" s="137"/>
      <c r="Y257" s="137"/>
      <c r="Z257" s="137"/>
    </row>
    <row r="258" ht="41.4" spans="1:26">
      <c r="A258" s="108" t="s">
        <v>848</v>
      </c>
      <c r="B258" s="92" t="s">
        <v>849</v>
      </c>
      <c r="C258" s="92" t="s">
        <v>805</v>
      </c>
      <c r="D258" s="100" t="s">
        <v>850</v>
      </c>
      <c r="E258" s="92" t="s">
        <v>851</v>
      </c>
      <c r="F258" s="92" t="s">
        <v>38</v>
      </c>
      <c r="G258" s="108" t="s">
        <v>11</v>
      </c>
      <c r="H258" s="92"/>
      <c r="I258" s="70" t="s">
        <v>39</v>
      </c>
      <c r="J258" s="137"/>
      <c r="K258" s="137"/>
      <c r="L258" s="137"/>
      <c r="M258" s="137"/>
      <c r="N258" s="137"/>
      <c r="O258" s="137"/>
      <c r="P258" s="137"/>
      <c r="Q258" s="137"/>
      <c r="R258" s="137"/>
      <c r="S258" s="137"/>
      <c r="T258" s="137"/>
      <c r="U258" s="137"/>
      <c r="V258" s="137"/>
      <c r="W258" s="137"/>
      <c r="X258" s="137"/>
      <c r="Y258" s="137"/>
      <c r="Z258" s="137"/>
    </row>
    <row r="259" ht="55.2" spans="1:26">
      <c r="A259" s="108" t="s">
        <v>852</v>
      </c>
      <c r="B259" s="92" t="s">
        <v>853</v>
      </c>
      <c r="C259" s="92" t="s">
        <v>805</v>
      </c>
      <c r="D259" s="100" t="s">
        <v>854</v>
      </c>
      <c r="E259" s="92" t="s">
        <v>855</v>
      </c>
      <c r="F259" s="92" t="s">
        <v>38</v>
      </c>
      <c r="G259" s="108" t="s">
        <v>11</v>
      </c>
      <c r="H259" s="92"/>
      <c r="I259" s="70" t="s">
        <v>39</v>
      </c>
      <c r="J259" s="137"/>
      <c r="K259" s="137"/>
      <c r="L259" s="137"/>
      <c r="M259" s="137"/>
      <c r="N259" s="137"/>
      <c r="O259" s="137"/>
      <c r="P259" s="137"/>
      <c r="Q259" s="137"/>
      <c r="R259" s="137"/>
      <c r="S259" s="137"/>
      <c r="T259" s="137"/>
      <c r="U259" s="137"/>
      <c r="V259" s="137"/>
      <c r="W259" s="137"/>
      <c r="X259" s="137"/>
      <c r="Y259" s="137"/>
      <c r="Z259" s="137"/>
    </row>
    <row r="260" ht="41.4" spans="1:26">
      <c r="A260" s="108" t="s">
        <v>856</v>
      </c>
      <c r="B260" s="92" t="s">
        <v>857</v>
      </c>
      <c r="C260" s="92" t="s">
        <v>805</v>
      </c>
      <c r="D260" s="100" t="s">
        <v>858</v>
      </c>
      <c r="E260" s="92" t="s">
        <v>859</v>
      </c>
      <c r="F260" s="92" t="s">
        <v>38</v>
      </c>
      <c r="G260" s="108" t="s">
        <v>11</v>
      </c>
      <c r="H260" s="92"/>
      <c r="I260" s="70" t="s">
        <v>39</v>
      </c>
      <c r="J260" s="137"/>
      <c r="K260" s="137"/>
      <c r="L260" s="137"/>
      <c r="M260" s="137"/>
      <c r="N260" s="137"/>
      <c r="O260" s="137"/>
      <c r="P260" s="137"/>
      <c r="Q260" s="137"/>
      <c r="R260" s="137"/>
      <c r="S260" s="137"/>
      <c r="T260" s="137"/>
      <c r="U260" s="137"/>
      <c r="V260" s="137"/>
      <c r="W260" s="137"/>
      <c r="X260" s="137"/>
      <c r="Y260" s="137"/>
      <c r="Z260" s="137"/>
    </row>
    <row r="261" ht="55.2" spans="1:26">
      <c r="A261" s="108" t="s">
        <v>860</v>
      </c>
      <c r="B261" s="92" t="s">
        <v>861</v>
      </c>
      <c r="C261" s="92" t="s">
        <v>805</v>
      </c>
      <c r="D261" s="100" t="s">
        <v>862</v>
      </c>
      <c r="E261" s="92" t="s">
        <v>863</v>
      </c>
      <c r="F261" s="92" t="s">
        <v>38</v>
      </c>
      <c r="G261" s="108" t="s">
        <v>11</v>
      </c>
      <c r="H261" s="92"/>
      <c r="I261" s="70" t="s">
        <v>39</v>
      </c>
      <c r="J261" s="137"/>
      <c r="K261" s="137"/>
      <c r="L261" s="137"/>
      <c r="M261" s="137"/>
      <c r="N261" s="137"/>
      <c r="O261" s="137"/>
      <c r="P261" s="137"/>
      <c r="Q261" s="137"/>
      <c r="R261" s="137"/>
      <c r="S261" s="137"/>
      <c r="T261" s="137"/>
      <c r="U261" s="137"/>
      <c r="V261" s="137"/>
      <c r="W261" s="137"/>
      <c r="X261" s="137"/>
      <c r="Y261" s="137"/>
      <c r="Z261" s="137"/>
    </row>
    <row r="262" ht="41.4" spans="1:26">
      <c r="A262" s="108" t="s">
        <v>864</v>
      </c>
      <c r="B262" s="92" t="s">
        <v>865</v>
      </c>
      <c r="C262" s="92" t="s">
        <v>805</v>
      </c>
      <c r="D262" s="100" t="s">
        <v>866</v>
      </c>
      <c r="E262" s="92" t="s">
        <v>867</v>
      </c>
      <c r="F262" s="92" t="s">
        <v>38</v>
      </c>
      <c r="G262" s="108" t="s">
        <v>11</v>
      </c>
      <c r="H262" s="92"/>
      <c r="I262" s="70" t="s">
        <v>39</v>
      </c>
      <c r="J262" s="137"/>
      <c r="K262" s="137"/>
      <c r="L262" s="137"/>
      <c r="M262" s="137"/>
      <c r="N262" s="137"/>
      <c r="O262" s="137"/>
      <c r="P262" s="137"/>
      <c r="Q262" s="137"/>
      <c r="R262" s="137"/>
      <c r="S262" s="137"/>
      <c r="T262" s="137"/>
      <c r="U262" s="137"/>
      <c r="V262" s="137"/>
      <c r="W262" s="137"/>
      <c r="X262" s="137"/>
      <c r="Y262" s="137"/>
      <c r="Z262" s="137"/>
    </row>
    <row r="263" ht="55.2" spans="1:26">
      <c r="A263" s="108" t="s">
        <v>868</v>
      </c>
      <c r="B263" s="92" t="s">
        <v>869</v>
      </c>
      <c r="C263" s="92" t="s">
        <v>805</v>
      </c>
      <c r="D263" s="100" t="s">
        <v>870</v>
      </c>
      <c r="E263" s="92" t="s">
        <v>871</v>
      </c>
      <c r="F263" s="92" t="s">
        <v>38</v>
      </c>
      <c r="G263" s="108" t="s">
        <v>11</v>
      </c>
      <c r="H263" s="92"/>
      <c r="I263" s="70" t="s">
        <v>39</v>
      </c>
      <c r="J263" s="137"/>
      <c r="K263" s="137"/>
      <c r="L263" s="137"/>
      <c r="M263" s="137"/>
      <c r="N263" s="137"/>
      <c r="O263" s="137"/>
      <c r="P263" s="137"/>
      <c r="Q263" s="137"/>
      <c r="R263" s="137"/>
      <c r="S263" s="137"/>
      <c r="T263" s="137"/>
      <c r="U263" s="137"/>
      <c r="V263" s="137"/>
      <c r="W263" s="137"/>
      <c r="X263" s="137"/>
      <c r="Y263" s="137"/>
      <c r="Z263" s="137"/>
    </row>
    <row r="264" ht="124.2" spans="1:26">
      <c r="A264" s="108" t="s">
        <v>872</v>
      </c>
      <c r="B264" s="92" t="s">
        <v>804</v>
      </c>
      <c r="C264" s="92" t="s">
        <v>805</v>
      </c>
      <c r="D264" s="100" t="s">
        <v>806</v>
      </c>
      <c r="E264" s="92" t="s">
        <v>807</v>
      </c>
      <c r="F264" s="92" t="s">
        <v>38</v>
      </c>
      <c r="G264" s="108" t="s">
        <v>11</v>
      </c>
      <c r="H264" s="92"/>
      <c r="I264" s="70" t="s">
        <v>39</v>
      </c>
      <c r="J264" s="137"/>
      <c r="K264" s="137"/>
      <c r="L264" s="137"/>
      <c r="M264" s="137"/>
      <c r="N264" s="137"/>
      <c r="O264" s="137"/>
      <c r="P264" s="137"/>
      <c r="Q264" s="137"/>
      <c r="R264" s="137"/>
      <c r="S264" s="137"/>
      <c r="T264" s="137"/>
      <c r="U264" s="137"/>
      <c r="V264" s="137"/>
      <c r="W264" s="137"/>
      <c r="X264" s="137"/>
      <c r="Y264" s="137"/>
      <c r="Z264" s="137"/>
    </row>
    <row r="265" ht="41.4" spans="1:26">
      <c r="A265" s="108" t="s">
        <v>873</v>
      </c>
      <c r="B265" s="92" t="s">
        <v>809</v>
      </c>
      <c r="C265" s="92" t="s">
        <v>805</v>
      </c>
      <c r="D265" s="100" t="s">
        <v>810</v>
      </c>
      <c r="E265" s="92" t="s">
        <v>811</v>
      </c>
      <c r="F265" s="92" t="s">
        <v>38</v>
      </c>
      <c r="G265" s="108" t="s">
        <v>11</v>
      </c>
      <c r="H265" s="92"/>
      <c r="I265" s="70" t="s">
        <v>39</v>
      </c>
      <c r="J265" s="137"/>
      <c r="K265" s="137"/>
      <c r="L265" s="137"/>
      <c r="M265" s="137"/>
      <c r="N265" s="137"/>
      <c r="O265" s="137"/>
      <c r="P265" s="137"/>
      <c r="Q265" s="137"/>
      <c r="R265" s="137"/>
      <c r="S265" s="137"/>
      <c r="T265" s="137"/>
      <c r="U265" s="137"/>
      <c r="V265" s="137"/>
      <c r="W265" s="137"/>
      <c r="X265" s="137"/>
      <c r="Y265" s="137"/>
      <c r="Z265" s="137"/>
    </row>
    <row r="266" ht="124.2" spans="1:26">
      <c r="A266" s="108" t="s">
        <v>874</v>
      </c>
      <c r="B266" s="92" t="s">
        <v>813</v>
      </c>
      <c r="C266" s="92" t="s">
        <v>805</v>
      </c>
      <c r="D266" s="100" t="s">
        <v>814</v>
      </c>
      <c r="E266" s="92" t="s">
        <v>815</v>
      </c>
      <c r="F266" s="92" t="s">
        <v>38</v>
      </c>
      <c r="G266" s="108" t="s">
        <v>11</v>
      </c>
      <c r="H266" s="92"/>
      <c r="I266" s="70" t="s">
        <v>39</v>
      </c>
      <c r="J266" s="137"/>
      <c r="K266" s="137"/>
      <c r="L266" s="137"/>
      <c r="M266" s="137"/>
      <c r="N266" s="137"/>
      <c r="O266" s="137"/>
      <c r="P266" s="137"/>
      <c r="Q266" s="137"/>
      <c r="R266" s="137"/>
      <c r="S266" s="137"/>
      <c r="T266" s="137"/>
      <c r="U266" s="137"/>
      <c r="V266" s="137"/>
      <c r="W266" s="137"/>
      <c r="X266" s="137"/>
      <c r="Y266" s="137"/>
      <c r="Z266" s="137"/>
    </row>
    <row r="267" ht="41.4" spans="1:26">
      <c r="A267" s="108" t="s">
        <v>875</v>
      </c>
      <c r="B267" s="92" t="s">
        <v>817</v>
      </c>
      <c r="C267" s="92" t="s">
        <v>805</v>
      </c>
      <c r="D267" s="100" t="s">
        <v>818</v>
      </c>
      <c r="E267" s="92" t="s">
        <v>876</v>
      </c>
      <c r="F267" s="92" t="s">
        <v>38</v>
      </c>
      <c r="G267" s="108" t="s">
        <v>11</v>
      </c>
      <c r="H267" s="92"/>
      <c r="I267" s="70" t="s">
        <v>39</v>
      </c>
      <c r="J267" s="137"/>
      <c r="K267" s="137"/>
      <c r="L267" s="137"/>
      <c r="M267" s="137"/>
      <c r="N267" s="137"/>
      <c r="O267" s="137"/>
      <c r="P267" s="137"/>
      <c r="Q267" s="137"/>
      <c r="R267" s="137"/>
      <c r="S267" s="137"/>
      <c r="T267" s="137"/>
      <c r="U267" s="137"/>
      <c r="V267" s="137"/>
      <c r="W267" s="137"/>
      <c r="X267" s="137"/>
      <c r="Y267" s="137"/>
      <c r="Z267" s="137"/>
    </row>
    <row r="268" ht="55.2" spans="1:26">
      <c r="A268" s="108" t="s">
        <v>877</v>
      </c>
      <c r="B268" s="92" t="s">
        <v>821</v>
      </c>
      <c r="C268" s="92" t="s">
        <v>805</v>
      </c>
      <c r="D268" s="100" t="s">
        <v>822</v>
      </c>
      <c r="E268" s="92" t="s">
        <v>878</v>
      </c>
      <c r="F268" s="92" t="s">
        <v>38</v>
      </c>
      <c r="G268" s="108" t="s">
        <v>11</v>
      </c>
      <c r="H268" s="92"/>
      <c r="I268" s="70" t="s">
        <v>39</v>
      </c>
      <c r="J268" s="137"/>
      <c r="K268" s="137"/>
      <c r="L268" s="137"/>
      <c r="M268" s="137"/>
      <c r="N268" s="137"/>
      <c r="O268" s="137"/>
      <c r="P268" s="137"/>
      <c r="Q268" s="137"/>
      <c r="R268" s="137"/>
      <c r="S268" s="137"/>
      <c r="T268" s="137"/>
      <c r="U268" s="137"/>
      <c r="V268" s="137"/>
      <c r="W268" s="137"/>
      <c r="X268" s="137"/>
      <c r="Y268" s="137"/>
      <c r="Z268" s="137"/>
    </row>
    <row r="269" ht="41.4" spans="1:26">
      <c r="A269" s="108" t="s">
        <v>879</v>
      </c>
      <c r="B269" s="92" t="s">
        <v>825</v>
      </c>
      <c r="C269" s="92" t="s">
        <v>805</v>
      </c>
      <c r="D269" s="100" t="s">
        <v>826</v>
      </c>
      <c r="E269" s="92" t="s">
        <v>827</v>
      </c>
      <c r="F269" s="92" t="s">
        <v>38</v>
      </c>
      <c r="G269" s="108" t="s">
        <v>11</v>
      </c>
      <c r="H269" s="92"/>
      <c r="I269" s="70" t="s">
        <v>39</v>
      </c>
      <c r="J269" s="137"/>
      <c r="K269" s="137"/>
      <c r="L269" s="137"/>
      <c r="M269" s="137"/>
      <c r="N269" s="137"/>
      <c r="O269" s="137"/>
      <c r="P269" s="137"/>
      <c r="Q269" s="137"/>
      <c r="R269" s="137"/>
      <c r="S269" s="137"/>
      <c r="T269" s="137"/>
      <c r="U269" s="137"/>
      <c r="V269" s="137"/>
      <c r="W269" s="137"/>
      <c r="X269" s="137"/>
      <c r="Y269" s="137"/>
      <c r="Z269" s="137"/>
    </row>
    <row r="270" ht="55.2" spans="1:26">
      <c r="A270" s="108" t="s">
        <v>880</v>
      </c>
      <c r="B270" s="92" t="s">
        <v>829</v>
      </c>
      <c r="C270" s="92" t="s">
        <v>805</v>
      </c>
      <c r="D270" s="100" t="s">
        <v>830</v>
      </c>
      <c r="E270" s="92" t="s">
        <v>831</v>
      </c>
      <c r="F270" s="92" t="s">
        <v>38</v>
      </c>
      <c r="G270" s="108" t="s">
        <v>11</v>
      </c>
      <c r="H270" s="92"/>
      <c r="I270" s="70" t="s">
        <v>39</v>
      </c>
      <c r="J270" s="137"/>
      <c r="K270" s="137"/>
      <c r="L270" s="137"/>
      <c r="M270" s="137"/>
      <c r="N270" s="137"/>
      <c r="O270" s="137"/>
      <c r="P270" s="137"/>
      <c r="Q270" s="137"/>
      <c r="R270" s="137"/>
      <c r="S270" s="137"/>
      <c r="T270" s="137"/>
      <c r="U270" s="137"/>
      <c r="V270" s="137"/>
      <c r="W270" s="137"/>
      <c r="X270" s="137"/>
      <c r="Y270" s="137"/>
      <c r="Z270" s="137"/>
    </row>
    <row r="271" ht="41.4" spans="1:26">
      <c r="A271" s="108" t="s">
        <v>881</v>
      </c>
      <c r="B271" s="92" t="s">
        <v>833</v>
      </c>
      <c r="C271" s="92" t="s">
        <v>805</v>
      </c>
      <c r="D271" s="100" t="s">
        <v>834</v>
      </c>
      <c r="E271" s="92" t="s">
        <v>835</v>
      </c>
      <c r="F271" s="92" t="s">
        <v>38</v>
      </c>
      <c r="G271" s="108" t="s">
        <v>11</v>
      </c>
      <c r="H271" s="92"/>
      <c r="I271" s="70" t="s">
        <v>39</v>
      </c>
      <c r="J271" s="137"/>
      <c r="K271" s="137"/>
      <c r="L271" s="137"/>
      <c r="M271" s="137"/>
      <c r="N271" s="137"/>
      <c r="O271" s="137"/>
      <c r="P271" s="137"/>
      <c r="Q271" s="137"/>
      <c r="R271" s="137"/>
      <c r="S271" s="137"/>
      <c r="T271" s="137"/>
      <c r="U271" s="137"/>
      <c r="V271" s="137"/>
      <c r="W271" s="137"/>
      <c r="X271" s="137"/>
      <c r="Y271" s="137"/>
      <c r="Z271" s="137"/>
    </row>
    <row r="272" ht="55.2" spans="1:26">
      <c r="A272" s="108" t="s">
        <v>882</v>
      </c>
      <c r="B272" s="92" t="s">
        <v>837</v>
      </c>
      <c r="C272" s="92" t="s">
        <v>805</v>
      </c>
      <c r="D272" s="100" t="s">
        <v>838</v>
      </c>
      <c r="E272" s="92" t="s">
        <v>839</v>
      </c>
      <c r="F272" s="92" t="s">
        <v>38</v>
      </c>
      <c r="G272" s="108" t="s">
        <v>11</v>
      </c>
      <c r="H272" s="92"/>
      <c r="I272" s="70" t="s">
        <v>39</v>
      </c>
      <c r="J272" s="137"/>
      <c r="K272" s="137"/>
      <c r="L272" s="137"/>
      <c r="M272" s="137"/>
      <c r="N272" s="137"/>
      <c r="O272" s="137"/>
      <c r="P272" s="137"/>
      <c r="Q272" s="137"/>
      <c r="R272" s="137"/>
      <c r="S272" s="137"/>
      <c r="T272" s="137"/>
      <c r="U272" s="137"/>
      <c r="V272" s="137"/>
      <c r="W272" s="137"/>
      <c r="X272" s="137"/>
      <c r="Y272" s="137"/>
      <c r="Z272" s="137"/>
    </row>
    <row r="273" ht="41.4" spans="1:26">
      <c r="A273" s="108" t="s">
        <v>883</v>
      </c>
      <c r="B273" s="92" t="s">
        <v>841</v>
      </c>
      <c r="C273" s="92" t="s">
        <v>805</v>
      </c>
      <c r="D273" s="100" t="s">
        <v>842</v>
      </c>
      <c r="E273" s="92" t="s">
        <v>843</v>
      </c>
      <c r="F273" s="92" t="s">
        <v>38</v>
      </c>
      <c r="G273" s="108" t="s">
        <v>11</v>
      </c>
      <c r="H273" s="92"/>
      <c r="I273" s="70" t="s">
        <v>39</v>
      </c>
      <c r="J273" s="137"/>
      <c r="K273" s="137"/>
      <c r="L273" s="137"/>
      <c r="M273" s="137"/>
      <c r="N273" s="137"/>
      <c r="O273" s="137"/>
      <c r="P273" s="137"/>
      <c r="Q273" s="137"/>
      <c r="R273" s="137"/>
      <c r="S273" s="137"/>
      <c r="T273" s="137"/>
      <c r="U273" s="137"/>
      <c r="V273" s="137"/>
      <c r="W273" s="137"/>
      <c r="X273" s="137"/>
      <c r="Y273" s="137"/>
      <c r="Z273" s="137"/>
    </row>
    <row r="274" ht="55.2" spans="1:26">
      <c r="A274" s="108" t="s">
        <v>884</v>
      </c>
      <c r="B274" s="92" t="s">
        <v>845</v>
      </c>
      <c r="C274" s="92" t="s">
        <v>805</v>
      </c>
      <c r="D274" s="100" t="s">
        <v>846</v>
      </c>
      <c r="E274" s="92" t="s">
        <v>847</v>
      </c>
      <c r="F274" s="92" t="s">
        <v>38</v>
      </c>
      <c r="G274" s="108" t="s">
        <v>11</v>
      </c>
      <c r="H274" s="92"/>
      <c r="I274" s="70" t="s">
        <v>39</v>
      </c>
      <c r="J274" s="137"/>
      <c r="K274" s="137"/>
      <c r="L274" s="137"/>
      <c r="M274" s="137"/>
      <c r="N274" s="137"/>
      <c r="O274" s="137"/>
      <c r="P274" s="137"/>
      <c r="Q274" s="137"/>
      <c r="R274" s="137"/>
      <c r="S274" s="137"/>
      <c r="T274" s="137"/>
      <c r="U274" s="137"/>
      <c r="V274" s="137"/>
      <c r="W274" s="137"/>
      <c r="X274" s="137"/>
      <c r="Y274" s="137"/>
      <c r="Z274" s="137"/>
    </row>
    <row r="275" ht="41.4" spans="1:26">
      <c r="A275" s="108" t="s">
        <v>885</v>
      </c>
      <c r="B275" s="92" t="s">
        <v>849</v>
      </c>
      <c r="C275" s="92" t="s">
        <v>805</v>
      </c>
      <c r="D275" s="100" t="s">
        <v>850</v>
      </c>
      <c r="E275" s="92" t="s">
        <v>851</v>
      </c>
      <c r="F275" s="92" t="s">
        <v>38</v>
      </c>
      <c r="G275" s="108" t="s">
        <v>11</v>
      </c>
      <c r="H275" s="92"/>
      <c r="I275" s="70" t="s">
        <v>39</v>
      </c>
      <c r="J275" s="137"/>
      <c r="K275" s="137"/>
      <c r="L275" s="137"/>
      <c r="M275" s="137"/>
      <c r="N275" s="137"/>
      <c r="O275" s="137"/>
      <c r="P275" s="137"/>
      <c r="Q275" s="137"/>
      <c r="R275" s="137"/>
      <c r="S275" s="137"/>
      <c r="T275" s="137"/>
      <c r="U275" s="137"/>
      <c r="V275" s="137"/>
      <c r="W275" s="137"/>
      <c r="X275" s="137"/>
      <c r="Y275" s="137"/>
      <c r="Z275" s="137"/>
    </row>
    <row r="276" ht="55.2" spans="1:26">
      <c r="A276" s="108" t="s">
        <v>886</v>
      </c>
      <c r="B276" s="92" t="s">
        <v>853</v>
      </c>
      <c r="C276" s="92" t="s">
        <v>805</v>
      </c>
      <c r="D276" s="100" t="s">
        <v>854</v>
      </c>
      <c r="E276" s="92" t="s">
        <v>855</v>
      </c>
      <c r="F276" s="92" t="s">
        <v>38</v>
      </c>
      <c r="G276" s="108" t="s">
        <v>11</v>
      </c>
      <c r="H276" s="92"/>
      <c r="I276" s="70" t="s">
        <v>39</v>
      </c>
      <c r="J276" s="137"/>
      <c r="K276" s="137"/>
      <c r="L276" s="137"/>
      <c r="M276" s="137"/>
      <c r="N276" s="137"/>
      <c r="O276" s="137"/>
      <c r="P276" s="137"/>
      <c r="Q276" s="137"/>
      <c r="R276" s="137"/>
      <c r="S276" s="137"/>
      <c r="T276" s="137"/>
      <c r="U276" s="137"/>
      <c r="V276" s="137"/>
      <c r="W276" s="137"/>
      <c r="X276" s="137"/>
      <c r="Y276" s="137"/>
      <c r="Z276" s="137"/>
    </row>
    <row r="277" ht="41.4" spans="1:26">
      <c r="A277" s="108" t="s">
        <v>887</v>
      </c>
      <c r="B277" s="92" t="s">
        <v>857</v>
      </c>
      <c r="C277" s="92" t="s">
        <v>805</v>
      </c>
      <c r="D277" s="100" t="s">
        <v>858</v>
      </c>
      <c r="E277" s="92" t="s">
        <v>859</v>
      </c>
      <c r="F277" s="92" t="s">
        <v>38</v>
      </c>
      <c r="G277" s="108" t="s">
        <v>11</v>
      </c>
      <c r="H277" s="92"/>
      <c r="I277" s="70" t="s">
        <v>39</v>
      </c>
      <c r="J277" s="137"/>
      <c r="K277" s="137"/>
      <c r="L277" s="137"/>
      <c r="M277" s="137"/>
      <c r="N277" s="137"/>
      <c r="O277" s="137"/>
      <c r="P277" s="137"/>
      <c r="Q277" s="137"/>
      <c r="R277" s="137"/>
      <c r="S277" s="137"/>
      <c r="T277" s="137"/>
      <c r="U277" s="137"/>
      <c r="V277" s="137"/>
      <c r="W277" s="137"/>
      <c r="X277" s="137"/>
      <c r="Y277" s="137"/>
      <c r="Z277" s="137"/>
    </row>
    <row r="278" s="119" customFormat="1" ht="27.6" spans="1:31">
      <c r="A278" s="89" t="s">
        <v>888</v>
      </c>
      <c r="B278" s="89"/>
      <c r="C278" s="89"/>
      <c r="D278" s="89"/>
      <c r="E278" s="89"/>
      <c r="F278" s="89"/>
      <c r="G278" s="89"/>
      <c r="H278" s="89"/>
      <c r="I278" s="89"/>
      <c r="J278" s="147"/>
      <c r="K278" s="147"/>
      <c r="L278" s="147"/>
      <c r="M278" s="147"/>
      <c r="N278" s="147"/>
      <c r="O278" s="147"/>
      <c r="P278" s="147"/>
      <c r="Q278" s="147"/>
      <c r="R278" s="147"/>
      <c r="S278" s="147"/>
      <c r="T278" s="147"/>
      <c r="U278" s="147"/>
      <c r="V278" s="147"/>
      <c r="W278" s="147"/>
      <c r="X278" s="147"/>
      <c r="Y278" s="147"/>
      <c r="Z278" s="147"/>
      <c r="AA278" s="140"/>
      <c r="AB278" s="140"/>
      <c r="AC278" s="140"/>
      <c r="AD278" s="140"/>
      <c r="AE278" s="140"/>
    </row>
    <row r="279" ht="15.6" spans="1:26">
      <c r="A279" s="107" t="s">
        <v>24</v>
      </c>
      <c r="B279" s="107" t="s">
        <v>25</v>
      </c>
      <c r="C279" s="107" t="s">
        <v>26</v>
      </c>
      <c r="D279" s="107" t="s">
        <v>27</v>
      </c>
      <c r="E279" s="107" t="s">
        <v>28</v>
      </c>
      <c r="F279" s="107" t="s">
        <v>29</v>
      </c>
      <c r="G279" s="107" t="s">
        <v>30</v>
      </c>
      <c r="H279" s="128" t="s">
        <v>31</v>
      </c>
      <c r="I279" s="128" t="s">
        <v>32</v>
      </c>
      <c r="J279" s="137"/>
      <c r="K279" s="137"/>
      <c r="L279" s="137"/>
      <c r="M279" s="137"/>
      <c r="N279" s="137"/>
      <c r="O279" s="137"/>
      <c r="P279" s="137"/>
      <c r="Q279" s="137"/>
      <c r="R279" s="137"/>
      <c r="S279" s="137"/>
      <c r="T279" s="137"/>
      <c r="U279" s="137"/>
      <c r="V279" s="137"/>
      <c r="W279" s="137"/>
      <c r="X279" s="137"/>
      <c r="Y279" s="137"/>
      <c r="Z279" s="137"/>
    </row>
    <row r="280" ht="69" spans="1:26">
      <c r="A280" s="108" t="s">
        <v>889</v>
      </c>
      <c r="B280" s="92" t="s">
        <v>890</v>
      </c>
      <c r="C280" s="92" t="s">
        <v>891</v>
      </c>
      <c r="D280" s="100" t="s">
        <v>892</v>
      </c>
      <c r="E280" s="92" t="s">
        <v>893</v>
      </c>
      <c r="F280" s="92" t="s">
        <v>38</v>
      </c>
      <c r="G280" s="108" t="s">
        <v>11</v>
      </c>
      <c r="H280" s="92"/>
      <c r="I280" s="70" t="s">
        <v>39</v>
      </c>
      <c r="J280" s="137"/>
      <c r="K280" s="137"/>
      <c r="L280" s="137"/>
      <c r="M280" s="137"/>
      <c r="N280" s="137"/>
      <c r="O280" s="137"/>
      <c r="P280" s="137"/>
      <c r="Q280" s="137"/>
      <c r="R280" s="137"/>
      <c r="S280" s="137"/>
      <c r="T280" s="137"/>
      <c r="U280" s="137"/>
      <c r="V280" s="137"/>
      <c r="W280" s="137"/>
      <c r="X280" s="137"/>
      <c r="Y280" s="137"/>
      <c r="Z280" s="137"/>
    </row>
    <row r="281" ht="124.2" spans="1:26">
      <c r="A281" s="108" t="s">
        <v>894</v>
      </c>
      <c r="B281" s="92" t="s">
        <v>895</v>
      </c>
      <c r="C281" s="92" t="s">
        <v>891</v>
      </c>
      <c r="D281" s="100" t="s">
        <v>896</v>
      </c>
      <c r="E281" s="92" t="s">
        <v>897</v>
      </c>
      <c r="F281" s="92" t="s">
        <v>38</v>
      </c>
      <c r="G281" s="108" t="s">
        <v>11</v>
      </c>
      <c r="H281" s="92"/>
      <c r="I281" s="70" t="s">
        <v>39</v>
      </c>
      <c r="J281" s="137"/>
      <c r="K281" s="137"/>
      <c r="L281" s="137"/>
      <c r="M281" s="137"/>
      <c r="N281" s="137"/>
      <c r="O281" s="137"/>
      <c r="P281" s="137"/>
      <c r="Q281" s="137"/>
      <c r="R281" s="137"/>
      <c r="S281" s="137"/>
      <c r="T281" s="137"/>
      <c r="U281" s="137"/>
      <c r="V281" s="137"/>
      <c r="W281" s="137"/>
      <c r="X281" s="137"/>
      <c r="Y281" s="137"/>
      <c r="Z281" s="137"/>
    </row>
    <row r="282" ht="41.4" spans="1:26">
      <c r="A282" s="108" t="s">
        <v>898</v>
      </c>
      <c r="B282" s="92" t="s">
        <v>899</v>
      </c>
      <c r="C282" s="92" t="s">
        <v>891</v>
      </c>
      <c r="D282" s="100" t="s">
        <v>900</v>
      </c>
      <c r="E282" s="92" t="s">
        <v>901</v>
      </c>
      <c r="F282" s="92" t="s">
        <v>38</v>
      </c>
      <c r="G282" s="108" t="s">
        <v>11</v>
      </c>
      <c r="H282" s="92"/>
      <c r="I282" s="70" t="s">
        <v>39</v>
      </c>
      <c r="J282" s="137"/>
      <c r="K282" s="137"/>
      <c r="L282" s="137"/>
      <c r="M282" s="137"/>
      <c r="N282" s="137"/>
      <c r="O282" s="137"/>
      <c r="P282" s="137"/>
      <c r="Q282" s="137"/>
      <c r="R282" s="137"/>
      <c r="S282" s="137"/>
      <c r="T282" s="137"/>
      <c r="U282" s="137"/>
      <c r="V282" s="137"/>
      <c r="W282" s="137"/>
      <c r="X282" s="137"/>
      <c r="Y282" s="137"/>
      <c r="Z282" s="137"/>
    </row>
    <row r="283" ht="124.2" spans="1:26">
      <c r="A283" s="108" t="s">
        <v>902</v>
      </c>
      <c r="B283" s="92" t="s">
        <v>903</v>
      </c>
      <c r="C283" s="92" t="s">
        <v>891</v>
      </c>
      <c r="D283" s="100" t="s">
        <v>904</v>
      </c>
      <c r="E283" s="92" t="s">
        <v>905</v>
      </c>
      <c r="F283" s="92" t="s">
        <v>38</v>
      </c>
      <c r="G283" s="108" t="s">
        <v>11</v>
      </c>
      <c r="H283" s="92"/>
      <c r="I283" s="70" t="s">
        <v>39</v>
      </c>
      <c r="J283" s="137"/>
      <c r="K283" s="137"/>
      <c r="L283" s="137"/>
      <c r="M283" s="137"/>
      <c r="N283" s="137"/>
      <c r="O283" s="137"/>
      <c r="P283" s="137"/>
      <c r="Q283" s="137"/>
      <c r="R283" s="137"/>
      <c r="S283" s="137"/>
      <c r="T283" s="137"/>
      <c r="U283" s="137"/>
      <c r="V283" s="137"/>
      <c r="W283" s="137"/>
      <c r="X283" s="137"/>
      <c r="Y283" s="137"/>
      <c r="Z283" s="137"/>
    </row>
    <row r="284" ht="82.8" spans="1:26">
      <c r="A284" s="108" t="s">
        <v>906</v>
      </c>
      <c r="B284" s="92" t="s">
        <v>907</v>
      </c>
      <c r="C284" s="92" t="s">
        <v>891</v>
      </c>
      <c r="D284" s="100" t="s">
        <v>908</v>
      </c>
      <c r="E284" s="92" t="s">
        <v>909</v>
      </c>
      <c r="F284" s="92" t="s">
        <v>38</v>
      </c>
      <c r="G284" s="108" t="s">
        <v>11</v>
      </c>
      <c r="H284" s="92"/>
      <c r="I284" s="70" t="s">
        <v>39</v>
      </c>
      <c r="J284" s="137"/>
      <c r="K284" s="137"/>
      <c r="L284" s="137"/>
      <c r="M284" s="137"/>
      <c r="N284" s="137"/>
      <c r="O284" s="137"/>
      <c r="P284" s="137"/>
      <c r="Q284" s="137"/>
      <c r="R284" s="137"/>
      <c r="S284" s="137"/>
      <c r="T284" s="137"/>
      <c r="U284" s="137"/>
      <c r="V284" s="137"/>
      <c r="W284" s="137"/>
      <c r="X284" s="137"/>
      <c r="Y284" s="137"/>
      <c r="Z284" s="137"/>
    </row>
    <row r="285" ht="41.4" spans="1:26">
      <c r="A285" s="108" t="s">
        <v>910</v>
      </c>
      <c r="B285" s="92" t="s">
        <v>787</v>
      </c>
      <c r="C285" s="92" t="s">
        <v>891</v>
      </c>
      <c r="D285" s="100" t="s">
        <v>911</v>
      </c>
      <c r="E285" s="92" t="s">
        <v>912</v>
      </c>
      <c r="F285" s="92" t="s">
        <v>38</v>
      </c>
      <c r="G285" s="108" t="s">
        <v>11</v>
      </c>
      <c r="H285" s="92"/>
      <c r="I285" s="70" t="s">
        <v>39</v>
      </c>
      <c r="J285" s="137"/>
      <c r="K285" s="137"/>
      <c r="L285" s="137"/>
      <c r="M285" s="137"/>
      <c r="N285" s="137"/>
      <c r="O285" s="137"/>
      <c r="P285" s="137"/>
      <c r="Q285" s="137"/>
      <c r="R285" s="137"/>
      <c r="S285" s="137"/>
      <c r="T285" s="137"/>
      <c r="U285" s="137"/>
      <c r="V285" s="137"/>
      <c r="W285" s="137"/>
      <c r="X285" s="137"/>
      <c r="Y285" s="137"/>
      <c r="Z285" s="137"/>
    </row>
    <row r="286" ht="82.8" spans="1:26">
      <c r="A286" s="108" t="s">
        <v>913</v>
      </c>
      <c r="B286" s="92" t="s">
        <v>914</v>
      </c>
      <c r="C286" s="92" t="s">
        <v>891</v>
      </c>
      <c r="D286" s="100" t="s">
        <v>915</v>
      </c>
      <c r="E286" s="92" t="s">
        <v>916</v>
      </c>
      <c r="F286" s="92" t="s">
        <v>38</v>
      </c>
      <c r="G286" s="108" t="s">
        <v>11</v>
      </c>
      <c r="H286" s="92"/>
      <c r="I286" s="70" t="s">
        <v>39</v>
      </c>
      <c r="J286" s="137"/>
      <c r="K286" s="137"/>
      <c r="L286" s="137"/>
      <c r="M286" s="137"/>
      <c r="N286" s="137"/>
      <c r="O286" s="137"/>
      <c r="P286" s="137"/>
      <c r="Q286" s="137"/>
      <c r="R286" s="137"/>
      <c r="S286" s="137"/>
      <c r="T286" s="137"/>
      <c r="U286" s="137"/>
      <c r="V286" s="137"/>
      <c r="W286" s="137"/>
      <c r="X286" s="137"/>
      <c r="Y286" s="137"/>
      <c r="Z286" s="137"/>
    </row>
    <row r="287" ht="138" spans="1:26">
      <c r="A287" s="108" t="s">
        <v>917</v>
      </c>
      <c r="B287" s="92" t="s">
        <v>918</v>
      </c>
      <c r="C287" s="92" t="s">
        <v>891</v>
      </c>
      <c r="D287" s="100" t="s">
        <v>919</v>
      </c>
      <c r="E287" s="92" t="s">
        <v>920</v>
      </c>
      <c r="F287" s="92" t="s">
        <v>38</v>
      </c>
      <c r="G287" s="108" t="s">
        <v>11</v>
      </c>
      <c r="H287" s="92"/>
      <c r="I287" s="70" t="s">
        <v>39</v>
      </c>
      <c r="J287" s="137"/>
      <c r="K287" s="137"/>
      <c r="L287" s="137"/>
      <c r="M287" s="137"/>
      <c r="N287" s="137"/>
      <c r="O287" s="137"/>
      <c r="P287" s="137"/>
      <c r="Q287" s="137"/>
      <c r="R287" s="137"/>
      <c r="S287" s="137"/>
      <c r="T287" s="137"/>
      <c r="U287" s="137"/>
      <c r="V287" s="137"/>
      <c r="W287" s="137"/>
      <c r="X287" s="137"/>
      <c r="Y287" s="137"/>
      <c r="Z287" s="137"/>
    </row>
    <row r="288" ht="41.4" spans="1:26">
      <c r="A288" s="108" t="s">
        <v>921</v>
      </c>
      <c r="B288" s="92" t="s">
        <v>779</v>
      </c>
      <c r="C288" s="92" t="s">
        <v>891</v>
      </c>
      <c r="D288" s="100" t="s">
        <v>922</v>
      </c>
      <c r="E288" s="92" t="s">
        <v>923</v>
      </c>
      <c r="F288" s="92" t="s">
        <v>38</v>
      </c>
      <c r="G288" s="108" t="s">
        <v>11</v>
      </c>
      <c r="H288" s="92"/>
      <c r="I288" s="70" t="s">
        <v>39</v>
      </c>
      <c r="J288" s="137"/>
      <c r="K288" s="137"/>
      <c r="L288" s="137"/>
      <c r="M288" s="137"/>
      <c r="N288" s="137"/>
      <c r="O288" s="137"/>
      <c r="P288" s="137"/>
      <c r="Q288" s="137"/>
      <c r="R288" s="137"/>
      <c r="S288" s="137"/>
      <c r="T288" s="137"/>
      <c r="U288" s="137"/>
      <c r="V288" s="137"/>
      <c r="W288" s="137"/>
      <c r="X288" s="137"/>
      <c r="Y288" s="137"/>
      <c r="Z288" s="137"/>
    </row>
    <row r="289" ht="138" spans="1:26">
      <c r="A289" s="108" t="s">
        <v>924</v>
      </c>
      <c r="B289" s="92" t="s">
        <v>925</v>
      </c>
      <c r="C289" s="92" t="s">
        <v>891</v>
      </c>
      <c r="D289" s="100" t="s">
        <v>926</v>
      </c>
      <c r="E289" s="92" t="s">
        <v>927</v>
      </c>
      <c r="F289" s="92" t="s">
        <v>38</v>
      </c>
      <c r="G289" s="108" t="s">
        <v>11</v>
      </c>
      <c r="H289" s="92"/>
      <c r="I289" s="70" t="s">
        <v>39</v>
      </c>
      <c r="J289" s="137"/>
      <c r="K289" s="137"/>
      <c r="L289" s="137"/>
      <c r="M289" s="137"/>
      <c r="N289" s="137"/>
      <c r="O289" s="137"/>
      <c r="P289" s="137"/>
      <c r="Q289" s="137"/>
      <c r="R289" s="137"/>
      <c r="S289" s="137"/>
      <c r="T289" s="137"/>
      <c r="U289" s="137"/>
      <c r="V289" s="137"/>
      <c r="W289" s="137"/>
      <c r="X289" s="137"/>
      <c r="Y289" s="137"/>
      <c r="Z289" s="137"/>
    </row>
    <row r="290" ht="82.8" spans="1:26">
      <c r="A290" s="108" t="s">
        <v>928</v>
      </c>
      <c r="B290" s="92" t="s">
        <v>929</v>
      </c>
      <c r="C290" s="92" t="s">
        <v>891</v>
      </c>
      <c r="D290" s="100" t="s">
        <v>930</v>
      </c>
      <c r="E290" s="92" t="s">
        <v>931</v>
      </c>
      <c r="F290" s="92" t="s">
        <v>38</v>
      </c>
      <c r="G290" s="108" t="s">
        <v>11</v>
      </c>
      <c r="H290" s="92"/>
      <c r="I290" s="70" t="s">
        <v>39</v>
      </c>
      <c r="J290" s="137"/>
      <c r="K290" s="137"/>
      <c r="L290" s="137"/>
      <c r="M290" s="137"/>
      <c r="N290" s="137"/>
      <c r="O290" s="137"/>
      <c r="P290" s="137"/>
      <c r="Q290" s="137"/>
      <c r="R290" s="137"/>
      <c r="S290" s="137"/>
      <c r="T290" s="137"/>
      <c r="U290" s="137"/>
      <c r="V290" s="137"/>
      <c r="W290" s="137"/>
      <c r="X290" s="137"/>
      <c r="Y290" s="137"/>
      <c r="Z290" s="137"/>
    </row>
    <row r="291" ht="41.4" spans="1:26">
      <c r="A291" s="108" t="s">
        <v>932</v>
      </c>
      <c r="B291" s="92" t="s">
        <v>933</v>
      </c>
      <c r="C291" s="92" t="s">
        <v>891</v>
      </c>
      <c r="D291" s="100" t="s">
        <v>934</v>
      </c>
      <c r="E291" s="92" t="s">
        <v>935</v>
      </c>
      <c r="F291" s="92" t="s">
        <v>38</v>
      </c>
      <c r="G291" s="108" t="s">
        <v>11</v>
      </c>
      <c r="H291" s="92"/>
      <c r="I291" s="70" t="s">
        <v>39</v>
      </c>
      <c r="J291" s="137"/>
      <c r="K291" s="137"/>
      <c r="L291" s="137"/>
      <c r="M291" s="137"/>
      <c r="N291" s="137"/>
      <c r="O291" s="137"/>
      <c r="P291" s="137"/>
      <c r="Q291" s="137"/>
      <c r="R291" s="137"/>
      <c r="S291" s="137"/>
      <c r="T291" s="137"/>
      <c r="U291" s="137"/>
      <c r="V291" s="137"/>
      <c r="W291" s="137"/>
      <c r="X291" s="137"/>
      <c r="Y291" s="137"/>
      <c r="Z291" s="137"/>
    </row>
    <row r="292" ht="82.8" spans="1:26">
      <c r="A292" s="108" t="s">
        <v>936</v>
      </c>
      <c r="B292" s="92" t="s">
        <v>937</v>
      </c>
      <c r="C292" s="92" t="s">
        <v>891</v>
      </c>
      <c r="D292" s="100" t="s">
        <v>938</v>
      </c>
      <c r="E292" s="92" t="s">
        <v>939</v>
      </c>
      <c r="F292" s="92" t="s">
        <v>38</v>
      </c>
      <c r="G292" s="108" t="s">
        <v>11</v>
      </c>
      <c r="H292" s="92"/>
      <c r="I292" s="70" t="s">
        <v>39</v>
      </c>
      <c r="J292" s="137"/>
      <c r="K292" s="137"/>
      <c r="L292" s="137"/>
      <c r="M292" s="137"/>
      <c r="N292" s="137"/>
      <c r="O292" s="137"/>
      <c r="P292" s="137"/>
      <c r="Q292" s="137"/>
      <c r="R292" s="137"/>
      <c r="S292" s="137"/>
      <c r="T292" s="137"/>
      <c r="U292" s="137"/>
      <c r="V292" s="137"/>
      <c r="W292" s="137"/>
      <c r="X292" s="137"/>
      <c r="Y292" s="137"/>
      <c r="Z292" s="137"/>
    </row>
    <row r="293" ht="151.8" spans="1:26">
      <c r="A293" s="108" t="s">
        <v>940</v>
      </c>
      <c r="B293" s="92" t="s">
        <v>941</v>
      </c>
      <c r="C293" s="92" t="s">
        <v>891</v>
      </c>
      <c r="D293" s="100" t="s">
        <v>942</v>
      </c>
      <c r="E293" s="92" t="s">
        <v>943</v>
      </c>
      <c r="F293" s="92" t="s">
        <v>38</v>
      </c>
      <c r="G293" s="108" t="s">
        <v>11</v>
      </c>
      <c r="H293" s="92"/>
      <c r="I293" s="70" t="s">
        <v>39</v>
      </c>
      <c r="J293" s="137"/>
      <c r="K293" s="137"/>
      <c r="L293" s="137"/>
      <c r="M293" s="137"/>
      <c r="N293" s="137"/>
      <c r="O293" s="137"/>
      <c r="P293" s="137"/>
      <c r="Q293" s="137"/>
      <c r="R293" s="137"/>
      <c r="S293" s="137"/>
      <c r="T293" s="137"/>
      <c r="U293" s="137"/>
      <c r="V293" s="137"/>
      <c r="W293" s="137"/>
      <c r="X293" s="137"/>
      <c r="Y293" s="137"/>
      <c r="Z293" s="137"/>
    </row>
    <row r="294" ht="41.4" spans="1:26">
      <c r="A294" s="108" t="s">
        <v>944</v>
      </c>
      <c r="B294" s="92" t="s">
        <v>945</v>
      </c>
      <c r="C294" s="92" t="s">
        <v>891</v>
      </c>
      <c r="D294" s="100" t="s">
        <v>946</v>
      </c>
      <c r="E294" s="92" t="s">
        <v>947</v>
      </c>
      <c r="F294" s="92" t="s">
        <v>38</v>
      </c>
      <c r="G294" s="108" t="s">
        <v>11</v>
      </c>
      <c r="H294" s="92"/>
      <c r="I294" s="70" t="s">
        <v>39</v>
      </c>
      <c r="J294" s="137"/>
      <c r="K294" s="137"/>
      <c r="L294" s="137"/>
      <c r="M294" s="137"/>
      <c r="N294" s="137"/>
      <c r="O294" s="137"/>
      <c r="P294" s="137"/>
      <c r="Q294" s="137"/>
      <c r="R294" s="137"/>
      <c r="S294" s="137"/>
      <c r="T294" s="137"/>
      <c r="U294" s="137"/>
      <c r="V294" s="137"/>
      <c r="W294" s="137"/>
      <c r="X294" s="137"/>
      <c r="Y294" s="137"/>
      <c r="Z294" s="137"/>
    </row>
    <row r="295" ht="138" spans="1:26">
      <c r="A295" s="108" t="s">
        <v>948</v>
      </c>
      <c r="B295" s="92" t="s">
        <v>949</v>
      </c>
      <c r="C295" s="92" t="s">
        <v>891</v>
      </c>
      <c r="D295" s="100" t="s">
        <v>950</v>
      </c>
      <c r="E295" s="92" t="s">
        <v>951</v>
      </c>
      <c r="F295" s="92" t="s">
        <v>38</v>
      </c>
      <c r="G295" s="108" t="s">
        <v>11</v>
      </c>
      <c r="H295" s="92"/>
      <c r="I295" s="70" t="s">
        <v>39</v>
      </c>
      <c r="J295" s="137"/>
      <c r="K295" s="137"/>
      <c r="L295" s="137"/>
      <c r="M295" s="137"/>
      <c r="N295" s="137"/>
      <c r="O295" s="137"/>
      <c r="P295" s="137"/>
      <c r="Q295" s="137"/>
      <c r="R295" s="137"/>
      <c r="S295" s="137"/>
      <c r="T295" s="137"/>
      <c r="U295" s="137"/>
      <c r="V295" s="137"/>
      <c r="W295" s="137"/>
      <c r="X295" s="137"/>
      <c r="Y295" s="137"/>
      <c r="Z295" s="137"/>
    </row>
    <row r="296" s="119" customFormat="1" ht="27.6" spans="1:31">
      <c r="A296" s="89" t="s">
        <v>952</v>
      </c>
      <c r="B296" s="89"/>
      <c r="C296" s="89"/>
      <c r="D296" s="89"/>
      <c r="E296" s="89"/>
      <c r="F296" s="89"/>
      <c r="G296" s="89"/>
      <c r="H296" s="89"/>
      <c r="I296" s="89"/>
      <c r="J296" s="147"/>
      <c r="K296" s="147"/>
      <c r="L296" s="147"/>
      <c r="M296" s="147"/>
      <c r="N296" s="147"/>
      <c r="O296" s="147"/>
      <c r="P296" s="147"/>
      <c r="Q296" s="147"/>
      <c r="R296" s="147"/>
      <c r="S296" s="147"/>
      <c r="T296" s="147"/>
      <c r="U296" s="147"/>
      <c r="V296" s="147"/>
      <c r="W296" s="147"/>
      <c r="X296" s="147"/>
      <c r="Y296" s="147"/>
      <c r="Z296" s="147"/>
      <c r="AA296" s="140"/>
      <c r="AB296" s="140"/>
      <c r="AC296" s="140"/>
      <c r="AD296" s="140"/>
      <c r="AE296" s="140"/>
    </row>
    <row r="297" ht="15.6" spans="1:26">
      <c r="A297" s="107" t="s">
        <v>24</v>
      </c>
      <c r="B297" s="107" t="s">
        <v>25</v>
      </c>
      <c r="C297" s="107" t="s">
        <v>26</v>
      </c>
      <c r="D297" s="107" t="s">
        <v>27</v>
      </c>
      <c r="E297" s="107" t="s">
        <v>28</v>
      </c>
      <c r="F297" s="107" t="s">
        <v>29</v>
      </c>
      <c r="G297" s="107" t="s">
        <v>30</v>
      </c>
      <c r="H297" s="128" t="s">
        <v>31</v>
      </c>
      <c r="I297" s="128" t="s">
        <v>32</v>
      </c>
      <c r="J297" s="137"/>
      <c r="K297" s="137"/>
      <c r="L297" s="137"/>
      <c r="M297" s="137"/>
      <c r="N297" s="137"/>
      <c r="O297" s="137"/>
      <c r="P297" s="137"/>
      <c r="Q297" s="137"/>
      <c r="R297" s="137"/>
      <c r="S297" s="137"/>
      <c r="T297" s="137"/>
      <c r="U297" s="137"/>
      <c r="V297" s="137"/>
      <c r="W297" s="137"/>
      <c r="X297" s="137"/>
      <c r="Y297" s="137"/>
      <c r="Z297" s="137"/>
    </row>
    <row r="298" ht="41.4" spans="1:26">
      <c r="A298" s="108" t="s">
        <v>953</v>
      </c>
      <c r="B298" s="92" t="s">
        <v>954</v>
      </c>
      <c r="C298" s="92" t="s">
        <v>955</v>
      </c>
      <c r="D298" s="73" t="s">
        <v>956</v>
      </c>
      <c r="E298" s="92" t="s">
        <v>957</v>
      </c>
      <c r="F298" s="92" t="s">
        <v>38</v>
      </c>
      <c r="G298" s="108" t="s">
        <v>11</v>
      </c>
      <c r="H298" s="92"/>
      <c r="I298" s="70" t="s">
        <v>39</v>
      </c>
      <c r="J298" s="116"/>
      <c r="K298" s="116"/>
      <c r="L298" s="116"/>
      <c r="M298" s="116"/>
      <c r="N298" s="116"/>
      <c r="O298" s="116"/>
      <c r="P298" s="116"/>
      <c r="Q298" s="116"/>
      <c r="R298" s="116"/>
      <c r="S298" s="116"/>
      <c r="T298" s="116"/>
      <c r="U298" s="116"/>
      <c r="V298" s="116"/>
      <c r="W298" s="116"/>
      <c r="X298" s="116"/>
      <c r="Y298" s="116"/>
      <c r="Z298" s="116"/>
    </row>
    <row r="299" ht="41.4" spans="1:26">
      <c r="A299" s="108" t="s">
        <v>958</v>
      </c>
      <c r="B299" s="92" t="s">
        <v>959</v>
      </c>
      <c r="C299" s="92" t="s">
        <v>955</v>
      </c>
      <c r="D299" s="73" t="s">
        <v>960</v>
      </c>
      <c r="E299" s="92" t="s">
        <v>961</v>
      </c>
      <c r="F299" s="92" t="s">
        <v>38</v>
      </c>
      <c r="G299" s="108" t="s">
        <v>11</v>
      </c>
      <c r="H299" s="92"/>
      <c r="I299" s="70" t="s">
        <v>39</v>
      </c>
      <c r="J299" s="116"/>
      <c r="K299" s="116"/>
      <c r="L299" s="116"/>
      <c r="M299" s="116"/>
      <c r="N299" s="116"/>
      <c r="O299" s="116"/>
      <c r="P299" s="116"/>
      <c r="Q299" s="116"/>
      <c r="R299" s="116"/>
      <c r="S299" s="116"/>
      <c r="T299" s="116"/>
      <c r="U299" s="116"/>
      <c r="V299" s="116"/>
      <c r="W299" s="116"/>
      <c r="X299" s="116"/>
      <c r="Y299" s="116"/>
      <c r="Z299" s="116"/>
    </row>
    <row r="300" s="119" customFormat="1" ht="27.6" spans="1:31">
      <c r="A300" s="89" t="s">
        <v>962</v>
      </c>
      <c r="B300" s="89"/>
      <c r="C300" s="89"/>
      <c r="D300" s="89"/>
      <c r="E300" s="89"/>
      <c r="F300" s="89"/>
      <c r="G300" s="89"/>
      <c r="H300" s="89"/>
      <c r="I300" s="89"/>
      <c r="J300" s="147"/>
      <c r="K300" s="147"/>
      <c r="L300" s="147"/>
      <c r="M300" s="147"/>
      <c r="N300" s="147"/>
      <c r="O300" s="147"/>
      <c r="P300" s="147"/>
      <c r="Q300" s="147"/>
      <c r="R300" s="147"/>
      <c r="S300" s="147"/>
      <c r="T300" s="147"/>
      <c r="U300" s="147"/>
      <c r="V300" s="147"/>
      <c r="W300" s="147"/>
      <c r="X300" s="147"/>
      <c r="Y300" s="147"/>
      <c r="Z300" s="147"/>
      <c r="AA300" s="140"/>
      <c r="AB300" s="140"/>
      <c r="AC300" s="140"/>
      <c r="AD300" s="140"/>
      <c r="AE300" s="140"/>
    </row>
    <row r="301" ht="15.6" spans="1:26">
      <c r="A301" s="107" t="s">
        <v>24</v>
      </c>
      <c r="B301" s="107" t="s">
        <v>25</v>
      </c>
      <c r="C301" s="107" t="s">
        <v>26</v>
      </c>
      <c r="D301" s="107" t="s">
        <v>27</v>
      </c>
      <c r="E301" s="107" t="s">
        <v>28</v>
      </c>
      <c r="F301" s="107" t="s">
        <v>29</v>
      </c>
      <c r="G301" s="107" t="s">
        <v>30</v>
      </c>
      <c r="H301" s="128" t="s">
        <v>31</v>
      </c>
      <c r="I301" s="128" t="s">
        <v>32</v>
      </c>
      <c r="J301" s="137"/>
      <c r="K301" s="137"/>
      <c r="L301" s="137"/>
      <c r="M301" s="137"/>
      <c r="N301" s="137"/>
      <c r="O301" s="137"/>
      <c r="P301" s="137"/>
      <c r="Q301" s="137"/>
      <c r="R301" s="137"/>
      <c r="S301" s="137"/>
      <c r="T301" s="137"/>
      <c r="U301" s="137"/>
      <c r="V301" s="137"/>
      <c r="W301" s="137"/>
      <c r="X301" s="137"/>
      <c r="Y301" s="137"/>
      <c r="Z301" s="137"/>
    </row>
    <row r="302" ht="69" spans="1:26">
      <c r="A302" s="108" t="s">
        <v>963</v>
      </c>
      <c r="B302" s="92" t="s">
        <v>964</v>
      </c>
      <c r="C302" s="92" t="s">
        <v>965</v>
      </c>
      <c r="D302" s="100" t="s">
        <v>966</v>
      </c>
      <c r="E302" s="92" t="s">
        <v>967</v>
      </c>
      <c r="F302" s="92" t="s">
        <v>38</v>
      </c>
      <c r="G302" s="108" t="s">
        <v>11</v>
      </c>
      <c r="H302" s="92"/>
      <c r="I302" s="70" t="s">
        <v>39</v>
      </c>
      <c r="J302" s="137"/>
      <c r="K302" s="137"/>
      <c r="L302" s="137"/>
      <c r="M302" s="137"/>
      <c r="N302" s="137"/>
      <c r="O302" s="137"/>
      <c r="P302" s="137"/>
      <c r="Q302" s="137"/>
      <c r="R302" s="137"/>
      <c r="S302" s="137"/>
      <c r="T302" s="137"/>
      <c r="U302" s="137"/>
      <c r="V302" s="137"/>
      <c r="W302" s="137"/>
      <c r="X302" s="137"/>
      <c r="Y302" s="137"/>
      <c r="Z302" s="137"/>
    </row>
    <row r="303" ht="69" spans="1:26">
      <c r="A303" s="108" t="s">
        <v>968</v>
      </c>
      <c r="B303" s="92" t="s">
        <v>969</v>
      </c>
      <c r="C303" s="92" t="s">
        <v>965</v>
      </c>
      <c r="D303" s="100" t="s">
        <v>970</v>
      </c>
      <c r="E303" s="92" t="s">
        <v>971</v>
      </c>
      <c r="F303" s="92" t="s">
        <v>38</v>
      </c>
      <c r="G303" s="108" t="s">
        <v>11</v>
      </c>
      <c r="H303" s="92"/>
      <c r="I303" s="70" t="s">
        <v>39</v>
      </c>
      <c r="J303" s="137"/>
      <c r="K303" s="137"/>
      <c r="L303" s="137"/>
      <c r="M303" s="137"/>
      <c r="N303" s="137"/>
      <c r="O303" s="137"/>
      <c r="P303" s="137"/>
      <c r="Q303" s="137"/>
      <c r="R303" s="137"/>
      <c r="S303" s="137"/>
      <c r="T303" s="137"/>
      <c r="U303" s="137"/>
      <c r="V303" s="137"/>
      <c r="W303" s="137"/>
      <c r="X303" s="137"/>
      <c r="Y303" s="137"/>
      <c r="Z303" s="137"/>
    </row>
    <row r="304" s="119" customFormat="1" ht="27.6" spans="1:31">
      <c r="A304" s="89" t="s">
        <v>972</v>
      </c>
      <c r="B304" s="89"/>
      <c r="C304" s="89"/>
      <c r="D304" s="89"/>
      <c r="E304" s="89"/>
      <c r="F304" s="89"/>
      <c r="G304" s="89"/>
      <c r="H304" s="89"/>
      <c r="I304" s="89"/>
      <c r="J304" s="147"/>
      <c r="K304" s="147"/>
      <c r="L304" s="147"/>
      <c r="M304" s="147"/>
      <c r="N304" s="147"/>
      <c r="O304" s="147"/>
      <c r="P304" s="147"/>
      <c r="Q304" s="147"/>
      <c r="R304" s="147"/>
      <c r="S304" s="147"/>
      <c r="T304" s="147"/>
      <c r="U304" s="147"/>
      <c r="V304" s="147"/>
      <c r="W304" s="147"/>
      <c r="X304" s="147"/>
      <c r="Y304" s="147"/>
      <c r="Z304" s="147"/>
      <c r="AA304" s="140"/>
      <c r="AB304" s="140"/>
      <c r="AC304" s="140"/>
      <c r="AD304" s="140"/>
      <c r="AE304" s="140"/>
    </row>
    <row r="305" ht="15.6" spans="1:26">
      <c r="A305" s="107" t="s">
        <v>24</v>
      </c>
      <c r="B305" s="107" t="s">
        <v>25</v>
      </c>
      <c r="C305" s="107" t="s">
        <v>26</v>
      </c>
      <c r="D305" s="107" t="s">
        <v>27</v>
      </c>
      <c r="E305" s="107" t="s">
        <v>28</v>
      </c>
      <c r="F305" s="107" t="s">
        <v>29</v>
      </c>
      <c r="G305" s="107" t="s">
        <v>30</v>
      </c>
      <c r="H305" s="128" t="s">
        <v>31</v>
      </c>
      <c r="I305" s="128" t="s">
        <v>32</v>
      </c>
      <c r="J305" s="137"/>
      <c r="K305" s="137"/>
      <c r="L305" s="137"/>
      <c r="M305" s="137"/>
      <c r="N305" s="137"/>
      <c r="O305" s="137"/>
      <c r="P305" s="137"/>
      <c r="Q305" s="137"/>
      <c r="R305" s="137"/>
      <c r="S305" s="137"/>
      <c r="T305" s="137"/>
      <c r="U305" s="137"/>
      <c r="V305" s="137"/>
      <c r="W305" s="137"/>
      <c r="X305" s="137"/>
      <c r="Y305" s="137"/>
      <c r="Z305" s="137"/>
    </row>
    <row r="306" ht="69" spans="1:26">
      <c r="A306" s="108" t="s">
        <v>973</v>
      </c>
      <c r="B306" s="92" t="s">
        <v>974</v>
      </c>
      <c r="C306" s="92" t="s">
        <v>975</v>
      </c>
      <c r="D306" s="100" t="s">
        <v>976</v>
      </c>
      <c r="E306" s="92" t="s">
        <v>977</v>
      </c>
      <c r="F306" s="92" t="s">
        <v>38</v>
      </c>
      <c r="G306" s="108" t="s">
        <v>11</v>
      </c>
      <c r="H306" s="92"/>
      <c r="I306" s="70" t="s">
        <v>39</v>
      </c>
      <c r="J306" s="137"/>
      <c r="K306" s="137"/>
      <c r="L306" s="137"/>
      <c r="M306" s="137"/>
      <c r="N306" s="137"/>
      <c r="O306" s="137"/>
      <c r="P306" s="137"/>
      <c r="Q306" s="137"/>
      <c r="R306" s="137"/>
      <c r="S306" s="137"/>
      <c r="T306" s="137"/>
      <c r="U306" s="137"/>
      <c r="V306" s="137"/>
      <c r="W306" s="137"/>
      <c r="X306" s="137"/>
      <c r="Y306" s="137"/>
      <c r="Z306" s="137"/>
    </row>
    <row r="307" ht="41.4" spans="1:26">
      <c r="A307" s="108" t="s">
        <v>978</v>
      </c>
      <c r="B307" s="92" t="s">
        <v>979</v>
      </c>
      <c r="C307" s="92" t="s">
        <v>975</v>
      </c>
      <c r="D307" s="100" t="s">
        <v>980</v>
      </c>
      <c r="E307" s="92" t="s">
        <v>981</v>
      </c>
      <c r="F307" s="92" t="s">
        <v>38</v>
      </c>
      <c r="G307" s="108" t="s">
        <v>11</v>
      </c>
      <c r="H307" s="92"/>
      <c r="I307" s="70" t="s">
        <v>39</v>
      </c>
      <c r="J307" s="137"/>
      <c r="K307" s="137"/>
      <c r="L307" s="137"/>
      <c r="M307" s="137"/>
      <c r="N307" s="137"/>
      <c r="O307" s="137"/>
      <c r="P307" s="137"/>
      <c r="Q307" s="137"/>
      <c r="R307" s="137"/>
      <c r="S307" s="137"/>
      <c r="T307" s="137"/>
      <c r="U307" s="137"/>
      <c r="V307" s="137"/>
      <c r="W307" s="137"/>
      <c r="X307" s="137"/>
      <c r="Y307" s="137"/>
      <c r="Z307" s="137"/>
    </row>
    <row r="308" ht="55.2" spans="1:26">
      <c r="A308" s="108" t="s">
        <v>982</v>
      </c>
      <c r="B308" s="92" t="s">
        <v>983</v>
      </c>
      <c r="C308" s="92" t="s">
        <v>975</v>
      </c>
      <c r="D308" s="100" t="s">
        <v>984</v>
      </c>
      <c r="E308" s="92" t="s">
        <v>985</v>
      </c>
      <c r="F308" s="92" t="s">
        <v>38</v>
      </c>
      <c r="G308" s="108" t="s">
        <v>11</v>
      </c>
      <c r="H308" s="92"/>
      <c r="I308" s="70" t="s">
        <v>39</v>
      </c>
      <c r="J308" s="137"/>
      <c r="K308" s="137"/>
      <c r="L308" s="137"/>
      <c r="M308" s="137"/>
      <c r="N308" s="137"/>
      <c r="O308" s="137"/>
      <c r="P308" s="137"/>
      <c r="Q308" s="137"/>
      <c r="R308" s="137"/>
      <c r="S308" s="137"/>
      <c r="T308" s="137"/>
      <c r="U308" s="137"/>
      <c r="V308" s="137"/>
      <c r="W308" s="137"/>
      <c r="X308" s="137"/>
      <c r="Y308" s="137"/>
      <c r="Z308" s="137"/>
    </row>
    <row r="309" ht="55.2" spans="1:26">
      <c r="A309" s="108" t="s">
        <v>986</v>
      </c>
      <c r="B309" s="92" t="s">
        <v>987</v>
      </c>
      <c r="C309" s="92" t="s">
        <v>975</v>
      </c>
      <c r="D309" s="100" t="s">
        <v>988</v>
      </c>
      <c r="E309" s="92" t="s">
        <v>989</v>
      </c>
      <c r="F309" s="92" t="s">
        <v>38</v>
      </c>
      <c r="G309" s="108" t="s">
        <v>11</v>
      </c>
      <c r="H309" s="92"/>
      <c r="I309" s="70" t="s">
        <v>39</v>
      </c>
      <c r="J309" s="137"/>
      <c r="K309" s="137"/>
      <c r="L309" s="137"/>
      <c r="M309" s="137"/>
      <c r="N309" s="137"/>
      <c r="O309" s="137"/>
      <c r="P309" s="137"/>
      <c r="Q309" s="137"/>
      <c r="R309" s="137"/>
      <c r="S309" s="137"/>
      <c r="T309" s="137"/>
      <c r="U309" s="137"/>
      <c r="V309" s="137"/>
      <c r="W309" s="137"/>
      <c r="X309" s="137"/>
      <c r="Y309" s="137"/>
      <c r="Z309" s="137"/>
    </row>
    <row r="310" ht="55.2" spans="1:26">
      <c r="A310" s="108" t="s">
        <v>990</v>
      </c>
      <c r="B310" s="92" t="s">
        <v>991</v>
      </c>
      <c r="C310" s="92" t="s">
        <v>975</v>
      </c>
      <c r="D310" s="100" t="s">
        <v>992</v>
      </c>
      <c r="E310" s="92" t="s">
        <v>993</v>
      </c>
      <c r="F310" s="92" t="s">
        <v>38</v>
      </c>
      <c r="G310" s="108" t="s">
        <v>11</v>
      </c>
      <c r="H310" s="92"/>
      <c r="I310" s="70" t="s">
        <v>39</v>
      </c>
      <c r="J310" s="137"/>
      <c r="K310" s="137"/>
      <c r="L310" s="137"/>
      <c r="M310" s="137"/>
      <c r="N310" s="137"/>
      <c r="O310" s="137"/>
      <c r="P310" s="137"/>
      <c r="Q310" s="137"/>
      <c r="R310" s="137"/>
      <c r="S310" s="137"/>
      <c r="T310" s="137"/>
      <c r="U310" s="137"/>
      <c r="V310" s="137"/>
      <c r="W310" s="137"/>
      <c r="X310" s="137"/>
      <c r="Y310" s="137"/>
      <c r="Z310" s="137"/>
    </row>
    <row r="311" ht="55.2" spans="1:26">
      <c r="A311" s="108" t="s">
        <v>994</v>
      </c>
      <c r="B311" s="92" t="s">
        <v>995</v>
      </c>
      <c r="C311" s="92" t="s">
        <v>975</v>
      </c>
      <c r="D311" s="100" t="s">
        <v>996</v>
      </c>
      <c r="E311" s="92" t="s">
        <v>997</v>
      </c>
      <c r="F311" s="92" t="s">
        <v>38</v>
      </c>
      <c r="G311" s="108" t="s">
        <v>11</v>
      </c>
      <c r="H311" s="92"/>
      <c r="I311" s="70" t="s">
        <v>39</v>
      </c>
      <c r="J311" s="137"/>
      <c r="K311" s="137"/>
      <c r="L311" s="137"/>
      <c r="M311" s="137"/>
      <c r="N311" s="137"/>
      <c r="O311" s="137"/>
      <c r="P311" s="137"/>
      <c r="Q311" s="137"/>
      <c r="R311" s="137"/>
      <c r="S311" s="137"/>
      <c r="T311" s="137"/>
      <c r="U311" s="137"/>
      <c r="V311" s="137"/>
      <c r="W311" s="137"/>
      <c r="X311" s="137"/>
      <c r="Y311" s="137"/>
      <c r="Z311" s="137"/>
    </row>
    <row r="312" ht="55.2" spans="1:26">
      <c r="A312" s="108" t="s">
        <v>998</v>
      </c>
      <c r="B312" s="92" t="s">
        <v>999</v>
      </c>
      <c r="C312" s="92" t="s">
        <v>975</v>
      </c>
      <c r="D312" s="100" t="s">
        <v>1000</v>
      </c>
      <c r="E312" s="92" t="s">
        <v>1001</v>
      </c>
      <c r="F312" s="92" t="s">
        <v>38</v>
      </c>
      <c r="G312" s="108" t="s">
        <v>11</v>
      </c>
      <c r="H312" s="92"/>
      <c r="I312" s="70" t="s">
        <v>39</v>
      </c>
      <c r="J312" s="137"/>
      <c r="K312" s="137"/>
      <c r="L312" s="137"/>
      <c r="M312" s="137"/>
      <c r="N312" s="137"/>
      <c r="O312" s="137"/>
      <c r="P312" s="137"/>
      <c r="Q312" s="137"/>
      <c r="R312" s="137"/>
      <c r="S312" s="137"/>
      <c r="T312" s="137"/>
      <c r="U312" s="137"/>
      <c r="V312" s="137"/>
      <c r="W312" s="137"/>
      <c r="X312" s="137"/>
      <c r="Y312" s="137"/>
      <c r="Z312" s="137"/>
    </row>
    <row r="313" ht="55.2" spans="1:26">
      <c r="A313" s="108" t="s">
        <v>1002</v>
      </c>
      <c r="B313" s="92" t="s">
        <v>1003</v>
      </c>
      <c r="C313" s="92" t="s">
        <v>975</v>
      </c>
      <c r="D313" s="100" t="s">
        <v>1004</v>
      </c>
      <c r="E313" s="92" t="s">
        <v>1005</v>
      </c>
      <c r="F313" s="92" t="s">
        <v>38</v>
      </c>
      <c r="G313" s="108" t="s">
        <v>11</v>
      </c>
      <c r="H313" s="92"/>
      <c r="I313" s="70" t="s">
        <v>39</v>
      </c>
      <c r="J313" s="137"/>
      <c r="K313" s="137"/>
      <c r="L313" s="137"/>
      <c r="M313" s="137"/>
      <c r="N313" s="137"/>
      <c r="O313" s="137"/>
      <c r="P313" s="137"/>
      <c r="Q313" s="137"/>
      <c r="R313" s="137"/>
      <c r="S313" s="137"/>
      <c r="T313" s="137"/>
      <c r="U313" s="137"/>
      <c r="V313" s="137"/>
      <c r="W313" s="137"/>
      <c r="X313" s="137"/>
      <c r="Y313" s="137"/>
      <c r="Z313" s="137"/>
    </row>
    <row r="314" ht="55.2" spans="1:26">
      <c r="A314" s="108" t="s">
        <v>1006</v>
      </c>
      <c r="B314" s="92" t="s">
        <v>1007</v>
      </c>
      <c r="C314" s="92" t="s">
        <v>975</v>
      </c>
      <c r="D314" s="100" t="s">
        <v>1008</v>
      </c>
      <c r="E314" s="92" t="s">
        <v>1009</v>
      </c>
      <c r="F314" s="92" t="s">
        <v>38</v>
      </c>
      <c r="G314" s="108" t="s">
        <v>11</v>
      </c>
      <c r="H314" s="92"/>
      <c r="I314" s="70" t="s">
        <v>39</v>
      </c>
      <c r="J314" s="137"/>
      <c r="K314" s="137"/>
      <c r="L314" s="137"/>
      <c r="M314" s="137"/>
      <c r="N314" s="137"/>
      <c r="O314" s="137"/>
      <c r="P314" s="137"/>
      <c r="Q314" s="137"/>
      <c r="R314" s="137"/>
      <c r="S314" s="137"/>
      <c r="T314" s="137"/>
      <c r="U314" s="137"/>
      <c r="V314" s="137"/>
      <c r="W314" s="137"/>
      <c r="X314" s="137"/>
      <c r="Y314" s="137"/>
      <c r="Z314" s="137"/>
    </row>
    <row r="315" ht="41.4" spans="1:26">
      <c r="A315" s="108" t="s">
        <v>1010</v>
      </c>
      <c r="B315" s="92" t="s">
        <v>1011</v>
      </c>
      <c r="C315" s="92" t="s">
        <v>975</v>
      </c>
      <c r="D315" s="100" t="s">
        <v>980</v>
      </c>
      <c r="E315" s="92" t="s">
        <v>1012</v>
      </c>
      <c r="F315" s="92" t="s">
        <v>38</v>
      </c>
      <c r="G315" s="108" t="s">
        <v>11</v>
      </c>
      <c r="H315" s="92"/>
      <c r="I315" s="70" t="s">
        <v>39</v>
      </c>
      <c r="J315" s="137"/>
      <c r="K315" s="137"/>
      <c r="L315" s="137"/>
      <c r="M315" s="137"/>
      <c r="N315" s="137"/>
      <c r="O315" s="137"/>
      <c r="P315" s="137"/>
      <c r="Q315" s="137"/>
      <c r="R315" s="137"/>
      <c r="S315" s="137"/>
      <c r="T315" s="137"/>
      <c r="U315" s="137"/>
      <c r="V315" s="137"/>
      <c r="W315" s="137"/>
      <c r="X315" s="137"/>
      <c r="Y315" s="137"/>
      <c r="Z315" s="137"/>
    </row>
    <row r="316" ht="55.2" spans="1:26">
      <c r="A316" s="108" t="s">
        <v>1013</v>
      </c>
      <c r="B316" s="92" t="s">
        <v>1014</v>
      </c>
      <c r="C316" s="92" t="s">
        <v>975</v>
      </c>
      <c r="D316" s="100" t="s">
        <v>1015</v>
      </c>
      <c r="E316" s="92" t="s">
        <v>1016</v>
      </c>
      <c r="F316" s="92" t="s">
        <v>38</v>
      </c>
      <c r="G316" s="108" t="s">
        <v>11</v>
      </c>
      <c r="H316" s="92"/>
      <c r="I316" s="70" t="s">
        <v>39</v>
      </c>
      <c r="J316" s="137"/>
      <c r="K316" s="137"/>
      <c r="L316" s="137"/>
      <c r="M316" s="137"/>
      <c r="N316" s="137"/>
      <c r="O316" s="137"/>
      <c r="P316" s="137"/>
      <c r="Q316" s="137"/>
      <c r="R316" s="137"/>
      <c r="S316" s="137"/>
      <c r="T316" s="137"/>
      <c r="U316" s="137"/>
      <c r="V316" s="137"/>
      <c r="W316" s="137"/>
      <c r="X316" s="137"/>
      <c r="Y316" s="137"/>
      <c r="Z316" s="137"/>
    </row>
    <row r="317" ht="55.2" spans="1:26">
      <c r="A317" s="108" t="s">
        <v>1017</v>
      </c>
      <c r="B317" s="92" t="s">
        <v>1018</v>
      </c>
      <c r="C317" s="92" t="s">
        <v>975</v>
      </c>
      <c r="D317" s="100" t="s">
        <v>1019</v>
      </c>
      <c r="E317" s="92" t="s">
        <v>1020</v>
      </c>
      <c r="F317" s="92" t="s">
        <v>38</v>
      </c>
      <c r="G317" s="108" t="s">
        <v>11</v>
      </c>
      <c r="H317" s="92"/>
      <c r="I317" s="70" t="s">
        <v>39</v>
      </c>
      <c r="J317" s="137"/>
      <c r="K317" s="137"/>
      <c r="L317" s="137"/>
      <c r="M317" s="137"/>
      <c r="N317" s="137"/>
      <c r="O317" s="137"/>
      <c r="P317" s="137"/>
      <c r="Q317" s="137"/>
      <c r="R317" s="137"/>
      <c r="S317" s="137"/>
      <c r="T317" s="137"/>
      <c r="U317" s="137"/>
      <c r="V317" s="137"/>
      <c r="W317" s="137"/>
      <c r="X317" s="137"/>
      <c r="Y317" s="137"/>
      <c r="Z317" s="137"/>
    </row>
    <row r="318" ht="55.2" spans="1:26">
      <c r="A318" s="108" t="s">
        <v>1021</v>
      </c>
      <c r="B318" s="92" t="s">
        <v>1022</v>
      </c>
      <c r="C318" s="92" t="s">
        <v>975</v>
      </c>
      <c r="D318" s="100" t="s">
        <v>1023</v>
      </c>
      <c r="E318" s="92" t="s">
        <v>1024</v>
      </c>
      <c r="F318" s="92" t="s">
        <v>38</v>
      </c>
      <c r="G318" s="108" t="s">
        <v>11</v>
      </c>
      <c r="H318" s="92"/>
      <c r="I318" s="70" t="s">
        <v>39</v>
      </c>
      <c r="J318" s="137"/>
      <c r="K318" s="137"/>
      <c r="L318" s="137"/>
      <c r="M318" s="137"/>
      <c r="N318" s="137"/>
      <c r="O318" s="137"/>
      <c r="P318" s="137"/>
      <c r="Q318" s="137"/>
      <c r="R318" s="137"/>
      <c r="S318" s="137"/>
      <c r="T318" s="137"/>
      <c r="U318" s="137"/>
      <c r="V318" s="137"/>
      <c r="W318" s="137"/>
      <c r="X318" s="137"/>
      <c r="Y318" s="137"/>
      <c r="Z318" s="137"/>
    </row>
    <row r="319" ht="55.2" spans="1:26">
      <c r="A319" s="108" t="s">
        <v>1025</v>
      </c>
      <c r="B319" s="92" t="s">
        <v>1026</v>
      </c>
      <c r="C319" s="92" t="s">
        <v>975</v>
      </c>
      <c r="D319" s="100" t="s">
        <v>1027</v>
      </c>
      <c r="E319" s="92" t="s">
        <v>1024</v>
      </c>
      <c r="F319" s="92" t="s">
        <v>38</v>
      </c>
      <c r="G319" s="108" t="s">
        <v>11</v>
      </c>
      <c r="H319" s="92"/>
      <c r="I319" s="70" t="s">
        <v>39</v>
      </c>
      <c r="J319" s="137"/>
      <c r="K319" s="137"/>
      <c r="L319" s="137"/>
      <c r="M319" s="137"/>
      <c r="N319" s="137"/>
      <c r="O319" s="137"/>
      <c r="P319" s="137"/>
      <c r="Q319" s="137"/>
      <c r="R319" s="137"/>
      <c r="S319" s="137"/>
      <c r="T319" s="137"/>
      <c r="U319" s="137"/>
      <c r="V319" s="137"/>
      <c r="W319" s="137"/>
      <c r="X319" s="137"/>
      <c r="Y319" s="137"/>
      <c r="Z319" s="137"/>
    </row>
    <row r="320" ht="55.2" spans="1:26">
      <c r="A320" s="108" t="s">
        <v>1028</v>
      </c>
      <c r="B320" s="92" t="s">
        <v>1029</v>
      </c>
      <c r="C320" s="92" t="s">
        <v>975</v>
      </c>
      <c r="D320" s="100" t="s">
        <v>1030</v>
      </c>
      <c r="E320" s="92" t="s">
        <v>1031</v>
      </c>
      <c r="F320" s="92" t="s">
        <v>38</v>
      </c>
      <c r="G320" s="108" t="s">
        <v>11</v>
      </c>
      <c r="H320" s="92"/>
      <c r="I320" s="70" t="s">
        <v>39</v>
      </c>
      <c r="J320" s="137"/>
      <c r="K320" s="137"/>
      <c r="L320" s="137"/>
      <c r="M320" s="137"/>
      <c r="N320" s="137"/>
      <c r="O320" s="137"/>
      <c r="P320" s="137"/>
      <c r="Q320" s="137"/>
      <c r="R320" s="137"/>
      <c r="S320" s="137"/>
      <c r="T320" s="137"/>
      <c r="U320" s="137"/>
      <c r="V320" s="137"/>
      <c r="W320" s="137"/>
      <c r="X320" s="137"/>
      <c r="Y320" s="137"/>
      <c r="Z320" s="137"/>
    </row>
    <row r="321" ht="55.2" spans="1:26">
      <c r="A321" s="108" t="s">
        <v>1032</v>
      </c>
      <c r="B321" s="92" t="s">
        <v>1033</v>
      </c>
      <c r="C321" s="92" t="s">
        <v>975</v>
      </c>
      <c r="D321" s="100" t="s">
        <v>1034</v>
      </c>
      <c r="E321" s="92" t="s">
        <v>1035</v>
      </c>
      <c r="F321" s="92" t="s">
        <v>38</v>
      </c>
      <c r="G321" s="108" t="s">
        <v>11</v>
      </c>
      <c r="H321" s="92"/>
      <c r="I321" s="70" t="s">
        <v>39</v>
      </c>
      <c r="J321" s="137"/>
      <c r="K321" s="137"/>
      <c r="L321" s="137"/>
      <c r="M321" s="137"/>
      <c r="N321" s="137"/>
      <c r="O321" s="137"/>
      <c r="P321" s="137"/>
      <c r="Q321" s="137"/>
      <c r="R321" s="137"/>
      <c r="S321" s="137"/>
      <c r="T321" s="137"/>
      <c r="U321" s="137"/>
      <c r="V321" s="137"/>
      <c r="W321" s="137"/>
      <c r="X321" s="137"/>
      <c r="Y321" s="137"/>
      <c r="Z321" s="137"/>
    </row>
    <row r="322" ht="55.2" spans="1:26">
      <c r="A322" s="108" t="s">
        <v>1036</v>
      </c>
      <c r="B322" s="92" t="s">
        <v>1037</v>
      </c>
      <c r="C322" s="92" t="s">
        <v>975</v>
      </c>
      <c r="D322" s="100" t="s">
        <v>1038</v>
      </c>
      <c r="E322" s="92" t="s">
        <v>1039</v>
      </c>
      <c r="F322" s="92" t="s">
        <v>38</v>
      </c>
      <c r="G322" s="108" t="s">
        <v>11</v>
      </c>
      <c r="H322" s="92"/>
      <c r="I322" s="70" t="s">
        <v>39</v>
      </c>
      <c r="J322" s="137"/>
      <c r="K322" s="137"/>
      <c r="L322" s="137"/>
      <c r="M322" s="137"/>
      <c r="N322" s="137"/>
      <c r="O322" s="137"/>
      <c r="P322" s="137"/>
      <c r="Q322" s="137"/>
      <c r="R322" s="137"/>
      <c r="S322" s="137"/>
      <c r="T322" s="137"/>
      <c r="U322" s="137"/>
      <c r="V322" s="137"/>
      <c r="W322" s="137"/>
      <c r="X322" s="137"/>
      <c r="Y322" s="137"/>
      <c r="Z322" s="137"/>
    </row>
    <row r="323" ht="69" spans="1:26">
      <c r="A323" s="108" t="s">
        <v>1040</v>
      </c>
      <c r="B323" s="92" t="s">
        <v>1041</v>
      </c>
      <c r="C323" s="92" t="s">
        <v>975</v>
      </c>
      <c r="D323" s="100" t="s">
        <v>1042</v>
      </c>
      <c r="E323" s="92" t="s">
        <v>1043</v>
      </c>
      <c r="F323" s="92" t="s">
        <v>38</v>
      </c>
      <c r="G323" s="108" t="s">
        <v>11</v>
      </c>
      <c r="H323" s="92"/>
      <c r="I323" s="70" t="s">
        <v>39</v>
      </c>
      <c r="J323" s="137"/>
      <c r="K323" s="137"/>
      <c r="L323" s="137"/>
      <c r="M323" s="137"/>
      <c r="N323" s="137"/>
      <c r="O323" s="137"/>
      <c r="P323" s="137"/>
      <c r="Q323" s="137"/>
      <c r="R323" s="137"/>
      <c r="S323" s="137"/>
      <c r="T323" s="137"/>
      <c r="U323" s="137"/>
      <c r="V323" s="137"/>
      <c r="W323" s="137"/>
      <c r="X323" s="137"/>
      <c r="Y323" s="137"/>
      <c r="Z323" s="137"/>
    </row>
    <row r="324" ht="55.2" spans="1:26">
      <c r="A324" s="108" t="s">
        <v>1044</v>
      </c>
      <c r="B324" s="92" t="s">
        <v>1045</v>
      </c>
      <c r="C324" s="92" t="s">
        <v>975</v>
      </c>
      <c r="D324" s="100" t="s">
        <v>1046</v>
      </c>
      <c r="E324" s="92" t="s">
        <v>1047</v>
      </c>
      <c r="F324" s="92" t="s">
        <v>38</v>
      </c>
      <c r="G324" s="108" t="s">
        <v>11</v>
      </c>
      <c r="H324" s="92"/>
      <c r="I324" s="70" t="s">
        <v>39</v>
      </c>
      <c r="J324" s="137"/>
      <c r="K324" s="137"/>
      <c r="L324" s="137"/>
      <c r="M324" s="137"/>
      <c r="N324" s="137"/>
      <c r="O324" s="137"/>
      <c r="P324" s="137"/>
      <c r="Q324" s="137"/>
      <c r="R324" s="137"/>
      <c r="S324" s="137"/>
      <c r="T324" s="137"/>
      <c r="U324" s="137"/>
      <c r="V324" s="137"/>
      <c r="W324" s="137"/>
      <c r="X324" s="137"/>
      <c r="Y324" s="137"/>
      <c r="Z324" s="137"/>
    </row>
    <row r="325" ht="55.2" spans="1:26">
      <c r="A325" s="108" t="s">
        <v>1048</v>
      </c>
      <c r="B325" s="92" t="s">
        <v>1049</v>
      </c>
      <c r="C325" s="92" t="s">
        <v>975</v>
      </c>
      <c r="D325" s="100" t="s">
        <v>1050</v>
      </c>
      <c r="E325" s="92" t="s">
        <v>1051</v>
      </c>
      <c r="F325" s="92" t="s">
        <v>38</v>
      </c>
      <c r="G325" s="108" t="s">
        <v>11</v>
      </c>
      <c r="H325" s="92"/>
      <c r="I325" s="70" t="s">
        <v>39</v>
      </c>
      <c r="J325" s="137"/>
      <c r="K325" s="137"/>
      <c r="L325" s="137"/>
      <c r="M325" s="137"/>
      <c r="N325" s="137"/>
      <c r="O325" s="137"/>
      <c r="P325" s="137"/>
      <c r="Q325" s="137"/>
      <c r="R325" s="137"/>
      <c r="S325" s="137"/>
      <c r="T325" s="137"/>
      <c r="U325" s="137"/>
      <c r="V325" s="137"/>
      <c r="W325" s="137"/>
      <c r="X325" s="137"/>
      <c r="Y325" s="137"/>
      <c r="Z325" s="137"/>
    </row>
    <row r="326" ht="55.2" spans="1:26">
      <c r="A326" s="108" t="s">
        <v>1052</v>
      </c>
      <c r="B326" s="92" t="s">
        <v>1053</v>
      </c>
      <c r="C326" s="92" t="s">
        <v>975</v>
      </c>
      <c r="D326" s="100" t="s">
        <v>1050</v>
      </c>
      <c r="E326" s="92" t="s">
        <v>1054</v>
      </c>
      <c r="F326" s="92" t="s">
        <v>38</v>
      </c>
      <c r="G326" s="108" t="s">
        <v>11</v>
      </c>
      <c r="H326" s="92"/>
      <c r="I326" s="70" t="s">
        <v>39</v>
      </c>
      <c r="J326" s="137"/>
      <c r="K326" s="137"/>
      <c r="L326" s="137"/>
      <c r="M326" s="137"/>
      <c r="N326" s="137"/>
      <c r="O326" s="137"/>
      <c r="P326" s="137"/>
      <c r="Q326" s="137"/>
      <c r="R326" s="137"/>
      <c r="S326" s="137"/>
      <c r="T326" s="137"/>
      <c r="U326" s="137"/>
      <c r="V326" s="137"/>
      <c r="W326" s="137"/>
      <c r="X326" s="137"/>
      <c r="Y326" s="137"/>
      <c r="Z326" s="137"/>
    </row>
    <row r="327" ht="55.2" spans="1:26">
      <c r="A327" s="108" t="s">
        <v>1055</v>
      </c>
      <c r="B327" s="92" t="s">
        <v>1056</v>
      </c>
      <c r="C327" s="92" t="s">
        <v>975</v>
      </c>
      <c r="D327" s="100" t="s">
        <v>1057</v>
      </c>
      <c r="E327" s="92" t="s">
        <v>1058</v>
      </c>
      <c r="F327" s="92" t="s">
        <v>38</v>
      </c>
      <c r="G327" s="108" t="s">
        <v>11</v>
      </c>
      <c r="H327" s="92"/>
      <c r="I327" s="70" t="s">
        <v>39</v>
      </c>
      <c r="J327" s="137"/>
      <c r="K327" s="137"/>
      <c r="L327" s="137"/>
      <c r="M327" s="137"/>
      <c r="N327" s="137"/>
      <c r="O327" s="137"/>
      <c r="P327" s="137"/>
      <c r="Q327" s="137"/>
      <c r="R327" s="137"/>
      <c r="S327" s="137"/>
      <c r="T327" s="137"/>
      <c r="U327" s="137"/>
      <c r="V327" s="137"/>
      <c r="W327" s="137"/>
      <c r="X327" s="137"/>
      <c r="Y327" s="137"/>
      <c r="Z327" s="137"/>
    </row>
    <row r="328" ht="55.2" spans="1:26">
      <c r="A328" s="108" t="s">
        <v>1059</v>
      </c>
      <c r="B328" s="92" t="s">
        <v>1060</v>
      </c>
      <c r="C328" s="92" t="s">
        <v>975</v>
      </c>
      <c r="D328" s="100" t="s">
        <v>1061</v>
      </c>
      <c r="E328" s="92" t="s">
        <v>1062</v>
      </c>
      <c r="F328" s="92" t="s">
        <v>38</v>
      </c>
      <c r="G328" s="108" t="s">
        <v>11</v>
      </c>
      <c r="H328" s="92"/>
      <c r="I328" s="70" t="s">
        <v>39</v>
      </c>
      <c r="J328" s="137"/>
      <c r="K328" s="137"/>
      <c r="L328" s="137"/>
      <c r="M328" s="137"/>
      <c r="N328" s="137"/>
      <c r="O328" s="137"/>
      <c r="P328" s="137"/>
      <c r="Q328" s="137"/>
      <c r="R328" s="137"/>
      <c r="S328" s="137"/>
      <c r="T328" s="137"/>
      <c r="U328" s="137"/>
      <c r="V328" s="137"/>
      <c r="W328" s="137"/>
      <c r="X328" s="137"/>
      <c r="Y328" s="137"/>
      <c r="Z328" s="137"/>
    </row>
    <row r="329" ht="55.2" spans="1:26">
      <c r="A329" s="108" t="s">
        <v>1063</v>
      </c>
      <c r="B329" s="92" t="s">
        <v>1064</v>
      </c>
      <c r="C329" s="92" t="s">
        <v>975</v>
      </c>
      <c r="D329" s="100" t="s">
        <v>1065</v>
      </c>
      <c r="E329" s="92" t="s">
        <v>1066</v>
      </c>
      <c r="F329" s="92" t="s">
        <v>38</v>
      </c>
      <c r="G329" s="108" t="s">
        <v>11</v>
      </c>
      <c r="H329" s="92"/>
      <c r="I329" s="70" t="s">
        <v>39</v>
      </c>
      <c r="J329" s="137"/>
      <c r="K329" s="137"/>
      <c r="L329" s="137"/>
      <c r="M329" s="137"/>
      <c r="N329" s="137"/>
      <c r="O329" s="137"/>
      <c r="P329" s="137"/>
      <c r="Q329" s="137"/>
      <c r="R329" s="137"/>
      <c r="S329" s="137"/>
      <c r="T329" s="137"/>
      <c r="U329" s="137"/>
      <c r="V329" s="137"/>
      <c r="W329" s="137"/>
      <c r="X329" s="137"/>
      <c r="Y329" s="137"/>
      <c r="Z329" s="137"/>
    </row>
    <row r="330" ht="55.2" spans="1:26">
      <c r="A330" s="108" t="s">
        <v>1067</v>
      </c>
      <c r="B330" s="92" t="s">
        <v>1068</v>
      </c>
      <c r="C330" s="92" t="s">
        <v>975</v>
      </c>
      <c r="D330" s="100" t="s">
        <v>1069</v>
      </c>
      <c r="E330" s="92" t="s">
        <v>1070</v>
      </c>
      <c r="F330" s="92" t="s">
        <v>38</v>
      </c>
      <c r="G330" s="108" t="s">
        <v>11</v>
      </c>
      <c r="H330" s="92"/>
      <c r="I330" s="70" t="s">
        <v>39</v>
      </c>
      <c r="J330" s="137"/>
      <c r="K330" s="137"/>
      <c r="L330" s="137"/>
      <c r="M330" s="137"/>
      <c r="N330" s="137"/>
      <c r="O330" s="137"/>
      <c r="P330" s="137"/>
      <c r="Q330" s="137"/>
      <c r="R330" s="137"/>
      <c r="S330" s="137"/>
      <c r="T330" s="137"/>
      <c r="U330" s="137"/>
      <c r="V330" s="137"/>
      <c r="W330" s="137"/>
      <c r="X330" s="137"/>
      <c r="Y330" s="137"/>
      <c r="Z330" s="137"/>
    </row>
    <row r="331" ht="55.2" spans="1:26">
      <c r="A331" s="108" t="s">
        <v>1071</v>
      </c>
      <c r="B331" s="92" t="s">
        <v>1072</v>
      </c>
      <c r="C331" s="92" t="s">
        <v>975</v>
      </c>
      <c r="D331" s="100" t="s">
        <v>1073</v>
      </c>
      <c r="E331" s="92" t="s">
        <v>1074</v>
      </c>
      <c r="F331" s="92" t="s">
        <v>38</v>
      </c>
      <c r="G331" s="108" t="s">
        <v>11</v>
      </c>
      <c r="H331" s="92"/>
      <c r="I331" s="70" t="s">
        <v>39</v>
      </c>
      <c r="J331" s="137"/>
      <c r="K331" s="137"/>
      <c r="L331" s="137"/>
      <c r="M331" s="137"/>
      <c r="N331" s="137"/>
      <c r="O331" s="137"/>
      <c r="P331" s="137"/>
      <c r="Q331" s="137"/>
      <c r="R331" s="137"/>
      <c r="S331" s="137"/>
      <c r="T331" s="137"/>
      <c r="U331" s="137"/>
      <c r="V331" s="137"/>
      <c r="W331" s="137"/>
      <c r="X331" s="137"/>
      <c r="Y331" s="137"/>
      <c r="Z331" s="137"/>
    </row>
    <row r="332" ht="55.2" spans="1:26">
      <c r="A332" s="108" t="s">
        <v>1075</v>
      </c>
      <c r="B332" s="92" t="s">
        <v>1076</v>
      </c>
      <c r="C332" s="92" t="s">
        <v>1077</v>
      </c>
      <c r="D332" s="100" t="s">
        <v>1078</v>
      </c>
      <c r="E332" s="92" t="s">
        <v>1079</v>
      </c>
      <c r="F332" s="92" t="s">
        <v>38</v>
      </c>
      <c r="G332" s="108" t="s">
        <v>11</v>
      </c>
      <c r="H332" s="92"/>
      <c r="I332" s="70" t="s">
        <v>39</v>
      </c>
      <c r="J332" s="137"/>
      <c r="K332" s="137"/>
      <c r="L332" s="137"/>
      <c r="M332" s="137"/>
      <c r="N332" s="137"/>
      <c r="O332" s="137"/>
      <c r="P332" s="137"/>
      <c r="Q332" s="137"/>
      <c r="R332" s="137"/>
      <c r="S332" s="137"/>
      <c r="T332" s="137"/>
      <c r="U332" s="137"/>
      <c r="V332" s="137"/>
      <c r="W332" s="137"/>
      <c r="X332" s="137"/>
      <c r="Y332" s="137"/>
      <c r="Z332" s="137"/>
    </row>
    <row r="333" ht="55.2" spans="1:26">
      <c r="A333" s="108" t="s">
        <v>1080</v>
      </c>
      <c r="B333" s="92" t="s">
        <v>1081</v>
      </c>
      <c r="C333" s="92" t="s">
        <v>975</v>
      </c>
      <c r="D333" s="100" t="s">
        <v>1078</v>
      </c>
      <c r="E333" s="92" t="s">
        <v>1079</v>
      </c>
      <c r="F333" s="92" t="s">
        <v>38</v>
      </c>
      <c r="G333" s="108" t="s">
        <v>11</v>
      </c>
      <c r="H333" s="92"/>
      <c r="I333" s="70" t="s">
        <v>39</v>
      </c>
      <c r="J333" s="137"/>
      <c r="K333" s="137"/>
      <c r="L333" s="137"/>
      <c r="M333" s="137"/>
      <c r="N333" s="137"/>
      <c r="O333" s="137"/>
      <c r="P333" s="137"/>
      <c r="Q333" s="137"/>
      <c r="R333" s="137"/>
      <c r="S333" s="137"/>
      <c r="T333" s="137"/>
      <c r="U333" s="137"/>
      <c r="V333" s="137"/>
      <c r="W333" s="137"/>
      <c r="X333" s="137"/>
      <c r="Y333" s="137"/>
      <c r="Z333" s="137"/>
    </row>
    <row r="334" ht="55.2" spans="1:26">
      <c r="A334" s="108" t="s">
        <v>1082</v>
      </c>
      <c r="B334" s="92" t="s">
        <v>1083</v>
      </c>
      <c r="C334" s="92" t="s">
        <v>975</v>
      </c>
      <c r="D334" s="100" t="s">
        <v>1084</v>
      </c>
      <c r="E334" s="92" t="s">
        <v>1085</v>
      </c>
      <c r="F334" s="92" t="s">
        <v>38</v>
      </c>
      <c r="G334" s="108" t="s">
        <v>11</v>
      </c>
      <c r="H334" s="92"/>
      <c r="I334" s="70" t="s">
        <v>39</v>
      </c>
      <c r="J334" s="137"/>
      <c r="K334" s="137"/>
      <c r="L334" s="137"/>
      <c r="M334" s="137"/>
      <c r="N334" s="137"/>
      <c r="O334" s="137"/>
      <c r="P334" s="137"/>
      <c r="Q334" s="137"/>
      <c r="R334" s="137"/>
      <c r="S334" s="137"/>
      <c r="T334" s="137"/>
      <c r="U334" s="137"/>
      <c r="V334" s="137"/>
      <c r="W334" s="137"/>
      <c r="X334" s="137"/>
      <c r="Y334" s="137"/>
      <c r="Z334" s="137"/>
    </row>
    <row r="335" ht="55.2" spans="1:26">
      <c r="A335" s="108" t="s">
        <v>1086</v>
      </c>
      <c r="B335" s="92" t="s">
        <v>1087</v>
      </c>
      <c r="C335" s="92" t="s">
        <v>975</v>
      </c>
      <c r="D335" s="100" t="s">
        <v>1000</v>
      </c>
      <c r="E335" s="92" t="s">
        <v>1088</v>
      </c>
      <c r="F335" s="92" t="s">
        <v>38</v>
      </c>
      <c r="G335" s="108" t="s">
        <v>11</v>
      </c>
      <c r="H335" s="92"/>
      <c r="I335" s="70" t="s">
        <v>39</v>
      </c>
      <c r="J335" s="137"/>
      <c r="K335" s="137"/>
      <c r="L335" s="137"/>
      <c r="M335" s="137"/>
      <c r="N335" s="137"/>
      <c r="O335" s="137"/>
      <c r="P335" s="137"/>
      <c r="Q335" s="137"/>
      <c r="R335" s="137"/>
      <c r="S335" s="137"/>
      <c r="T335" s="137"/>
      <c r="U335" s="137"/>
      <c r="V335" s="137"/>
      <c r="W335" s="137"/>
      <c r="X335" s="137"/>
      <c r="Y335" s="137"/>
      <c r="Z335" s="137"/>
    </row>
    <row r="336" ht="55.2" spans="1:26">
      <c r="A336" s="108" t="s">
        <v>1089</v>
      </c>
      <c r="B336" s="92" t="s">
        <v>1090</v>
      </c>
      <c r="C336" s="92" t="s">
        <v>975</v>
      </c>
      <c r="D336" s="100" t="s">
        <v>1004</v>
      </c>
      <c r="E336" s="92" t="s">
        <v>1091</v>
      </c>
      <c r="F336" s="92" t="s">
        <v>38</v>
      </c>
      <c r="G336" s="108" t="s">
        <v>11</v>
      </c>
      <c r="H336" s="92"/>
      <c r="I336" s="70" t="s">
        <v>39</v>
      </c>
      <c r="J336" s="137"/>
      <c r="K336" s="137"/>
      <c r="L336" s="137"/>
      <c r="M336" s="137"/>
      <c r="N336" s="137"/>
      <c r="O336" s="137"/>
      <c r="P336" s="137"/>
      <c r="Q336" s="137"/>
      <c r="R336" s="137"/>
      <c r="S336" s="137"/>
      <c r="T336" s="137"/>
      <c r="U336" s="137"/>
      <c r="V336" s="137"/>
      <c r="W336" s="137"/>
      <c r="X336" s="137"/>
      <c r="Y336" s="137"/>
      <c r="Z336" s="137"/>
    </row>
    <row r="337" ht="13.2" spans="1:26">
      <c r="A337" s="148"/>
      <c r="B337" s="149"/>
      <c r="C337" s="149"/>
      <c r="D337" s="149"/>
      <c r="E337" s="149"/>
      <c r="F337" s="149"/>
      <c r="G337" s="149"/>
      <c r="H337" s="150"/>
      <c r="I337" s="150"/>
      <c r="J337" s="137"/>
      <c r="K337" s="137"/>
      <c r="L337" s="137"/>
      <c r="M337" s="137"/>
      <c r="N337" s="137"/>
      <c r="O337" s="137"/>
      <c r="P337" s="137"/>
      <c r="Q337" s="137"/>
      <c r="R337" s="137"/>
      <c r="S337" s="137"/>
      <c r="T337" s="137"/>
      <c r="U337" s="137"/>
      <c r="V337" s="137"/>
      <c r="W337" s="137"/>
      <c r="X337" s="137"/>
      <c r="Y337" s="137"/>
      <c r="Z337" s="137"/>
    </row>
    <row r="338" ht="13.2" spans="1:26">
      <c r="A338" s="148"/>
      <c r="B338" s="149"/>
      <c r="C338" s="149"/>
      <c r="D338" s="149"/>
      <c r="E338" s="149"/>
      <c r="F338" s="149"/>
      <c r="G338" s="149"/>
      <c r="H338" s="150"/>
      <c r="I338" s="150"/>
      <c r="J338" s="137"/>
      <c r="K338" s="137"/>
      <c r="L338" s="137"/>
      <c r="M338" s="137"/>
      <c r="N338" s="137"/>
      <c r="O338" s="137"/>
      <c r="P338" s="137"/>
      <c r="Q338" s="137"/>
      <c r="R338" s="137"/>
      <c r="S338" s="137"/>
      <c r="T338" s="137"/>
      <c r="U338" s="137"/>
      <c r="V338" s="137"/>
      <c r="W338" s="137"/>
      <c r="X338" s="137"/>
      <c r="Y338" s="137"/>
      <c r="Z338" s="137"/>
    </row>
    <row r="339" ht="13.2" spans="1:26">
      <c r="A339" s="148"/>
      <c r="B339" s="149"/>
      <c r="C339" s="149"/>
      <c r="D339" s="149"/>
      <c r="E339" s="149"/>
      <c r="F339" s="149"/>
      <c r="G339" s="149"/>
      <c r="H339" s="150"/>
      <c r="I339" s="150"/>
      <c r="J339" s="137"/>
      <c r="K339" s="137"/>
      <c r="L339" s="137"/>
      <c r="M339" s="137"/>
      <c r="N339" s="137"/>
      <c r="O339" s="137"/>
      <c r="P339" s="137"/>
      <c r="Q339" s="137"/>
      <c r="R339" s="137"/>
      <c r="S339" s="137"/>
      <c r="T339" s="137"/>
      <c r="U339" s="137"/>
      <c r="V339" s="137"/>
      <c r="W339" s="137"/>
      <c r="X339" s="137"/>
      <c r="Y339" s="137"/>
      <c r="Z339" s="137"/>
    </row>
    <row r="340" ht="13.2" spans="1:26">
      <c r="A340" s="151"/>
      <c r="B340" s="149"/>
      <c r="C340" s="149"/>
      <c r="D340" s="149"/>
      <c r="E340" s="149"/>
      <c r="F340" s="149"/>
      <c r="G340" s="149"/>
      <c r="H340" s="150"/>
      <c r="I340" s="150"/>
      <c r="J340" s="137"/>
      <c r="K340" s="137"/>
      <c r="L340" s="137"/>
      <c r="M340" s="137"/>
      <c r="N340" s="137"/>
      <c r="O340" s="137"/>
      <c r="P340" s="137"/>
      <c r="Q340" s="137"/>
      <c r="R340" s="137"/>
      <c r="S340" s="137"/>
      <c r="T340" s="137"/>
      <c r="U340" s="137"/>
      <c r="V340" s="137"/>
      <c r="W340" s="137"/>
      <c r="X340" s="137"/>
      <c r="Y340" s="137"/>
      <c r="Z340" s="137"/>
    </row>
    <row r="341" ht="13.2" spans="1:26">
      <c r="A341" s="151"/>
      <c r="B341" s="149"/>
      <c r="C341" s="149"/>
      <c r="D341" s="149"/>
      <c r="E341" s="149"/>
      <c r="F341" s="149"/>
      <c r="G341" s="149"/>
      <c r="H341" s="150"/>
      <c r="I341" s="150"/>
      <c r="J341" s="137"/>
      <c r="K341" s="137"/>
      <c r="L341" s="137"/>
      <c r="M341" s="137"/>
      <c r="N341" s="137"/>
      <c r="O341" s="137"/>
      <c r="P341" s="137"/>
      <c r="Q341" s="137"/>
      <c r="R341" s="137"/>
      <c r="S341" s="137"/>
      <c r="T341" s="137"/>
      <c r="U341" s="137"/>
      <c r="V341" s="137"/>
      <c r="W341" s="137"/>
      <c r="X341" s="137"/>
      <c r="Y341" s="137"/>
      <c r="Z341" s="137"/>
    </row>
    <row r="342" ht="13.2" spans="1:26">
      <c r="A342" s="151"/>
      <c r="B342" s="149"/>
      <c r="C342" s="149"/>
      <c r="D342" s="149"/>
      <c r="E342" s="149"/>
      <c r="F342" s="149"/>
      <c r="G342" s="149"/>
      <c r="H342" s="150"/>
      <c r="I342" s="150"/>
      <c r="J342" s="137"/>
      <c r="K342" s="137"/>
      <c r="L342" s="137"/>
      <c r="M342" s="137"/>
      <c r="N342" s="137"/>
      <c r="O342" s="137"/>
      <c r="P342" s="137"/>
      <c r="Q342" s="137"/>
      <c r="R342" s="137"/>
      <c r="S342" s="137"/>
      <c r="T342" s="137"/>
      <c r="U342" s="137"/>
      <c r="V342" s="137"/>
      <c r="W342" s="137"/>
      <c r="X342" s="137"/>
      <c r="Y342" s="137"/>
      <c r="Z342" s="137"/>
    </row>
    <row r="343" ht="13.2" spans="1:26">
      <c r="A343" s="151"/>
      <c r="B343" s="149"/>
      <c r="C343" s="149"/>
      <c r="D343" s="149"/>
      <c r="E343" s="149"/>
      <c r="F343" s="149"/>
      <c r="G343" s="149"/>
      <c r="H343" s="150"/>
      <c r="I343" s="150"/>
      <c r="J343" s="137"/>
      <c r="K343" s="137"/>
      <c r="L343" s="137"/>
      <c r="M343" s="137"/>
      <c r="N343" s="137"/>
      <c r="O343" s="137"/>
      <c r="P343" s="137"/>
      <c r="Q343" s="137"/>
      <c r="R343" s="137"/>
      <c r="S343" s="137"/>
      <c r="T343" s="137"/>
      <c r="U343" s="137"/>
      <c r="V343" s="137"/>
      <c r="W343" s="137"/>
      <c r="X343" s="137"/>
      <c r="Y343" s="137"/>
      <c r="Z343" s="137"/>
    </row>
    <row r="344" ht="13.2" spans="1:26">
      <c r="A344" s="151"/>
      <c r="B344" s="149"/>
      <c r="C344" s="149"/>
      <c r="D344" s="149"/>
      <c r="E344" s="149"/>
      <c r="F344" s="149"/>
      <c r="G344" s="149"/>
      <c r="H344" s="150"/>
      <c r="I344" s="150"/>
      <c r="J344" s="137"/>
      <c r="K344" s="137"/>
      <c r="L344" s="137"/>
      <c r="M344" s="137"/>
      <c r="N344" s="137"/>
      <c r="O344" s="137"/>
      <c r="P344" s="137"/>
      <c r="Q344" s="137"/>
      <c r="R344" s="137"/>
      <c r="S344" s="137"/>
      <c r="T344" s="137"/>
      <c r="U344" s="137"/>
      <c r="V344" s="137"/>
      <c r="W344" s="137"/>
      <c r="X344" s="137"/>
      <c r="Y344" s="137"/>
      <c r="Z344" s="137"/>
    </row>
    <row r="345" ht="13.2" spans="1:26">
      <c r="A345" s="151"/>
      <c r="B345" s="149"/>
      <c r="C345" s="149"/>
      <c r="D345" s="149"/>
      <c r="E345" s="149"/>
      <c r="F345" s="149"/>
      <c r="G345" s="149"/>
      <c r="H345" s="150"/>
      <c r="I345" s="150"/>
      <c r="J345" s="137"/>
      <c r="K345" s="137"/>
      <c r="L345" s="137"/>
      <c r="M345" s="137"/>
      <c r="N345" s="137"/>
      <c r="O345" s="137"/>
      <c r="P345" s="137"/>
      <c r="Q345" s="137"/>
      <c r="R345" s="137"/>
      <c r="S345" s="137"/>
      <c r="T345" s="137"/>
      <c r="U345" s="137"/>
      <c r="V345" s="137"/>
      <c r="W345" s="137"/>
      <c r="X345" s="137"/>
      <c r="Y345" s="137"/>
      <c r="Z345" s="137"/>
    </row>
    <row r="346" ht="13.2" spans="1:26">
      <c r="A346" s="151"/>
      <c r="B346" s="149"/>
      <c r="C346" s="149"/>
      <c r="D346" s="149"/>
      <c r="E346" s="149"/>
      <c r="F346" s="149"/>
      <c r="G346" s="149"/>
      <c r="H346" s="150"/>
      <c r="I346" s="150"/>
      <c r="J346" s="137"/>
      <c r="K346" s="137"/>
      <c r="L346" s="137"/>
      <c r="M346" s="137"/>
      <c r="N346" s="137"/>
      <c r="O346" s="137"/>
      <c r="P346" s="137"/>
      <c r="Q346" s="137"/>
      <c r="R346" s="137"/>
      <c r="S346" s="137"/>
      <c r="T346" s="137"/>
      <c r="U346" s="137"/>
      <c r="V346" s="137"/>
      <c r="W346" s="137"/>
      <c r="X346" s="137"/>
      <c r="Y346" s="137"/>
      <c r="Z346" s="137"/>
    </row>
    <row r="347" ht="13.2" spans="1:26">
      <c r="A347" s="151"/>
      <c r="B347" s="149"/>
      <c r="C347" s="149"/>
      <c r="D347" s="149"/>
      <c r="E347" s="149"/>
      <c r="F347" s="149"/>
      <c r="G347" s="149"/>
      <c r="H347" s="150"/>
      <c r="I347" s="150"/>
      <c r="J347" s="137"/>
      <c r="K347" s="137"/>
      <c r="L347" s="137"/>
      <c r="M347" s="137"/>
      <c r="N347" s="137"/>
      <c r="O347" s="137"/>
      <c r="P347" s="137"/>
      <c r="Q347" s="137"/>
      <c r="R347" s="137"/>
      <c r="S347" s="137"/>
      <c r="T347" s="137"/>
      <c r="U347" s="137"/>
      <c r="V347" s="137"/>
      <c r="W347" s="137"/>
      <c r="X347" s="137"/>
      <c r="Y347" s="137"/>
      <c r="Z347" s="137"/>
    </row>
    <row r="348" ht="13.2" spans="1:26">
      <c r="A348" s="151"/>
      <c r="B348" s="149"/>
      <c r="C348" s="149"/>
      <c r="D348" s="149"/>
      <c r="E348" s="149"/>
      <c r="F348" s="149"/>
      <c r="G348" s="149"/>
      <c r="H348" s="150"/>
      <c r="I348" s="150"/>
      <c r="J348" s="137"/>
      <c r="K348" s="137"/>
      <c r="L348" s="137"/>
      <c r="M348" s="137"/>
      <c r="N348" s="137"/>
      <c r="O348" s="137"/>
      <c r="P348" s="137"/>
      <c r="Q348" s="137"/>
      <c r="R348" s="137"/>
      <c r="S348" s="137"/>
      <c r="T348" s="137"/>
      <c r="U348" s="137"/>
      <c r="V348" s="137"/>
      <c r="W348" s="137"/>
      <c r="X348" s="137"/>
      <c r="Y348" s="137"/>
      <c r="Z348" s="137"/>
    </row>
    <row r="349" ht="13.2" spans="1:26">
      <c r="A349" s="151"/>
      <c r="B349" s="149"/>
      <c r="C349" s="149"/>
      <c r="D349" s="149"/>
      <c r="E349" s="149"/>
      <c r="F349" s="149"/>
      <c r="G349" s="149"/>
      <c r="H349" s="150"/>
      <c r="I349" s="150"/>
      <c r="J349" s="137"/>
      <c r="K349" s="137"/>
      <c r="L349" s="137"/>
      <c r="M349" s="137"/>
      <c r="N349" s="137"/>
      <c r="O349" s="137"/>
      <c r="P349" s="137"/>
      <c r="Q349" s="137"/>
      <c r="R349" s="137"/>
      <c r="S349" s="137"/>
      <c r="T349" s="137"/>
      <c r="U349" s="137"/>
      <c r="V349" s="137"/>
      <c r="W349" s="137"/>
      <c r="X349" s="137"/>
      <c r="Y349" s="137"/>
      <c r="Z349" s="137"/>
    </row>
    <row r="350" ht="13.2" spans="1:26">
      <c r="A350" s="151"/>
      <c r="B350" s="149"/>
      <c r="C350" s="149"/>
      <c r="D350" s="149"/>
      <c r="E350" s="149"/>
      <c r="F350" s="149"/>
      <c r="G350" s="149"/>
      <c r="H350" s="150"/>
      <c r="I350" s="150"/>
      <c r="J350" s="137"/>
      <c r="K350" s="137"/>
      <c r="L350" s="137"/>
      <c r="M350" s="137"/>
      <c r="N350" s="137"/>
      <c r="O350" s="137"/>
      <c r="P350" s="137"/>
      <c r="Q350" s="137"/>
      <c r="R350" s="137"/>
      <c r="S350" s="137"/>
      <c r="T350" s="137"/>
      <c r="U350" s="137"/>
      <c r="V350" s="137"/>
      <c r="W350" s="137"/>
      <c r="X350" s="137"/>
      <c r="Y350" s="137"/>
      <c r="Z350" s="137"/>
    </row>
    <row r="351" ht="13.2" spans="1:26">
      <c r="A351" s="151"/>
      <c r="B351" s="149"/>
      <c r="C351" s="149"/>
      <c r="D351" s="149"/>
      <c r="E351" s="149"/>
      <c r="F351" s="149"/>
      <c r="G351" s="149"/>
      <c r="H351" s="150"/>
      <c r="I351" s="150"/>
      <c r="J351" s="137"/>
      <c r="K351" s="137"/>
      <c r="L351" s="137"/>
      <c r="M351" s="137"/>
      <c r="N351" s="137"/>
      <c r="O351" s="137"/>
      <c r="P351" s="137"/>
      <c r="Q351" s="137"/>
      <c r="R351" s="137"/>
      <c r="S351" s="137"/>
      <c r="T351" s="137"/>
      <c r="U351" s="137"/>
      <c r="V351" s="137"/>
      <c r="W351" s="137"/>
      <c r="X351" s="137"/>
      <c r="Y351" s="137"/>
      <c r="Z351" s="137"/>
    </row>
    <row r="352" ht="13.2" spans="1:26">
      <c r="A352" s="151"/>
      <c r="B352" s="149"/>
      <c r="C352" s="149"/>
      <c r="D352" s="149"/>
      <c r="E352" s="149"/>
      <c r="F352" s="149"/>
      <c r="G352" s="149"/>
      <c r="H352" s="150"/>
      <c r="I352" s="150"/>
      <c r="J352" s="137"/>
      <c r="K352" s="137"/>
      <c r="L352" s="137"/>
      <c r="M352" s="137"/>
      <c r="N352" s="137"/>
      <c r="O352" s="137"/>
      <c r="P352" s="137"/>
      <c r="Q352" s="137"/>
      <c r="R352" s="137"/>
      <c r="S352" s="137"/>
      <c r="T352" s="137"/>
      <c r="U352" s="137"/>
      <c r="V352" s="137"/>
      <c r="W352" s="137"/>
      <c r="X352" s="137"/>
      <c r="Y352" s="137"/>
      <c r="Z352" s="137"/>
    </row>
    <row r="353" ht="13.2" spans="1:26">
      <c r="A353" s="151"/>
      <c r="B353" s="149"/>
      <c r="C353" s="149"/>
      <c r="D353" s="149"/>
      <c r="E353" s="149"/>
      <c r="F353" s="149"/>
      <c r="G353" s="149"/>
      <c r="H353" s="150"/>
      <c r="I353" s="150"/>
      <c r="J353" s="137"/>
      <c r="K353" s="137"/>
      <c r="L353" s="137"/>
      <c r="M353" s="137"/>
      <c r="N353" s="137"/>
      <c r="O353" s="137"/>
      <c r="P353" s="137"/>
      <c r="Q353" s="137"/>
      <c r="R353" s="137"/>
      <c r="S353" s="137"/>
      <c r="T353" s="137"/>
      <c r="U353" s="137"/>
      <c r="V353" s="137"/>
      <c r="W353" s="137"/>
      <c r="X353" s="137"/>
      <c r="Y353" s="137"/>
      <c r="Z353" s="137"/>
    </row>
    <row r="354" ht="13.2" spans="1:26">
      <c r="A354" s="151"/>
      <c r="B354" s="149"/>
      <c r="C354" s="149"/>
      <c r="D354" s="149"/>
      <c r="E354" s="149"/>
      <c r="F354" s="149"/>
      <c r="G354" s="149"/>
      <c r="H354" s="150"/>
      <c r="I354" s="150"/>
      <c r="J354" s="137"/>
      <c r="K354" s="137"/>
      <c r="L354" s="137"/>
      <c r="M354" s="137"/>
      <c r="N354" s="137"/>
      <c r="O354" s="137"/>
      <c r="P354" s="137"/>
      <c r="Q354" s="137"/>
      <c r="R354" s="137"/>
      <c r="S354" s="137"/>
      <c r="T354" s="137"/>
      <c r="U354" s="137"/>
      <c r="V354" s="137"/>
      <c r="W354" s="137"/>
      <c r="X354" s="137"/>
      <c r="Y354" s="137"/>
      <c r="Z354" s="137"/>
    </row>
    <row r="355" ht="13.2" spans="1:26">
      <c r="A355" s="151"/>
      <c r="B355" s="149"/>
      <c r="C355" s="149"/>
      <c r="D355" s="149"/>
      <c r="E355" s="149"/>
      <c r="F355" s="149"/>
      <c r="G355" s="149"/>
      <c r="H355" s="150"/>
      <c r="I355" s="150"/>
      <c r="J355" s="137"/>
      <c r="K355" s="137"/>
      <c r="L355" s="137"/>
      <c r="M355" s="137"/>
      <c r="N355" s="137"/>
      <c r="O355" s="137"/>
      <c r="P355" s="137"/>
      <c r="Q355" s="137"/>
      <c r="R355" s="137"/>
      <c r="S355" s="137"/>
      <c r="T355" s="137"/>
      <c r="U355" s="137"/>
      <c r="V355" s="137"/>
      <c r="W355" s="137"/>
      <c r="X355" s="137"/>
      <c r="Y355" s="137"/>
      <c r="Z355" s="137"/>
    </row>
    <row r="356" ht="13.2" spans="1:26">
      <c r="A356" s="151"/>
      <c r="B356" s="149"/>
      <c r="C356" s="149"/>
      <c r="D356" s="149"/>
      <c r="E356" s="149"/>
      <c r="F356" s="149"/>
      <c r="G356" s="149"/>
      <c r="H356" s="150"/>
      <c r="I356" s="150"/>
      <c r="J356" s="137"/>
      <c r="K356" s="137"/>
      <c r="L356" s="137"/>
      <c r="M356" s="137"/>
      <c r="N356" s="137"/>
      <c r="O356" s="137"/>
      <c r="P356" s="137"/>
      <c r="Q356" s="137"/>
      <c r="R356" s="137"/>
      <c r="S356" s="137"/>
      <c r="T356" s="137"/>
      <c r="U356" s="137"/>
      <c r="V356" s="137"/>
      <c r="W356" s="137"/>
      <c r="X356" s="137"/>
      <c r="Y356" s="137"/>
      <c r="Z356" s="137"/>
    </row>
    <row r="357" ht="13.2" spans="1:26">
      <c r="A357" s="151"/>
      <c r="B357" s="149"/>
      <c r="C357" s="149"/>
      <c r="D357" s="149"/>
      <c r="E357" s="149"/>
      <c r="F357" s="149"/>
      <c r="G357" s="149"/>
      <c r="H357" s="150"/>
      <c r="I357" s="150"/>
      <c r="J357" s="137"/>
      <c r="K357" s="137"/>
      <c r="L357" s="137"/>
      <c r="M357" s="137"/>
      <c r="N357" s="137"/>
      <c r="O357" s="137"/>
      <c r="P357" s="137"/>
      <c r="Q357" s="137"/>
      <c r="R357" s="137"/>
      <c r="S357" s="137"/>
      <c r="T357" s="137"/>
      <c r="U357" s="137"/>
      <c r="V357" s="137"/>
      <c r="W357" s="137"/>
      <c r="X357" s="137"/>
      <c r="Y357" s="137"/>
      <c r="Z357" s="137"/>
    </row>
    <row r="358" ht="13.2" spans="1:26">
      <c r="A358" s="151"/>
      <c r="B358" s="149"/>
      <c r="C358" s="149"/>
      <c r="D358" s="149"/>
      <c r="E358" s="149"/>
      <c r="F358" s="149"/>
      <c r="G358" s="149"/>
      <c r="H358" s="150"/>
      <c r="I358" s="150"/>
      <c r="J358" s="137"/>
      <c r="K358" s="137"/>
      <c r="L358" s="137"/>
      <c r="M358" s="137"/>
      <c r="N358" s="137"/>
      <c r="O358" s="137"/>
      <c r="P358" s="137"/>
      <c r="Q358" s="137"/>
      <c r="R358" s="137"/>
      <c r="S358" s="137"/>
      <c r="T358" s="137"/>
      <c r="U358" s="137"/>
      <c r="V358" s="137"/>
      <c r="W358" s="137"/>
      <c r="X358" s="137"/>
      <c r="Y358" s="137"/>
      <c r="Z358" s="137"/>
    </row>
    <row r="359" ht="13.2" spans="1:26">
      <c r="A359" s="151"/>
      <c r="B359" s="149"/>
      <c r="C359" s="149"/>
      <c r="D359" s="149"/>
      <c r="E359" s="149"/>
      <c r="F359" s="149"/>
      <c r="G359" s="149"/>
      <c r="H359" s="150"/>
      <c r="I359" s="150"/>
      <c r="J359" s="137"/>
      <c r="K359" s="137"/>
      <c r="L359" s="137"/>
      <c r="M359" s="137"/>
      <c r="N359" s="137"/>
      <c r="O359" s="137"/>
      <c r="P359" s="137"/>
      <c r="Q359" s="137"/>
      <c r="R359" s="137"/>
      <c r="S359" s="137"/>
      <c r="T359" s="137"/>
      <c r="U359" s="137"/>
      <c r="V359" s="137"/>
      <c r="W359" s="137"/>
      <c r="X359" s="137"/>
      <c r="Y359" s="137"/>
      <c r="Z359" s="137"/>
    </row>
    <row r="360" ht="13.2" spans="1:26">
      <c r="A360" s="151"/>
      <c r="B360" s="149"/>
      <c r="C360" s="149"/>
      <c r="D360" s="149"/>
      <c r="E360" s="149"/>
      <c r="F360" s="149"/>
      <c r="G360" s="149"/>
      <c r="H360" s="150"/>
      <c r="I360" s="150"/>
      <c r="J360" s="137"/>
      <c r="K360" s="137"/>
      <c r="L360" s="137"/>
      <c r="M360" s="137"/>
      <c r="N360" s="137"/>
      <c r="O360" s="137"/>
      <c r="P360" s="137"/>
      <c r="Q360" s="137"/>
      <c r="R360" s="137"/>
      <c r="S360" s="137"/>
      <c r="T360" s="137"/>
      <c r="U360" s="137"/>
      <c r="V360" s="137"/>
      <c r="W360" s="137"/>
      <c r="X360" s="137"/>
      <c r="Y360" s="137"/>
      <c r="Z360" s="137"/>
    </row>
    <row r="361" ht="13.2" spans="1:26">
      <c r="A361" s="151"/>
      <c r="B361" s="149"/>
      <c r="C361" s="149"/>
      <c r="D361" s="149"/>
      <c r="E361" s="149"/>
      <c r="F361" s="149"/>
      <c r="G361" s="149"/>
      <c r="H361" s="150"/>
      <c r="I361" s="150"/>
      <c r="J361" s="137"/>
      <c r="K361" s="137"/>
      <c r="L361" s="137"/>
      <c r="M361" s="137"/>
      <c r="N361" s="137"/>
      <c r="O361" s="137"/>
      <c r="P361" s="137"/>
      <c r="Q361" s="137"/>
      <c r="R361" s="137"/>
      <c r="S361" s="137"/>
      <c r="T361" s="137"/>
      <c r="U361" s="137"/>
      <c r="V361" s="137"/>
      <c r="W361" s="137"/>
      <c r="X361" s="137"/>
      <c r="Y361" s="137"/>
      <c r="Z361" s="137"/>
    </row>
    <row r="362" ht="13.2" spans="1:26">
      <c r="A362" s="151"/>
      <c r="B362" s="149"/>
      <c r="C362" s="149"/>
      <c r="D362" s="149"/>
      <c r="E362" s="149"/>
      <c r="F362" s="149"/>
      <c r="G362" s="149"/>
      <c r="H362" s="150"/>
      <c r="I362" s="150"/>
      <c r="J362" s="137"/>
      <c r="K362" s="137"/>
      <c r="L362" s="137"/>
      <c r="M362" s="137"/>
      <c r="N362" s="137"/>
      <c r="O362" s="137"/>
      <c r="P362" s="137"/>
      <c r="Q362" s="137"/>
      <c r="R362" s="137"/>
      <c r="S362" s="137"/>
      <c r="T362" s="137"/>
      <c r="U362" s="137"/>
      <c r="V362" s="137"/>
      <c r="W362" s="137"/>
      <c r="X362" s="137"/>
      <c r="Y362" s="137"/>
      <c r="Z362" s="137"/>
    </row>
    <row r="363" ht="13.2" spans="1:26">
      <c r="A363" s="151"/>
      <c r="B363" s="149"/>
      <c r="C363" s="149"/>
      <c r="D363" s="149"/>
      <c r="E363" s="149"/>
      <c r="F363" s="149"/>
      <c r="G363" s="149"/>
      <c r="H363" s="150"/>
      <c r="I363" s="150"/>
      <c r="J363" s="137"/>
      <c r="K363" s="137"/>
      <c r="L363" s="137"/>
      <c r="M363" s="137"/>
      <c r="N363" s="137"/>
      <c r="O363" s="137"/>
      <c r="P363" s="137"/>
      <c r="Q363" s="137"/>
      <c r="R363" s="137"/>
      <c r="S363" s="137"/>
      <c r="T363" s="137"/>
      <c r="U363" s="137"/>
      <c r="V363" s="137"/>
      <c r="W363" s="137"/>
      <c r="X363" s="137"/>
      <c r="Y363" s="137"/>
      <c r="Z363" s="137"/>
    </row>
    <row r="364" ht="13.2" spans="1:26">
      <c r="A364" s="151"/>
      <c r="B364" s="149"/>
      <c r="C364" s="149"/>
      <c r="D364" s="149"/>
      <c r="E364" s="149"/>
      <c r="F364" s="149"/>
      <c r="G364" s="149"/>
      <c r="H364" s="150"/>
      <c r="I364" s="150"/>
      <c r="J364" s="137"/>
      <c r="K364" s="137"/>
      <c r="L364" s="137"/>
      <c r="M364" s="137"/>
      <c r="N364" s="137"/>
      <c r="O364" s="137"/>
      <c r="P364" s="137"/>
      <c r="Q364" s="137"/>
      <c r="R364" s="137"/>
      <c r="S364" s="137"/>
      <c r="T364" s="137"/>
      <c r="U364" s="137"/>
      <c r="V364" s="137"/>
      <c r="W364" s="137"/>
      <c r="X364" s="137"/>
      <c r="Y364" s="137"/>
      <c r="Z364" s="137"/>
    </row>
    <row r="365" ht="13.2" spans="1:26">
      <c r="A365" s="151"/>
      <c r="B365" s="149"/>
      <c r="C365" s="149"/>
      <c r="D365" s="149"/>
      <c r="E365" s="149"/>
      <c r="F365" s="149"/>
      <c r="G365" s="149"/>
      <c r="H365" s="150"/>
      <c r="I365" s="150"/>
      <c r="J365" s="137"/>
      <c r="K365" s="137"/>
      <c r="L365" s="137"/>
      <c r="M365" s="137"/>
      <c r="N365" s="137"/>
      <c r="O365" s="137"/>
      <c r="P365" s="137"/>
      <c r="Q365" s="137"/>
      <c r="R365" s="137"/>
      <c r="S365" s="137"/>
      <c r="T365" s="137"/>
      <c r="U365" s="137"/>
      <c r="V365" s="137"/>
      <c r="W365" s="137"/>
      <c r="X365" s="137"/>
      <c r="Y365" s="137"/>
      <c r="Z365" s="137"/>
    </row>
    <row r="366" ht="13.2" spans="1:26">
      <c r="A366" s="151"/>
      <c r="B366" s="149"/>
      <c r="C366" s="149"/>
      <c r="D366" s="149"/>
      <c r="E366" s="149"/>
      <c r="F366" s="149"/>
      <c r="G366" s="149"/>
      <c r="H366" s="150"/>
      <c r="I366" s="150"/>
      <c r="J366" s="137"/>
      <c r="K366" s="137"/>
      <c r="L366" s="137"/>
      <c r="M366" s="137"/>
      <c r="N366" s="137"/>
      <c r="O366" s="137"/>
      <c r="P366" s="137"/>
      <c r="Q366" s="137"/>
      <c r="R366" s="137"/>
      <c r="S366" s="137"/>
      <c r="T366" s="137"/>
      <c r="U366" s="137"/>
      <c r="V366" s="137"/>
      <c r="W366" s="137"/>
      <c r="X366" s="137"/>
      <c r="Y366" s="137"/>
      <c r="Z366" s="137"/>
    </row>
    <row r="367" ht="13.2" spans="1:26">
      <c r="A367" s="151"/>
      <c r="B367" s="149"/>
      <c r="C367" s="149"/>
      <c r="D367" s="149"/>
      <c r="E367" s="149"/>
      <c r="F367" s="149"/>
      <c r="G367" s="149"/>
      <c r="H367" s="150"/>
      <c r="I367" s="150"/>
      <c r="J367" s="137"/>
      <c r="K367" s="137"/>
      <c r="L367" s="137"/>
      <c r="M367" s="137"/>
      <c r="N367" s="137"/>
      <c r="O367" s="137"/>
      <c r="P367" s="137"/>
      <c r="Q367" s="137"/>
      <c r="R367" s="137"/>
      <c r="S367" s="137"/>
      <c r="T367" s="137"/>
      <c r="U367" s="137"/>
      <c r="V367" s="137"/>
      <c r="W367" s="137"/>
      <c r="X367" s="137"/>
      <c r="Y367" s="137"/>
      <c r="Z367" s="137"/>
    </row>
    <row r="368" ht="13.2" spans="1:26">
      <c r="A368" s="151"/>
      <c r="B368" s="149"/>
      <c r="C368" s="149"/>
      <c r="D368" s="149"/>
      <c r="E368" s="149"/>
      <c r="F368" s="149"/>
      <c r="G368" s="149"/>
      <c r="H368" s="150"/>
      <c r="I368" s="150"/>
      <c r="J368" s="137"/>
      <c r="K368" s="137"/>
      <c r="L368" s="137"/>
      <c r="M368" s="137"/>
      <c r="N368" s="137"/>
      <c r="O368" s="137"/>
      <c r="P368" s="137"/>
      <c r="Q368" s="137"/>
      <c r="R368" s="137"/>
      <c r="S368" s="137"/>
      <c r="T368" s="137"/>
      <c r="U368" s="137"/>
      <c r="V368" s="137"/>
      <c r="W368" s="137"/>
      <c r="X368" s="137"/>
      <c r="Y368" s="137"/>
      <c r="Z368" s="137"/>
    </row>
    <row r="369" ht="13.2" spans="1:26">
      <c r="A369" s="151"/>
      <c r="B369" s="149"/>
      <c r="C369" s="149"/>
      <c r="D369" s="149"/>
      <c r="E369" s="149"/>
      <c r="F369" s="149"/>
      <c r="G369" s="149"/>
      <c r="H369" s="150"/>
      <c r="I369" s="150"/>
      <c r="J369" s="137"/>
      <c r="K369" s="137"/>
      <c r="L369" s="137"/>
      <c r="M369" s="137"/>
      <c r="N369" s="137"/>
      <c r="O369" s="137"/>
      <c r="P369" s="137"/>
      <c r="Q369" s="137"/>
      <c r="R369" s="137"/>
      <c r="S369" s="137"/>
      <c r="T369" s="137"/>
      <c r="U369" s="137"/>
      <c r="V369" s="137"/>
      <c r="W369" s="137"/>
      <c r="X369" s="137"/>
      <c r="Y369" s="137"/>
      <c r="Z369" s="137"/>
    </row>
    <row r="370" ht="13.2" spans="1:26">
      <c r="A370" s="151"/>
      <c r="B370" s="149"/>
      <c r="C370" s="149"/>
      <c r="D370" s="149"/>
      <c r="E370" s="149"/>
      <c r="F370" s="149"/>
      <c r="G370" s="149"/>
      <c r="H370" s="150"/>
      <c r="I370" s="150"/>
      <c r="J370" s="137"/>
      <c r="K370" s="137"/>
      <c r="L370" s="137"/>
      <c r="M370" s="137"/>
      <c r="N370" s="137"/>
      <c r="O370" s="137"/>
      <c r="P370" s="137"/>
      <c r="Q370" s="137"/>
      <c r="R370" s="137"/>
      <c r="S370" s="137"/>
      <c r="T370" s="137"/>
      <c r="U370" s="137"/>
      <c r="V370" s="137"/>
      <c r="W370" s="137"/>
      <c r="X370" s="137"/>
      <c r="Y370" s="137"/>
      <c r="Z370" s="137"/>
    </row>
    <row r="371" ht="13.2" spans="1:26">
      <c r="A371" s="151"/>
      <c r="B371" s="149"/>
      <c r="C371" s="149"/>
      <c r="D371" s="149"/>
      <c r="E371" s="149"/>
      <c r="F371" s="149"/>
      <c r="G371" s="149"/>
      <c r="H371" s="150"/>
      <c r="I371" s="150"/>
      <c r="J371" s="137"/>
      <c r="K371" s="137"/>
      <c r="L371" s="137"/>
      <c r="M371" s="137"/>
      <c r="N371" s="137"/>
      <c r="O371" s="137"/>
      <c r="P371" s="137"/>
      <c r="Q371" s="137"/>
      <c r="R371" s="137"/>
      <c r="S371" s="137"/>
      <c r="T371" s="137"/>
      <c r="U371" s="137"/>
      <c r="V371" s="137"/>
      <c r="W371" s="137"/>
      <c r="X371" s="137"/>
      <c r="Y371" s="137"/>
      <c r="Z371" s="137"/>
    </row>
    <row r="372" ht="13.2" spans="1:26">
      <c r="A372" s="151"/>
      <c r="B372" s="149"/>
      <c r="C372" s="149"/>
      <c r="D372" s="149"/>
      <c r="E372" s="149"/>
      <c r="F372" s="149"/>
      <c r="G372" s="149"/>
      <c r="H372" s="150"/>
      <c r="I372" s="150"/>
      <c r="J372" s="137"/>
      <c r="K372" s="137"/>
      <c r="L372" s="137"/>
      <c r="M372" s="137"/>
      <c r="N372" s="137"/>
      <c r="O372" s="137"/>
      <c r="P372" s="137"/>
      <c r="Q372" s="137"/>
      <c r="R372" s="137"/>
      <c r="S372" s="137"/>
      <c r="T372" s="137"/>
      <c r="U372" s="137"/>
      <c r="V372" s="137"/>
      <c r="W372" s="137"/>
      <c r="X372" s="137"/>
      <c r="Y372" s="137"/>
      <c r="Z372" s="137"/>
    </row>
    <row r="373" ht="13.2" spans="1:26">
      <c r="A373" s="151"/>
      <c r="B373" s="149"/>
      <c r="C373" s="149"/>
      <c r="D373" s="149"/>
      <c r="E373" s="149"/>
      <c r="F373" s="149"/>
      <c r="G373" s="149"/>
      <c r="H373" s="150"/>
      <c r="I373" s="150"/>
      <c r="J373" s="137"/>
      <c r="K373" s="137"/>
      <c r="L373" s="137"/>
      <c r="M373" s="137"/>
      <c r="N373" s="137"/>
      <c r="O373" s="137"/>
      <c r="P373" s="137"/>
      <c r="Q373" s="137"/>
      <c r="R373" s="137"/>
      <c r="S373" s="137"/>
      <c r="T373" s="137"/>
      <c r="U373" s="137"/>
      <c r="V373" s="137"/>
      <c r="W373" s="137"/>
      <c r="X373" s="137"/>
      <c r="Y373" s="137"/>
      <c r="Z373" s="137"/>
    </row>
    <row r="374" ht="13.2" spans="1:26">
      <c r="A374" s="151"/>
      <c r="B374" s="149"/>
      <c r="C374" s="149"/>
      <c r="D374" s="149"/>
      <c r="E374" s="149"/>
      <c r="F374" s="149"/>
      <c r="G374" s="149"/>
      <c r="H374" s="150"/>
      <c r="I374" s="150"/>
      <c r="J374" s="137"/>
      <c r="K374" s="137"/>
      <c r="L374" s="137"/>
      <c r="M374" s="137"/>
      <c r="N374" s="137"/>
      <c r="O374" s="137"/>
      <c r="P374" s="137"/>
      <c r="Q374" s="137"/>
      <c r="R374" s="137"/>
      <c r="S374" s="137"/>
      <c r="T374" s="137"/>
      <c r="U374" s="137"/>
      <c r="V374" s="137"/>
      <c r="W374" s="137"/>
      <c r="X374" s="137"/>
      <c r="Y374" s="137"/>
      <c r="Z374" s="137"/>
    </row>
    <row r="375" ht="13.2" spans="1:26">
      <c r="A375" s="151"/>
      <c r="B375" s="149"/>
      <c r="C375" s="149"/>
      <c r="D375" s="149"/>
      <c r="E375" s="149"/>
      <c r="F375" s="149"/>
      <c r="G375" s="149"/>
      <c r="H375" s="150"/>
      <c r="I375" s="150"/>
      <c r="J375" s="137"/>
      <c r="K375" s="137"/>
      <c r="L375" s="137"/>
      <c r="M375" s="137"/>
      <c r="N375" s="137"/>
      <c r="O375" s="137"/>
      <c r="P375" s="137"/>
      <c r="Q375" s="137"/>
      <c r="R375" s="137"/>
      <c r="S375" s="137"/>
      <c r="T375" s="137"/>
      <c r="U375" s="137"/>
      <c r="V375" s="137"/>
      <c r="W375" s="137"/>
      <c r="X375" s="137"/>
      <c r="Y375" s="137"/>
      <c r="Z375" s="137"/>
    </row>
    <row r="376" ht="13.2" spans="1:26">
      <c r="A376" s="151"/>
      <c r="B376" s="149"/>
      <c r="C376" s="149"/>
      <c r="D376" s="149"/>
      <c r="E376" s="149"/>
      <c r="F376" s="149"/>
      <c r="G376" s="149"/>
      <c r="H376" s="150"/>
      <c r="I376" s="150"/>
      <c r="J376" s="137"/>
      <c r="K376" s="137"/>
      <c r="L376" s="137"/>
      <c r="M376" s="137"/>
      <c r="N376" s="137"/>
      <c r="O376" s="137"/>
      <c r="P376" s="137"/>
      <c r="Q376" s="137"/>
      <c r="R376" s="137"/>
      <c r="S376" s="137"/>
      <c r="T376" s="137"/>
      <c r="U376" s="137"/>
      <c r="V376" s="137"/>
      <c r="W376" s="137"/>
      <c r="X376" s="137"/>
      <c r="Y376" s="137"/>
      <c r="Z376" s="137"/>
    </row>
    <row r="377" ht="13.2" spans="1:26">
      <c r="A377" s="151"/>
      <c r="B377" s="149"/>
      <c r="C377" s="149"/>
      <c r="D377" s="149"/>
      <c r="E377" s="149"/>
      <c r="F377" s="149"/>
      <c r="G377" s="149"/>
      <c r="H377" s="150"/>
      <c r="I377" s="150"/>
      <c r="J377" s="137"/>
      <c r="K377" s="137"/>
      <c r="L377" s="137"/>
      <c r="M377" s="137"/>
      <c r="N377" s="137"/>
      <c r="O377" s="137"/>
      <c r="P377" s="137"/>
      <c r="Q377" s="137"/>
      <c r="R377" s="137"/>
      <c r="S377" s="137"/>
      <c r="T377" s="137"/>
      <c r="U377" s="137"/>
      <c r="V377" s="137"/>
      <c r="W377" s="137"/>
      <c r="X377" s="137"/>
      <c r="Y377" s="137"/>
      <c r="Z377" s="137"/>
    </row>
    <row r="378" ht="13.2" spans="1:26">
      <c r="A378" s="151"/>
      <c r="B378" s="149"/>
      <c r="C378" s="149"/>
      <c r="D378" s="149"/>
      <c r="E378" s="149"/>
      <c r="F378" s="149"/>
      <c r="G378" s="149"/>
      <c r="H378" s="150"/>
      <c r="I378" s="150"/>
      <c r="J378" s="137"/>
      <c r="K378" s="137"/>
      <c r="L378" s="137"/>
      <c r="M378" s="137"/>
      <c r="N378" s="137"/>
      <c r="O378" s="137"/>
      <c r="P378" s="137"/>
      <c r="Q378" s="137"/>
      <c r="R378" s="137"/>
      <c r="S378" s="137"/>
      <c r="T378" s="137"/>
      <c r="U378" s="137"/>
      <c r="V378" s="137"/>
      <c r="W378" s="137"/>
      <c r="X378" s="137"/>
      <c r="Y378" s="137"/>
      <c r="Z378" s="137"/>
    </row>
    <row r="379" ht="13.2" spans="1:26">
      <c r="A379" s="151"/>
      <c r="B379" s="149"/>
      <c r="C379" s="149"/>
      <c r="D379" s="149"/>
      <c r="E379" s="149"/>
      <c r="F379" s="149"/>
      <c r="G379" s="149"/>
      <c r="H379" s="150"/>
      <c r="I379" s="150"/>
      <c r="J379" s="137"/>
      <c r="K379" s="137"/>
      <c r="L379" s="137"/>
      <c r="M379" s="137"/>
      <c r="N379" s="137"/>
      <c r="O379" s="137"/>
      <c r="P379" s="137"/>
      <c r="Q379" s="137"/>
      <c r="R379" s="137"/>
      <c r="S379" s="137"/>
      <c r="T379" s="137"/>
      <c r="U379" s="137"/>
      <c r="V379" s="137"/>
      <c r="W379" s="137"/>
      <c r="X379" s="137"/>
      <c r="Y379" s="137"/>
      <c r="Z379" s="137"/>
    </row>
    <row r="380" ht="13.2" spans="1:26">
      <c r="A380" s="151"/>
      <c r="B380" s="149"/>
      <c r="C380" s="149"/>
      <c r="D380" s="149"/>
      <c r="E380" s="149"/>
      <c r="F380" s="149"/>
      <c r="G380" s="149"/>
      <c r="H380" s="150"/>
      <c r="I380" s="150"/>
      <c r="J380" s="137"/>
      <c r="K380" s="137"/>
      <c r="L380" s="137"/>
      <c r="M380" s="137"/>
      <c r="N380" s="137"/>
      <c r="O380" s="137"/>
      <c r="P380" s="137"/>
      <c r="Q380" s="137"/>
      <c r="R380" s="137"/>
      <c r="S380" s="137"/>
      <c r="T380" s="137"/>
      <c r="U380" s="137"/>
      <c r="V380" s="137"/>
      <c r="W380" s="137"/>
      <c r="X380" s="137"/>
      <c r="Y380" s="137"/>
      <c r="Z380" s="137"/>
    </row>
    <row r="381" ht="13.2" spans="1:26">
      <c r="A381" s="151"/>
      <c r="B381" s="149"/>
      <c r="C381" s="149"/>
      <c r="D381" s="149"/>
      <c r="E381" s="149"/>
      <c r="F381" s="149"/>
      <c r="G381" s="149"/>
      <c r="H381" s="150"/>
      <c r="I381" s="150"/>
      <c r="J381" s="137"/>
      <c r="K381" s="137"/>
      <c r="L381" s="137"/>
      <c r="M381" s="137"/>
      <c r="N381" s="137"/>
      <c r="O381" s="137"/>
      <c r="P381" s="137"/>
      <c r="Q381" s="137"/>
      <c r="R381" s="137"/>
      <c r="S381" s="137"/>
      <c r="T381" s="137"/>
      <c r="U381" s="137"/>
      <c r="V381" s="137"/>
      <c r="W381" s="137"/>
      <c r="X381" s="137"/>
      <c r="Y381" s="137"/>
      <c r="Z381" s="137"/>
    </row>
    <row r="382" ht="13.2" spans="1:26">
      <c r="A382" s="151"/>
      <c r="B382" s="149"/>
      <c r="C382" s="149"/>
      <c r="D382" s="149"/>
      <c r="E382" s="149"/>
      <c r="F382" s="149"/>
      <c r="G382" s="149"/>
      <c r="H382" s="150"/>
      <c r="I382" s="150"/>
      <c r="J382" s="137"/>
      <c r="K382" s="137"/>
      <c r="L382" s="137"/>
      <c r="M382" s="137"/>
      <c r="N382" s="137"/>
      <c r="O382" s="137"/>
      <c r="P382" s="137"/>
      <c r="Q382" s="137"/>
      <c r="R382" s="137"/>
      <c r="S382" s="137"/>
      <c r="T382" s="137"/>
      <c r="U382" s="137"/>
      <c r="V382" s="137"/>
      <c r="W382" s="137"/>
      <c r="X382" s="137"/>
      <c r="Y382" s="137"/>
      <c r="Z382" s="137"/>
    </row>
    <row r="383" ht="13.2" spans="1:26">
      <c r="A383" s="151"/>
      <c r="B383" s="149"/>
      <c r="C383" s="149"/>
      <c r="D383" s="149"/>
      <c r="E383" s="149"/>
      <c r="F383" s="149"/>
      <c r="G383" s="149"/>
      <c r="H383" s="150"/>
      <c r="I383" s="150"/>
      <c r="J383" s="137"/>
      <c r="K383" s="137"/>
      <c r="L383" s="137"/>
      <c r="M383" s="137"/>
      <c r="N383" s="137"/>
      <c r="O383" s="137"/>
      <c r="P383" s="137"/>
      <c r="Q383" s="137"/>
      <c r="R383" s="137"/>
      <c r="S383" s="137"/>
      <c r="T383" s="137"/>
      <c r="U383" s="137"/>
      <c r="V383" s="137"/>
      <c r="W383" s="137"/>
      <c r="X383" s="137"/>
      <c r="Y383" s="137"/>
      <c r="Z383" s="137"/>
    </row>
    <row r="384" ht="13.2" spans="1:26">
      <c r="A384" s="151"/>
      <c r="B384" s="149"/>
      <c r="C384" s="149"/>
      <c r="D384" s="149"/>
      <c r="E384" s="149"/>
      <c r="F384" s="149"/>
      <c r="G384" s="149"/>
      <c r="H384" s="150"/>
      <c r="I384" s="150"/>
      <c r="J384" s="137"/>
      <c r="K384" s="137"/>
      <c r="L384" s="137"/>
      <c r="M384" s="137"/>
      <c r="N384" s="137"/>
      <c r="O384" s="137"/>
      <c r="P384" s="137"/>
      <c r="Q384" s="137"/>
      <c r="R384" s="137"/>
      <c r="S384" s="137"/>
      <c r="T384" s="137"/>
      <c r="U384" s="137"/>
      <c r="V384" s="137"/>
      <c r="W384" s="137"/>
      <c r="X384" s="137"/>
      <c r="Y384" s="137"/>
      <c r="Z384" s="137"/>
    </row>
    <row r="385" ht="13.2" spans="1:26">
      <c r="A385" s="151"/>
      <c r="B385" s="149"/>
      <c r="C385" s="149"/>
      <c r="D385" s="149"/>
      <c r="E385" s="149"/>
      <c r="F385" s="149"/>
      <c r="G385" s="149"/>
      <c r="H385" s="150"/>
      <c r="I385" s="150"/>
      <c r="J385" s="137"/>
      <c r="K385" s="137"/>
      <c r="L385" s="137"/>
      <c r="M385" s="137"/>
      <c r="N385" s="137"/>
      <c r="O385" s="137"/>
      <c r="P385" s="137"/>
      <c r="Q385" s="137"/>
      <c r="R385" s="137"/>
      <c r="S385" s="137"/>
      <c r="T385" s="137"/>
      <c r="U385" s="137"/>
      <c r="V385" s="137"/>
      <c r="W385" s="137"/>
      <c r="X385" s="137"/>
      <c r="Y385" s="137"/>
      <c r="Z385" s="137"/>
    </row>
    <row r="386" ht="13.2" spans="1:26">
      <c r="A386" s="151"/>
      <c r="B386" s="149"/>
      <c r="C386" s="149"/>
      <c r="D386" s="149"/>
      <c r="E386" s="149"/>
      <c r="F386" s="149"/>
      <c r="G386" s="149"/>
      <c r="H386" s="150"/>
      <c r="I386" s="150"/>
      <c r="J386" s="137"/>
      <c r="K386" s="137"/>
      <c r="L386" s="137"/>
      <c r="M386" s="137"/>
      <c r="N386" s="137"/>
      <c r="O386" s="137"/>
      <c r="P386" s="137"/>
      <c r="Q386" s="137"/>
      <c r="R386" s="137"/>
      <c r="S386" s="137"/>
      <c r="T386" s="137"/>
      <c r="U386" s="137"/>
      <c r="V386" s="137"/>
      <c r="W386" s="137"/>
      <c r="X386" s="137"/>
      <c r="Y386" s="137"/>
      <c r="Z386" s="137"/>
    </row>
    <row r="387" ht="13.2" spans="1:26">
      <c r="A387" s="151"/>
      <c r="B387" s="149"/>
      <c r="C387" s="149"/>
      <c r="D387" s="149"/>
      <c r="E387" s="149"/>
      <c r="F387" s="149"/>
      <c r="G387" s="149"/>
      <c r="H387" s="150"/>
      <c r="I387" s="150"/>
      <c r="J387" s="137"/>
      <c r="K387" s="137"/>
      <c r="L387" s="137"/>
      <c r="M387" s="137"/>
      <c r="N387" s="137"/>
      <c r="O387" s="137"/>
      <c r="P387" s="137"/>
      <c r="Q387" s="137"/>
      <c r="R387" s="137"/>
      <c r="S387" s="137"/>
      <c r="T387" s="137"/>
      <c r="U387" s="137"/>
      <c r="V387" s="137"/>
      <c r="W387" s="137"/>
      <c r="X387" s="137"/>
      <c r="Y387" s="137"/>
      <c r="Z387" s="137"/>
    </row>
    <row r="388" ht="13.2" spans="1:26">
      <c r="A388" s="151"/>
      <c r="B388" s="149"/>
      <c r="C388" s="149"/>
      <c r="D388" s="149"/>
      <c r="E388" s="149"/>
      <c r="F388" s="149"/>
      <c r="G388" s="149"/>
      <c r="H388" s="150"/>
      <c r="I388" s="150"/>
      <c r="J388" s="137"/>
      <c r="K388" s="137"/>
      <c r="L388" s="137"/>
      <c r="M388" s="137"/>
      <c r="N388" s="137"/>
      <c r="O388" s="137"/>
      <c r="P388" s="137"/>
      <c r="Q388" s="137"/>
      <c r="R388" s="137"/>
      <c r="S388" s="137"/>
      <c r="T388" s="137"/>
      <c r="U388" s="137"/>
      <c r="V388" s="137"/>
      <c r="W388" s="137"/>
      <c r="X388" s="137"/>
      <c r="Y388" s="137"/>
      <c r="Z388" s="137"/>
    </row>
    <row r="389" ht="13.2" spans="1:26">
      <c r="A389" s="151"/>
      <c r="B389" s="149"/>
      <c r="C389" s="149"/>
      <c r="D389" s="149"/>
      <c r="E389" s="149"/>
      <c r="F389" s="149"/>
      <c r="G389" s="149"/>
      <c r="H389" s="150"/>
      <c r="I389" s="150"/>
      <c r="J389" s="137"/>
      <c r="K389" s="137"/>
      <c r="L389" s="137"/>
      <c r="M389" s="137"/>
      <c r="N389" s="137"/>
      <c r="O389" s="137"/>
      <c r="P389" s="137"/>
      <c r="Q389" s="137"/>
      <c r="R389" s="137"/>
      <c r="S389" s="137"/>
      <c r="T389" s="137"/>
      <c r="U389" s="137"/>
      <c r="V389" s="137"/>
      <c r="W389" s="137"/>
      <c r="X389" s="137"/>
      <c r="Y389" s="137"/>
      <c r="Z389" s="137"/>
    </row>
    <row r="390" ht="13.2" spans="1:26">
      <c r="A390" s="151"/>
      <c r="B390" s="149"/>
      <c r="C390" s="149"/>
      <c r="D390" s="149"/>
      <c r="E390" s="149"/>
      <c r="F390" s="149"/>
      <c r="G390" s="149"/>
      <c r="H390" s="150"/>
      <c r="I390" s="150"/>
      <c r="J390" s="137"/>
      <c r="K390" s="137"/>
      <c r="L390" s="137"/>
      <c r="M390" s="137"/>
      <c r="N390" s="137"/>
      <c r="O390" s="137"/>
      <c r="P390" s="137"/>
      <c r="Q390" s="137"/>
      <c r="R390" s="137"/>
      <c r="S390" s="137"/>
      <c r="T390" s="137"/>
      <c r="U390" s="137"/>
      <c r="V390" s="137"/>
      <c r="W390" s="137"/>
      <c r="X390" s="137"/>
      <c r="Y390" s="137"/>
      <c r="Z390" s="137"/>
    </row>
    <row r="391" ht="13.2" spans="1:26">
      <c r="A391" s="151"/>
      <c r="B391" s="149"/>
      <c r="C391" s="149"/>
      <c r="D391" s="149"/>
      <c r="E391" s="149"/>
      <c r="F391" s="149"/>
      <c r="G391" s="149"/>
      <c r="H391" s="150"/>
      <c r="I391" s="150"/>
      <c r="J391" s="137"/>
      <c r="K391" s="137"/>
      <c r="L391" s="137"/>
      <c r="M391" s="137"/>
      <c r="N391" s="137"/>
      <c r="O391" s="137"/>
      <c r="P391" s="137"/>
      <c r="Q391" s="137"/>
      <c r="R391" s="137"/>
      <c r="S391" s="137"/>
      <c r="T391" s="137"/>
      <c r="U391" s="137"/>
      <c r="V391" s="137"/>
      <c r="W391" s="137"/>
      <c r="X391" s="137"/>
      <c r="Y391" s="137"/>
      <c r="Z391" s="137"/>
    </row>
    <row r="392" ht="13.2" spans="1:26">
      <c r="A392" s="151"/>
      <c r="B392" s="149"/>
      <c r="C392" s="149"/>
      <c r="D392" s="149"/>
      <c r="E392" s="149"/>
      <c r="F392" s="149"/>
      <c r="G392" s="149"/>
      <c r="H392" s="150"/>
      <c r="I392" s="150"/>
      <c r="J392" s="137"/>
      <c r="K392" s="137"/>
      <c r="L392" s="137"/>
      <c r="M392" s="137"/>
      <c r="N392" s="137"/>
      <c r="O392" s="137"/>
      <c r="P392" s="137"/>
      <c r="Q392" s="137"/>
      <c r="R392" s="137"/>
      <c r="S392" s="137"/>
      <c r="T392" s="137"/>
      <c r="U392" s="137"/>
      <c r="V392" s="137"/>
      <c r="W392" s="137"/>
      <c r="X392" s="137"/>
      <c r="Y392" s="137"/>
      <c r="Z392" s="137"/>
    </row>
    <row r="393" ht="13.2" spans="1:26">
      <c r="A393" s="151"/>
      <c r="B393" s="149"/>
      <c r="C393" s="149"/>
      <c r="D393" s="149"/>
      <c r="E393" s="149"/>
      <c r="F393" s="149"/>
      <c r="G393" s="149"/>
      <c r="H393" s="150"/>
      <c r="I393" s="150"/>
      <c r="J393" s="137"/>
      <c r="K393" s="137"/>
      <c r="L393" s="137"/>
      <c r="M393" s="137"/>
      <c r="N393" s="137"/>
      <c r="O393" s="137"/>
      <c r="P393" s="137"/>
      <c r="Q393" s="137"/>
      <c r="R393" s="137"/>
      <c r="S393" s="137"/>
      <c r="T393" s="137"/>
      <c r="U393" s="137"/>
      <c r="V393" s="137"/>
      <c r="W393" s="137"/>
      <c r="X393" s="137"/>
      <c r="Y393" s="137"/>
      <c r="Z393" s="137"/>
    </row>
    <row r="394" ht="13.2" spans="1:26">
      <c r="A394" s="151"/>
      <c r="B394" s="149"/>
      <c r="C394" s="149"/>
      <c r="D394" s="149"/>
      <c r="E394" s="149"/>
      <c r="F394" s="149"/>
      <c r="G394" s="149"/>
      <c r="H394" s="150"/>
      <c r="I394" s="150"/>
      <c r="J394" s="137"/>
      <c r="K394" s="137"/>
      <c r="L394" s="137"/>
      <c r="M394" s="137"/>
      <c r="N394" s="137"/>
      <c r="O394" s="137"/>
      <c r="P394" s="137"/>
      <c r="Q394" s="137"/>
      <c r="R394" s="137"/>
      <c r="S394" s="137"/>
      <c r="T394" s="137"/>
      <c r="U394" s="137"/>
      <c r="V394" s="137"/>
      <c r="W394" s="137"/>
      <c r="X394" s="137"/>
      <c r="Y394" s="137"/>
      <c r="Z394" s="137"/>
    </row>
    <row r="395" ht="13.2" spans="1:26">
      <c r="A395" s="151"/>
      <c r="B395" s="149"/>
      <c r="C395" s="149"/>
      <c r="D395" s="149"/>
      <c r="E395" s="149"/>
      <c r="F395" s="149"/>
      <c r="G395" s="149"/>
      <c r="H395" s="150"/>
      <c r="I395" s="150"/>
      <c r="J395" s="137"/>
      <c r="K395" s="137"/>
      <c r="L395" s="137"/>
      <c r="M395" s="137"/>
      <c r="N395" s="137"/>
      <c r="O395" s="137"/>
      <c r="P395" s="137"/>
      <c r="Q395" s="137"/>
      <c r="R395" s="137"/>
      <c r="S395" s="137"/>
      <c r="T395" s="137"/>
      <c r="U395" s="137"/>
      <c r="V395" s="137"/>
      <c r="W395" s="137"/>
      <c r="X395" s="137"/>
      <c r="Y395" s="137"/>
      <c r="Z395" s="137"/>
    </row>
    <row r="396" ht="13.2" spans="1:26">
      <c r="A396" s="151"/>
      <c r="B396" s="149"/>
      <c r="C396" s="149"/>
      <c r="D396" s="149"/>
      <c r="E396" s="149"/>
      <c r="F396" s="149"/>
      <c r="G396" s="149"/>
      <c r="H396" s="150"/>
      <c r="I396" s="150"/>
      <c r="J396" s="137"/>
      <c r="K396" s="137"/>
      <c r="L396" s="137"/>
      <c r="M396" s="137"/>
      <c r="N396" s="137"/>
      <c r="O396" s="137"/>
      <c r="P396" s="137"/>
      <c r="Q396" s="137"/>
      <c r="R396" s="137"/>
      <c r="S396" s="137"/>
      <c r="T396" s="137"/>
      <c r="U396" s="137"/>
      <c r="V396" s="137"/>
      <c r="W396" s="137"/>
      <c r="X396" s="137"/>
      <c r="Y396" s="137"/>
      <c r="Z396" s="137"/>
    </row>
    <row r="397" ht="13.2" spans="1:26">
      <c r="A397" s="151"/>
      <c r="B397" s="149"/>
      <c r="C397" s="149"/>
      <c r="D397" s="149"/>
      <c r="E397" s="149"/>
      <c r="F397" s="149"/>
      <c r="G397" s="149"/>
      <c r="H397" s="150"/>
      <c r="I397" s="150"/>
      <c r="J397" s="137"/>
      <c r="K397" s="137"/>
      <c r="L397" s="137"/>
      <c r="M397" s="137"/>
      <c r="N397" s="137"/>
      <c r="O397" s="137"/>
      <c r="P397" s="137"/>
      <c r="Q397" s="137"/>
      <c r="R397" s="137"/>
      <c r="S397" s="137"/>
      <c r="T397" s="137"/>
      <c r="U397" s="137"/>
      <c r="V397" s="137"/>
      <c r="W397" s="137"/>
      <c r="X397" s="137"/>
      <c r="Y397" s="137"/>
      <c r="Z397" s="137"/>
    </row>
    <row r="398" ht="13.2" spans="1:26">
      <c r="A398" s="151"/>
      <c r="B398" s="149"/>
      <c r="C398" s="149"/>
      <c r="D398" s="149"/>
      <c r="E398" s="149"/>
      <c r="F398" s="149"/>
      <c r="G398" s="149"/>
      <c r="H398" s="150"/>
      <c r="I398" s="150"/>
      <c r="J398" s="137"/>
      <c r="K398" s="137"/>
      <c r="L398" s="137"/>
      <c r="M398" s="137"/>
      <c r="N398" s="137"/>
      <c r="O398" s="137"/>
      <c r="P398" s="137"/>
      <c r="Q398" s="137"/>
      <c r="R398" s="137"/>
      <c r="S398" s="137"/>
      <c r="T398" s="137"/>
      <c r="U398" s="137"/>
      <c r="V398" s="137"/>
      <c r="W398" s="137"/>
      <c r="X398" s="137"/>
      <c r="Y398" s="137"/>
      <c r="Z398" s="137"/>
    </row>
    <row r="399" ht="13.2" spans="1:26">
      <c r="A399" s="151"/>
      <c r="B399" s="149"/>
      <c r="C399" s="149"/>
      <c r="D399" s="149"/>
      <c r="E399" s="149"/>
      <c r="F399" s="149"/>
      <c r="G399" s="149"/>
      <c r="H399" s="150"/>
      <c r="I399" s="150"/>
      <c r="J399" s="137"/>
      <c r="K399" s="137"/>
      <c r="L399" s="137"/>
      <c r="M399" s="137"/>
      <c r="N399" s="137"/>
      <c r="O399" s="137"/>
      <c r="P399" s="137"/>
      <c r="Q399" s="137"/>
      <c r="R399" s="137"/>
      <c r="S399" s="137"/>
      <c r="T399" s="137"/>
      <c r="U399" s="137"/>
      <c r="V399" s="137"/>
      <c r="W399" s="137"/>
      <c r="X399" s="137"/>
      <c r="Y399" s="137"/>
      <c r="Z399" s="137"/>
    </row>
    <row r="400" ht="13.2" spans="1:26">
      <c r="A400" s="151"/>
      <c r="B400" s="149"/>
      <c r="C400" s="149"/>
      <c r="D400" s="149"/>
      <c r="E400" s="149"/>
      <c r="F400" s="149"/>
      <c r="G400" s="149"/>
      <c r="H400" s="150"/>
      <c r="I400" s="150"/>
      <c r="J400" s="137"/>
      <c r="K400" s="137"/>
      <c r="L400" s="137"/>
      <c r="M400" s="137"/>
      <c r="N400" s="137"/>
      <c r="O400" s="137"/>
      <c r="P400" s="137"/>
      <c r="Q400" s="137"/>
      <c r="R400" s="137"/>
      <c r="S400" s="137"/>
      <c r="T400" s="137"/>
      <c r="U400" s="137"/>
      <c r="V400" s="137"/>
      <c r="W400" s="137"/>
      <c r="X400" s="137"/>
      <c r="Y400" s="137"/>
      <c r="Z400" s="137"/>
    </row>
    <row r="401" ht="13.2" spans="1:26">
      <c r="A401" s="151"/>
      <c r="B401" s="149"/>
      <c r="C401" s="149"/>
      <c r="D401" s="149"/>
      <c r="E401" s="149"/>
      <c r="F401" s="149"/>
      <c r="G401" s="149"/>
      <c r="H401" s="150"/>
      <c r="I401" s="150"/>
      <c r="J401" s="137"/>
      <c r="K401" s="137"/>
      <c r="L401" s="137"/>
      <c r="M401" s="137"/>
      <c r="N401" s="137"/>
      <c r="O401" s="137"/>
      <c r="P401" s="137"/>
      <c r="Q401" s="137"/>
      <c r="R401" s="137"/>
      <c r="S401" s="137"/>
      <c r="T401" s="137"/>
      <c r="U401" s="137"/>
      <c r="V401" s="137"/>
      <c r="W401" s="137"/>
      <c r="X401" s="137"/>
      <c r="Y401" s="137"/>
      <c r="Z401" s="137"/>
    </row>
    <row r="402" ht="13.2" spans="1:26">
      <c r="A402" s="151"/>
      <c r="B402" s="149"/>
      <c r="C402" s="149"/>
      <c r="D402" s="149"/>
      <c r="E402" s="149"/>
      <c r="F402" s="149"/>
      <c r="G402" s="149"/>
      <c r="H402" s="150"/>
      <c r="I402" s="150"/>
      <c r="J402" s="137"/>
      <c r="K402" s="137"/>
      <c r="L402" s="137"/>
      <c r="M402" s="137"/>
      <c r="N402" s="137"/>
      <c r="O402" s="137"/>
      <c r="P402" s="137"/>
      <c r="Q402" s="137"/>
      <c r="R402" s="137"/>
      <c r="S402" s="137"/>
      <c r="T402" s="137"/>
      <c r="U402" s="137"/>
      <c r="V402" s="137"/>
      <c r="W402" s="137"/>
      <c r="X402" s="137"/>
      <c r="Y402" s="137"/>
      <c r="Z402" s="137"/>
    </row>
    <row r="403" ht="13.2" spans="1:26">
      <c r="A403" s="151"/>
      <c r="B403" s="149"/>
      <c r="C403" s="149"/>
      <c r="D403" s="149"/>
      <c r="E403" s="149"/>
      <c r="F403" s="149"/>
      <c r="G403" s="149"/>
      <c r="H403" s="150"/>
      <c r="I403" s="150"/>
      <c r="J403" s="137"/>
      <c r="K403" s="137"/>
      <c r="L403" s="137"/>
      <c r="M403" s="137"/>
      <c r="N403" s="137"/>
      <c r="O403" s="137"/>
      <c r="P403" s="137"/>
      <c r="Q403" s="137"/>
      <c r="R403" s="137"/>
      <c r="S403" s="137"/>
      <c r="T403" s="137"/>
      <c r="U403" s="137"/>
      <c r="V403" s="137"/>
      <c r="W403" s="137"/>
      <c r="X403" s="137"/>
      <c r="Y403" s="137"/>
      <c r="Z403" s="137"/>
    </row>
    <row r="404" ht="13.2" spans="1:26">
      <c r="A404" s="151"/>
      <c r="B404" s="149"/>
      <c r="C404" s="149"/>
      <c r="D404" s="149"/>
      <c r="E404" s="149"/>
      <c r="F404" s="149"/>
      <c r="G404" s="149"/>
      <c r="H404" s="150"/>
      <c r="I404" s="150"/>
      <c r="J404" s="137"/>
      <c r="K404" s="137"/>
      <c r="L404" s="137"/>
      <c r="M404" s="137"/>
      <c r="N404" s="137"/>
      <c r="O404" s="137"/>
      <c r="P404" s="137"/>
      <c r="Q404" s="137"/>
      <c r="R404" s="137"/>
      <c r="S404" s="137"/>
      <c r="T404" s="137"/>
      <c r="U404" s="137"/>
      <c r="V404" s="137"/>
      <c r="W404" s="137"/>
      <c r="X404" s="137"/>
      <c r="Y404" s="137"/>
      <c r="Z404" s="137"/>
    </row>
    <row r="405" ht="13.2" spans="1:26">
      <c r="A405" s="151"/>
      <c r="B405" s="149"/>
      <c r="C405" s="149"/>
      <c r="D405" s="149"/>
      <c r="E405" s="149"/>
      <c r="F405" s="149"/>
      <c r="G405" s="149"/>
      <c r="H405" s="150"/>
      <c r="I405" s="150"/>
      <c r="J405" s="137"/>
      <c r="K405" s="137"/>
      <c r="L405" s="137"/>
      <c r="M405" s="137"/>
      <c r="N405" s="137"/>
      <c r="O405" s="137"/>
      <c r="P405" s="137"/>
      <c r="Q405" s="137"/>
      <c r="R405" s="137"/>
      <c r="S405" s="137"/>
      <c r="T405" s="137"/>
      <c r="U405" s="137"/>
      <c r="V405" s="137"/>
      <c r="W405" s="137"/>
      <c r="X405" s="137"/>
      <c r="Y405" s="137"/>
      <c r="Z405" s="137"/>
    </row>
    <row r="406" ht="13.2" spans="1:26">
      <c r="A406" s="151"/>
      <c r="B406" s="149"/>
      <c r="C406" s="149"/>
      <c r="D406" s="149"/>
      <c r="E406" s="149"/>
      <c r="F406" s="149"/>
      <c r="G406" s="149"/>
      <c r="H406" s="150"/>
      <c r="I406" s="150"/>
      <c r="J406" s="137"/>
      <c r="K406" s="137"/>
      <c r="L406" s="137"/>
      <c r="M406" s="137"/>
      <c r="N406" s="137"/>
      <c r="O406" s="137"/>
      <c r="P406" s="137"/>
      <c r="Q406" s="137"/>
      <c r="R406" s="137"/>
      <c r="S406" s="137"/>
      <c r="T406" s="137"/>
      <c r="U406" s="137"/>
      <c r="V406" s="137"/>
      <c r="W406" s="137"/>
      <c r="X406" s="137"/>
      <c r="Y406" s="137"/>
      <c r="Z406" s="137"/>
    </row>
    <row r="407" ht="13.2" spans="1:26">
      <c r="A407" s="151"/>
      <c r="B407" s="149"/>
      <c r="C407" s="149"/>
      <c r="D407" s="149"/>
      <c r="E407" s="149"/>
      <c r="F407" s="149"/>
      <c r="G407" s="149"/>
      <c r="H407" s="150"/>
      <c r="I407" s="150"/>
      <c r="J407" s="137"/>
      <c r="K407" s="137"/>
      <c r="L407" s="137"/>
      <c r="M407" s="137"/>
      <c r="N407" s="137"/>
      <c r="O407" s="137"/>
      <c r="P407" s="137"/>
      <c r="Q407" s="137"/>
      <c r="R407" s="137"/>
      <c r="S407" s="137"/>
      <c r="T407" s="137"/>
      <c r="U407" s="137"/>
      <c r="V407" s="137"/>
      <c r="W407" s="137"/>
      <c r="X407" s="137"/>
      <c r="Y407" s="137"/>
      <c r="Z407" s="137"/>
    </row>
    <row r="408" ht="13.2" spans="1:26">
      <c r="A408" s="151"/>
      <c r="B408" s="149"/>
      <c r="C408" s="149"/>
      <c r="D408" s="149"/>
      <c r="E408" s="149"/>
      <c r="F408" s="149"/>
      <c r="G408" s="149"/>
      <c r="H408" s="150"/>
      <c r="I408" s="150"/>
      <c r="J408" s="137"/>
      <c r="K408" s="137"/>
      <c r="L408" s="137"/>
      <c r="M408" s="137"/>
      <c r="N408" s="137"/>
      <c r="O408" s="137"/>
      <c r="P408" s="137"/>
      <c r="Q408" s="137"/>
      <c r="R408" s="137"/>
      <c r="S408" s="137"/>
      <c r="T408" s="137"/>
      <c r="U408" s="137"/>
      <c r="V408" s="137"/>
      <c r="W408" s="137"/>
      <c r="X408" s="137"/>
      <c r="Y408" s="137"/>
      <c r="Z408" s="137"/>
    </row>
    <row r="409" ht="13.2" spans="1:26">
      <c r="A409" s="151"/>
      <c r="B409" s="149"/>
      <c r="C409" s="149"/>
      <c r="D409" s="149"/>
      <c r="E409" s="149"/>
      <c r="F409" s="149"/>
      <c r="G409" s="149"/>
      <c r="H409" s="150"/>
      <c r="I409" s="150"/>
      <c r="J409" s="137"/>
      <c r="K409" s="137"/>
      <c r="L409" s="137"/>
      <c r="M409" s="137"/>
      <c r="N409" s="137"/>
      <c r="O409" s="137"/>
      <c r="P409" s="137"/>
      <c r="Q409" s="137"/>
      <c r="R409" s="137"/>
      <c r="S409" s="137"/>
      <c r="T409" s="137"/>
      <c r="U409" s="137"/>
      <c r="V409" s="137"/>
      <c r="W409" s="137"/>
      <c r="X409" s="137"/>
      <c r="Y409" s="137"/>
      <c r="Z409" s="137"/>
    </row>
    <row r="410" ht="13.2" spans="1:26">
      <c r="A410" s="151"/>
      <c r="B410" s="149"/>
      <c r="C410" s="149"/>
      <c r="D410" s="149"/>
      <c r="E410" s="149"/>
      <c r="F410" s="149"/>
      <c r="G410" s="149"/>
      <c r="H410" s="150"/>
      <c r="I410" s="150"/>
      <c r="J410" s="137"/>
      <c r="K410" s="137"/>
      <c r="L410" s="137"/>
      <c r="M410" s="137"/>
      <c r="N410" s="137"/>
      <c r="O410" s="137"/>
      <c r="P410" s="137"/>
      <c r="Q410" s="137"/>
      <c r="R410" s="137"/>
      <c r="S410" s="137"/>
      <c r="T410" s="137"/>
      <c r="U410" s="137"/>
      <c r="V410" s="137"/>
      <c r="W410" s="137"/>
      <c r="X410" s="137"/>
      <c r="Y410" s="137"/>
      <c r="Z410" s="137"/>
    </row>
    <row r="411" ht="13.2" spans="1:26">
      <c r="A411" s="151"/>
      <c r="B411" s="149"/>
      <c r="C411" s="149"/>
      <c r="D411" s="149"/>
      <c r="E411" s="149"/>
      <c r="F411" s="149"/>
      <c r="G411" s="149"/>
      <c r="H411" s="150"/>
      <c r="I411" s="150"/>
      <c r="J411" s="137"/>
      <c r="K411" s="137"/>
      <c r="L411" s="137"/>
      <c r="M411" s="137"/>
      <c r="N411" s="137"/>
      <c r="O411" s="137"/>
      <c r="P411" s="137"/>
      <c r="Q411" s="137"/>
      <c r="R411" s="137"/>
      <c r="S411" s="137"/>
      <c r="T411" s="137"/>
      <c r="U411" s="137"/>
      <c r="V411" s="137"/>
      <c r="W411" s="137"/>
      <c r="X411" s="137"/>
      <c r="Y411" s="137"/>
      <c r="Z411" s="137"/>
    </row>
    <row r="412" ht="13.2" spans="1:26">
      <c r="A412" s="151"/>
      <c r="B412" s="149"/>
      <c r="C412" s="149"/>
      <c r="D412" s="149"/>
      <c r="E412" s="149"/>
      <c r="F412" s="149"/>
      <c r="G412" s="149"/>
      <c r="H412" s="150"/>
      <c r="I412" s="150"/>
      <c r="J412" s="137"/>
      <c r="K412" s="137"/>
      <c r="L412" s="137"/>
      <c r="M412" s="137"/>
      <c r="N412" s="137"/>
      <c r="O412" s="137"/>
      <c r="P412" s="137"/>
      <c r="Q412" s="137"/>
      <c r="R412" s="137"/>
      <c r="S412" s="137"/>
      <c r="T412" s="137"/>
      <c r="U412" s="137"/>
      <c r="V412" s="137"/>
      <c r="W412" s="137"/>
      <c r="X412" s="137"/>
      <c r="Y412" s="137"/>
      <c r="Z412" s="137"/>
    </row>
    <row r="413" ht="13.2" spans="1:26">
      <c r="A413" s="151"/>
      <c r="B413" s="149"/>
      <c r="C413" s="149"/>
      <c r="D413" s="149"/>
      <c r="E413" s="149"/>
      <c r="F413" s="149"/>
      <c r="G413" s="149"/>
      <c r="H413" s="150"/>
      <c r="I413" s="150"/>
      <c r="J413" s="137"/>
      <c r="K413" s="137"/>
      <c r="L413" s="137"/>
      <c r="M413" s="137"/>
      <c r="N413" s="137"/>
      <c r="O413" s="137"/>
      <c r="P413" s="137"/>
      <c r="Q413" s="137"/>
      <c r="R413" s="137"/>
      <c r="S413" s="137"/>
      <c r="T413" s="137"/>
      <c r="U413" s="137"/>
      <c r="V413" s="137"/>
      <c r="W413" s="137"/>
      <c r="X413" s="137"/>
      <c r="Y413" s="137"/>
      <c r="Z413" s="137"/>
    </row>
    <row r="414" ht="13.2" spans="1:26">
      <c r="A414" s="151"/>
      <c r="B414" s="149"/>
      <c r="C414" s="149"/>
      <c r="D414" s="149"/>
      <c r="E414" s="149"/>
      <c r="F414" s="149"/>
      <c r="G414" s="149"/>
      <c r="H414" s="150"/>
      <c r="I414" s="150"/>
      <c r="J414" s="137"/>
      <c r="K414" s="137"/>
      <c r="L414" s="137"/>
      <c r="M414" s="137"/>
      <c r="N414" s="137"/>
      <c r="O414" s="137"/>
      <c r="P414" s="137"/>
      <c r="Q414" s="137"/>
      <c r="R414" s="137"/>
      <c r="S414" s="137"/>
      <c r="T414" s="137"/>
      <c r="U414" s="137"/>
      <c r="V414" s="137"/>
      <c r="W414" s="137"/>
      <c r="X414" s="137"/>
      <c r="Y414" s="137"/>
      <c r="Z414" s="137"/>
    </row>
    <row r="415" ht="13.2" spans="1:26">
      <c r="A415" s="151"/>
      <c r="B415" s="149"/>
      <c r="C415" s="149"/>
      <c r="D415" s="149"/>
      <c r="E415" s="149"/>
      <c r="F415" s="149"/>
      <c r="G415" s="149"/>
      <c r="H415" s="150"/>
      <c r="I415" s="150"/>
      <c r="J415" s="137"/>
      <c r="K415" s="137"/>
      <c r="L415" s="137"/>
      <c r="M415" s="137"/>
      <c r="N415" s="137"/>
      <c r="O415" s="137"/>
      <c r="P415" s="137"/>
      <c r="Q415" s="137"/>
      <c r="R415" s="137"/>
      <c r="S415" s="137"/>
      <c r="T415" s="137"/>
      <c r="U415" s="137"/>
      <c r="V415" s="137"/>
      <c r="W415" s="137"/>
      <c r="X415" s="137"/>
      <c r="Y415" s="137"/>
      <c r="Z415" s="137"/>
    </row>
    <row r="416" ht="13.2" spans="1:26">
      <c r="A416" s="151"/>
      <c r="B416" s="149"/>
      <c r="C416" s="149"/>
      <c r="D416" s="149"/>
      <c r="E416" s="149"/>
      <c r="F416" s="149"/>
      <c r="G416" s="149"/>
      <c r="H416" s="150"/>
      <c r="I416" s="150"/>
      <c r="J416" s="137"/>
      <c r="K416" s="137"/>
      <c r="L416" s="137"/>
      <c r="M416" s="137"/>
      <c r="N416" s="137"/>
      <c r="O416" s="137"/>
      <c r="P416" s="137"/>
      <c r="Q416" s="137"/>
      <c r="R416" s="137"/>
      <c r="S416" s="137"/>
      <c r="T416" s="137"/>
      <c r="U416" s="137"/>
      <c r="V416" s="137"/>
      <c r="W416" s="137"/>
      <c r="X416" s="137"/>
      <c r="Y416" s="137"/>
      <c r="Z416" s="137"/>
    </row>
    <row r="417" ht="13.2" spans="1:26">
      <c r="A417" s="151"/>
      <c r="B417" s="149"/>
      <c r="C417" s="149"/>
      <c r="D417" s="149"/>
      <c r="E417" s="149"/>
      <c r="F417" s="149"/>
      <c r="G417" s="149"/>
      <c r="H417" s="150"/>
      <c r="I417" s="150"/>
      <c r="J417" s="137"/>
      <c r="K417" s="137"/>
      <c r="L417" s="137"/>
      <c r="M417" s="137"/>
      <c r="N417" s="137"/>
      <c r="O417" s="137"/>
      <c r="P417" s="137"/>
      <c r="Q417" s="137"/>
      <c r="R417" s="137"/>
      <c r="S417" s="137"/>
      <c r="T417" s="137"/>
      <c r="U417" s="137"/>
      <c r="V417" s="137"/>
      <c r="W417" s="137"/>
      <c r="X417" s="137"/>
      <c r="Y417" s="137"/>
      <c r="Z417" s="137"/>
    </row>
    <row r="418" ht="13.2" spans="1:26">
      <c r="A418" s="151"/>
      <c r="B418" s="149"/>
      <c r="C418" s="149"/>
      <c r="D418" s="149"/>
      <c r="E418" s="149"/>
      <c r="F418" s="149"/>
      <c r="G418" s="149"/>
      <c r="H418" s="150"/>
      <c r="I418" s="150"/>
      <c r="J418" s="137"/>
      <c r="K418" s="137"/>
      <c r="L418" s="137"/>
      <c r="M418" s="137"/>
      <c r="N418" s="137"/>
      <c r="O418" s="137"/>
      <c r="P418" s="137"/>
      <c r="Q418" s="137"/>
      <c r="R418" s="137"/>
      <c r="S418" s="137"/>
      <c r="T418" s="137"/>
      <c r="U418" s="137"/>
      <c r="V418" s="137"/>
      <c r="W418" s="137"/>
      <c r="X418" s="137"/>
      <c r="Y418" s="137"/>
      <c r="Z418" s="137"/>
    </row>
    <row r="419" ht="13.2" spans="1:26">
      <c r="A419" s="151"/>
      <c r="B419" s="149"/>
      <c r="C419" s="149"/>
      <c r="D419" s="149"/>
      <c r="E419" s="149"/>
      <c r="F419" s="149"/>
      <c r="G419" s="149"/>
      <c r="H419" s="150"/>
      <c r="I419" s="150"/>
      <c r="J419" s="137"/>
      <c r="K419" s="137"/>
      <c r="L419" s="137"/>
      <c r="M419" s="137"/>
      <c r="N419" s="137"/>
      <c r="O419" s="137"/>
      <c r="P419" s="137"/>
      <c r="Q419" s="137"/>
      <c r="R419" s="137"/>
      <c r="S419" s="137"/>
      <c r="T419" s="137"/>
      <c r="U419" s="137"/>
      <c r="V419" s="137"/>
      <c r="W419" s="137"/>
      <c r="X419" s="137"/>
      <c r="Y419" s="137"/>
      <c r="Z419" s="137"/>
    </row>
    <row r="420" ht="13.2" spans="1:26">
      <c r="A420" s="151"/>
      <c r="B420" s="149"/>
      <c r="C420" s="149"/>
      <c r="D420" s="149"/>
      <c r="E420" s="149"/>
      <c r="F420" s="149"/>
      <c r="G420" s="149"/>
      <c r="H420" s="150"/>
      <c r="I420" s="150"/>
      <c r="J420" s="137"/>
      <c r="K420" s="137"/>
      <c r="L420" s="137"/>
      <c r="M420" s="137"/>
      <c r="N420" s="137"/>
      <c r="O420" s="137"/>
      <c r="P420" s="137"/>
      <c r="Q420" s="137"/>
      <c r="R420" s="137"/>
      <c r="S420" s="137"/>
      <c r="T420" s="137"/>
      <c r="U420" s="137"/>
      <c r="V420" s="137"/>
      <c r="W420" s="137"/>
      <c r="X420" s="137"/>
      <c r="Y420" s="137"/>
      <c r="Z420" s="137"/>
    </row>
    <row r="421" ht="13.2" spans="1:26">
      <c r="A421" s="151"/>
      <c r="B421" s="149"/>
      <c r="C421" s="149"/>
      <c r="D421" s="149"/>
      <c r="E421" s="149"/>
      <c r="F421" s="149"/>
      <c r="G421" s="149"/>
      <c r="H421" s="150"/>
      <c r="I421" s="150"/>
      <c r="J421" s="137"/>
      <c r="K421" s="137"/>
      <c r="L421" s="137"/>
      <c r="M421" s="137"/>
      <c r="N421" s="137"/>
      <c r="O421" s="137"/>
      <c r="P421" s="137"/>
      <c r="Q421" s="137"/>
      <c r="R421" s="137"/>
      <c r="S421" s="137"/>
      <c r="T421" s="137"/>
      <c r="U421" s="137"/>
      <c r="V421" s="137"/>
      <c r="W421" s="137"/>
      <c r="X421" s="137"/>
      <c r="Y421" s="137"/>
      <c r="Z421" s="137"/>
    </row>
    <row r="422" ht="13.2" spans="1:26">
      <c r="A422" s="151"/>
      <c r="B422" s="149"/>
      <c r="C422" s="149"/>
      <c r="D422" s="149"/>
      <c r="E422" s="149"/>
      <c r="F422" s="149"/>
      <c r="G422" s="149"/>
      <c r="H422" s="150"/>
      <c r="I422" s="150"/>
      <c r="J422" s="137"/>
      <c r="K422" s="137"/>
      <c r="L422" s="137"/>
      <c r="M422" s="137"/>
      <c r="N422" s="137"/>
      <c r="O422" s="137"/>
      <c r="P422" s="137"/>
      <c r="Q422" s="137"/>
      <c r="R422" s="137"/>
      <c r="S422" s="137"/>
      <c r="T422" s="137"/>
      <c r="U422" s="137"/>
      <c r="V422" s="137"/>
      <c r="W422" s="137"/>
      <c r="X422" s="137"/>
      <c r="Y422" s="137"/>
      <c r="Z422" s="137"/>
    </row>
    <row r="423" ht="13.2" spans="1:26">
      <c r="A423" s="151"/>
      <c r="B423" s="149"/>
      <c r="C423" s="149"/>
      <c r="D423" s="149"/>
      <c r="E423" s="149"/>
      <c r="F423" s="149"/>
      <c r="G423" s="149"/>
      <c r="H423" s="150"/>
      <c r="I423" s="150"/>
      <c r="J423" s="137"/>
      <c r="K423" s="137"/>
      <c r="L423" s="137"/>
      <c r="M423" s="137"/>
      <c r="N423" s="137"/>
      <c r="O423" s="137"/>
      <c r="P423" s="137"/>
      <c r="Q423" s="137"/>
      <c r="R423" s="137"/>
      <c r="S423" s="137"/>
      <c r="T423" s="137"/>
      <c r="U423" s="137"/>
      <c r="V423" s="137"/>
      <c r="W423" s="137"/>
      <c r="X423" s="137"/>
      <c r="Y423" s="137"/>
      <c r="Z423" s="137"/>
    </row>
    <row r="424" ht="13.2" spans="1:26">
      <c r="A424" s="151"/>
      <c r="B424" s="149"/>
      <c r="C424" s="149"/>
      <c r="D424" s="149"/>
      <c r="E424" s="149"/>
      <c r="F424" s="149"/>
      <c r="G424" s="149"/>
      <c r="H424" s="150"/>
      <c r="I424" s="150"/>
      <c r="J424" s="137"/>
      <c r="K424" s="137"/>
      <c r="L424" s="137"/>
      <c r="M424" s="137"/>
      <c r="N424" s="137"/>
      <c r="O424" s="137"/>
      <c r="P424" s="137"/>
      <c r="Q424" s="137"/>
      <c r="R424" s="137"/>
      <c r="S424" s="137"/>
      <c r="T424" s="137"/>
      <c r="U424" s="137"/>
      <c r="V424" s="137"/>
      <c r="W424" s="137"/>
      <c r="X424" s="137"/>
      <c r="Y424" s="137"/>
      <c r="Z424" s="137"/>
    </row>
    <row r="425" ht="13.2" spans="1:26">
      <c r="A425" s="151"/>
      <c r="B425" s="149"/>
      <c r="C425" s="149"/>
      <c r="D425" s="149"/>
      <c r="E425" s="149"/>
      <c r="F425" s="149"/>
      <c r="G425" s="149"/>
      <c r="H425" s="150"/>
      <c r="I425" s="150"/>
      <c r="J425" s="137"/>
      <c r="K425" s="137"/>
      <c r="L425" s="137"/>
      <c r="M425" s="137"/>
      <c r="N425" s="137"/>
      <c r="O425" s="137"/>
      <c r="P425" s="137"/>
      <c r="Q425" s="137"/>
      <c r="R425" s="137"/>
      <c r="S425" s="137"/>
      <c r="T425" s="137"/>
      <c r="U425" s="137"/>
      <c r="V425" s="137"/>
      <c r="W425" s="137"/>
      <c r="X425" s="137"/>
      <c r="Y425" s="137"/>
      <c r="Z425" s="137"/>
    </row>
    <row r="426" ht="13.2" spans="1:26">
      <c r="A426" s="151"/>
      <c r="B426" s="149"/>
      <c r="C426" s="149"/>
      <c r="D426" s="149"/>
      <c r="E426" s="149"/>
      <c r="F426" s="149"/>
      <c r="G426" s="149"/>
      <c r="H426" s="150"/>
      <c r="I426" s="150"/>
      <c r="J426" s="137"/>
      <c r="K426" s="137"/>
      <c r="L426" s="137"/>
      <c r="M426" s="137"/>
      <c r="N426" s="137"/>
      <c r="O426" s="137"/>
      <c r="P426" s="137"/>
      <c r="Q426" s="137"/>
      <c r="R426" s="137"/>
      <c r="S426" s="137"/>
      <c r="T426" s="137"/>
      <c r="U426" s="137"/>
      <c r="V426" s="137"/>
      <c r="W426" s="137"/>
      <c r="X426" s="137"/>
      <c r="Y426" s="137"/>
      <c r="Z426" s="137"/>
    </row>
    <row r="427" ht="13.2" spans="1:26">
      <c r="A427" s="151"/>
      <c r="B427" s="149"/>
      <c r="C427" s="149"/>
      <c r="D427" s="149"/>
      <c r="E427" s="149"/>
      <c r="F427" s="149"/>
      <c r="G427" s="149"/>
      <c r="H427" s="150"/>
      <c r="I427" s="150"/>
      <c r="J427" s="137"/>
      <c r="K427" s="137"/>
      <c r="L427" s="137"/>
      <c r="M427" s="137"/>
      <c r="N427" s="137"/>
      <c r="O427" s="137"/>
      <c r="P427" s="137"/>
      <c r="Q427" s="137"/>
      <c r="R427" s="137"/>
      <c r="S427" s="137"/>
      <c r="T427" s="137"/>
      <c r="U427" s="137"/>
      <c r="V427" s="137"/>
      <c r="W427" s="137"/>
      <c r="X427" s="137"/>
      <c r="Y427" s="137"/>
      <c r="Z427" s="137"/>
    </row>
    <row r="428" ht="13.2" spans="1:26">
      <c r="A428" s="151"/>
      <c r="B428" s="149"/>
      <c r="C428" s="149"/>
      <c r="D428" s="149"/>
      <c r="E428" s="149"/>
      <c r="F428" s="149"/>
      <c r="G428" s="149"/>
      <c r="H428" s="150"/>
      <c r="I428" s="150"/>
      <c r="J428" s="137"/>
      <c r="K428" s="137"/>
      <c r="L428" s="137"/>
      <c r="M428" s="137"/>
      <c r="N428" s="137"/>
      <c r="O428" s="137"/>
      <c r="P428" s="137"/>
      <c r="Q428" s="137"/>
      <c r="R428" s="137"/>
      <c r="S428" s="137"/>
      <c r="T428" s="137"/>
      <c r="U428" s="137"/>
      <c r="V428" s="137"/>
      <c r="W428" s="137"/>
      <c r="X428" s="137"/>
      <c r="Y428" s="137"/>
      <c r="Z428" s="137"/>
    </row>
    <row r="429" ht="13.2" spans="1:26">
      <c r="A429" s="151"/>
      <c r="B429" s="149"/>
      <c r="C429" s="149"/>
      <c r="D429" s="149"/>
      <c r="E429" s="149"/>
      <c r="F429" s="149"/>
      <c r="G429" s="149"/>
      <c r="H429" s="150"/>
      <c r="I429" s="150"/>
      <c r="J429" s="137"/>
      <c r="K429" s="137"/>
      <c r="L429" s="137"/>
      <c r="M429" s="137"/>
      <c r="N429" s="137"/>
      <c r="O429" s="137"/>
      <c r="P429" s="137"/>
      <c r="Q429" s="137"/>
      <c r="R429" s="137"/>
      <c r="S429" s="137"/>
      <c r="T429" s="137"/>
      <c r="U429" s="137"/>
      <c r="V429" s="137"/>
      <c r="W429" s="137"/>
      <c r="X429" s="137"/>
      <c r="Y429" s="137"/>
      <c r="Z429" s="137"/>
    </row>
    <row r="430" ht="13.2" spans="1:26">
      <c r="A430" s="151"/>
      <c r="B430" s="149"/>
      <c r="C430" s="149"/>
      <c r="D430" s="149"/>
      <c r="E430" s="149"/>
      <c r="F430" s="149"/>
      <c r="G430" s="149"/>
      <c r="H430" s="150"/>
      <c r="I430" s="150"/>
      <c r="J430" s="137"/>
      <c r="K430" s="137"/>
      <c r="L430" s="137"/>
      <c r="M430" s="137"/>
      <c r="N430" s="137"/>
      <c r="O430" s="137"/>
      <c r="P430" s="137"/>
      <c r="Q430" s="137"/>
      <c r="R430" s="137"/>
      <c r="S430" s="137"/>
      <c r="T430" s="137"/>
      <c r="U430" s="137"/>
      <c r="V430" s="137"/>
      <c r="W430" s="137"/>
      <c r="X430" s="137"/>
      <c r="Y430" s="137"/>
      <c r="Z430" s="137"/>
    </row>
    <row r="431" ht="13.2" spans="1:26">
      <c r="A431" s="151"/>
      <c r="B431" s="149"/>
      <c r="C431" s="149"/>
      <c r="D431" s="149"/>
      <c r="E431" s="149"/>
      <c r="F431" s="149"/>
      <c r="G431" s="149"/>
      <c r="H431" s="150"/>
      <c r="I431" s="150"/>
      <c r="J431" s="137"/>
      <c r="K431" s="137"/>
      <c r="L431" s="137"/>
      <c r="M431" s="137"/>
      <c r="N431" s="137"/>
      <c r="O431" s="137"/>
      <c r="P431" s="137"/>
      <c r="Q431" s="137"/>
      <c r="R431" s="137"/>
      <c r="S431" s="137"/>
      <c r="T431" s="137"/>
      <c r="U431" s="137"/>
      <c r="V431" s="137"/>
      <c r="W431" s="137"/>
      <c r="X431" s="137"/>
      <c r="Y431" s="137"/>
      <c r="Z431" s="137"/>
    </row>
    <row r="432" ht="13.2" spans="1:26">
      <c r="A432" s="151"/>
      <c r="B432" s="149"/>
      <c r="C432" s="149"/>
      <c r="D432" s="149"/>
      <c r="E432" s="149"/>
      <c r="F432" s="149"/>
      <c r="G432" s="149"/>
      <c r="H432" s="150"/>
      <c r="I432" s="150"/>
      <c r="J432" s="137"/>
      <c r="K432" s="137"/>
      <c r="L432" s="137"/>
      <c r="M432" s="137"/>
      <c r="N432" s="137"/>
      <c r="O432" s="137"/>
      <c r="P432" s="137"/>
      <c r="Q432" s="137"/>
      <c r="R432" s="137"/>
      <c r="S432" s="137"/>
      <c r="T432" s="137"/>
      <c r="U432" s="137"/>
      <c r="V432" s="137"/>
      <c r="W432" s="137"/>
      <c r="X432" s="137"/>
      <c r="Y432" s="137"/>
      <c r="Z432" s="137"/>
    </row>
    <row r="433" ht="13.2" spans="1:26">
      <c r="A433" s="151"/>
      <c r="B433" s="149"/>
      <c r="C433" s="149"/>
      <c r="D433" s="149"/>
      <c r="E433" s="149"/>
      <c r="F433" s="149"/>
      <c r="G433" s="149"/>
      <c r="H433" s="150"/>
      <c r="I433" s="150"/>
      <c r="J433" s="137"/>
      <c r="K433" s="137"/>
      <c r="L433" s="137"/>
      <c r="M433" s="137"/>
      <c r="N433" s="137"/>
      <c r="O433" s="137"/>
      <c r="P433" s="137"/>
      <c r="Q433" s="137"/>
      <c r="R433" s="137"/>
      <c r="S433" s="137"/>
      <c r="T433" s="137"/>
      <c r="U433" s="137"/>
      <c r="V433" s="137"/>
      <c r="W433" s="137"/>
      <c r="X433" s="137"/>
      <c r="Y433" s="137"/>
      <c r="Z433" s="137"/>
    </row>
    <row r="434" ht="13.2" spans="1:26">
      <c r="A434" s="151"/>
      <c r="B434" s="149"/>
      <c r="C434" s="149"/>
      <c r="D434" s="149"/>
      <c r="E434" s="149"/>
      <c r="F434" s="149"/>
      <c r="G434" s="149"/>
      <c r="H434" s="150"/>
      <c r="I434" s="150"/>
      <c r="J434" s="137"/>
      <c r="K434" s="137"/>
      <c r="L434" s="137"/>
      <c r="M434" s="137"/>
      <c r="N434" s="137"/>
      <c r="O434" s="137"/>
      <c r="P434" s="137"/>
      <c r="Q434" s="137"/>
      <c r="R434" s="137"/>
      <c r="S434" s="137"/>
      <c r="T434" s="137"/>
      <c r="U434" s="137"/>
      <c r="V434" s="137"/>
      <c r="W434" s="137"/>
      <c r="X434" s="137"/>
      <c r="Y434" s="137"/>
      <c r="Z434" s="137"/>
    </row>
    <row r="435" ht="13.2" spans="1:26">
      <c r="A435" s="151"/>
      <c r="B435" s="149"/>
      <c r="C435" s="149"/>
      <c r="D435" s="149"/>
      <c r="E435" s="149"/>
      <c r="F435" s="149"/>
      <c r="G435" s="149"/>
      <c r="H435" s="150"/>
      <c r="I435" s="150"/>
      <c r="J435" s="137"/>
      <c r="K435" s="137"/>
      <c r="L435" s="137"/>
      <c r="M435" s="137"/>
      <c r="N435" s="137"/>
      <c r="O435" s="137"/>
      <c r="P435" s="137"/>
      <c r="Q435" s="137"/>
      <c r="R435" s="137"/>
      <c r="S435" s="137"/>
      <c r="T435" s="137"/>
      <c r="U435" s="137"/>
      <c r="V435" s="137"/>
      <c r="W435" s="137"/>
      <c r="X435" s="137"/>
      <c r="Y435" s="137"/>
      <c r="Z435" s="137"/>
    </row>
    <row r="436" ht="13.2" spans="1:26">
      <c r="A436" s="151"/>
      <c r="B436" s="149"/>
      <c r="C436" s="149"/>
      <c r="D436" s="149"/>
      <c r="E436" s="149"/>
      <c r="F436" s="149"/>
      <c r="G436" s="149"/>
      <c r="H436" s="150"/>
      <c r="I436" s="150"/>
      <c r="J436" s="137"/>
      <c r="K436" s="137"/>
      <c r="L436" s="137"/>
      <c r="M436" s="137"/>
      <c r="N436" s="137"/>
      <c r="O436" s="137"/>
      <c r="P436" s="137"/>
      <c r="Q436" s="137"/>
      <c r="R436" s="137"/>
      <c r="S436" s="137"/>
      <c r="T436" s="137"/>
      <c r="U436" s="137"/>
      <c r="V436" s="137"/>
      <c r="W436" s="137"/>
      <c r="X436" s="137"/>
      <c r="Y436" s="137"/>
      <c r="Z436" s="137"/>
    </row>
    <row r="437" ht="13.2" spans="1:26">
      <c r="A437" s="151"/>
      <c r="B437" s="149"/>
      <c r="C437" s="149"/>
      <c r="D437" s="149"/>
      <c r="E437" s="149"/>
      <c r="F437" s="149"/>
      <c r="G437" s="149"/>
      <c r="H437" s="150"/>
      <c r="I437" s="150"/>
      <c r="J437" s="137"/>
      <c r="K437" s="137"/>
      <c r="L437" s="137"/>
      <c r="M437" s="137"/>
      <c r="N437" s="137"/>
      <c r="O437" s="137"/>
      <c r="P437" s="137"/>
      <c r="Q437" s="137"/>
      <c r="R437" s="137"/>
      <c r="S437" s="137"/>
      <c r="T437" s="137"/>
      <c r="U437" s="137"/>
      <c r="V437" s="137"/>
      <c r="W437" s="137"/>
      <c r="X437" s="137"/>
      <c r="Y437" s="137"/>
      <c r="Z437" s="137"/>
    </row>
    <row r="438" ht="13.2" spans="1:26">
      <c r="A438" s="151"/>
      <c r="B438" s="149"/>
      <c r="C438" s="149"/>
      <c r="D438" s="149"/>
      <c r="E438" s="149"/>
      <c r="F438" s="149"/>
      <c r="G438" s="149"/>
      <c r="H438" s="150"/>
      <c r="I438" s="150"/>
      <c r="J438" s="137"/>
      <c r="K438" s="137"/>
      <c r="L438" s="137"/>
      <c r="M438" s="137"/>
      <c r="N438" s="137"/>
      <c r="O438" s="137"/>
      <c r="P438" s="137"/>
      <c r="Q438" s="137"/>
      <c r="R438" s="137"/>
      <c r="S438" s="137"/>
      <c r="T438" s="137"/>
      <c r="U438" s="137"/>
      <c r="V438" s="137"/>
      <c r="W438" s="137"/>
      <c r="X438" s="137"/>
      <c r="Y438" s="137"/>
      <c r="Z438" s="137"/>
    </row>
    <row r="439" ht="13.2" spans="1:26">
      <c r="A439" s="151"/>
      <c r="B439" s="149"/>
      <c r="C439" s="149"/>
      <c r="D439" s="149"/>
      <c r="E439" s="149"/>
      <c r="F439" s="149"/>
      <c r="G439" s="149"/>
      <c r="H439" s="150"/>
      <c r="I439" s="150"/>
      <c r="J439" s="137"/>
      <c r="K439" s="137"/>
      <c r="L439" s="137"/>
      <c r="M439" s="137"/>
      <c r="N439" s="137"/>
      <c r="O439" s="137"/>
      <c r="P439" s="137"/>
      <c r="Q439" s="137"/>
      <c r="R439" s="137"/>
      <c r="S439" s="137"/>
      <c r="T439" s="137"/>
      <c r="U439" s="137"/>
      <c r="V439" s="137"/>
      <c r="W439" s="137"/>
      <c r="X439" s="137"/>
      <c r="Y439" s="137"/>
      <c r="Z439" s="137"/>
    </row>
    <row r="440" ht="13.2" spans="1:26">
      <c r="A440" s="151"/>
      <c r="B440" s="149"/>
      <c r="C440" s="149"/>
      <c r="D440" s="149"/>
      <c r="E440" s="149"/>
      <c r="F440" s="149"/>
      <c r="G440" s="149"/>
      <c r="H440" s="150"/>
      <c r="I440" s="150"/>
      <c r="J440" s="137"/>
      <c r="K440" s="137"/>
      <c r="L440" s="137"/>
      <c r="M440" s="137"/>
      <c r="N440" s="137"/>
      <c r="O440" s="137"/>
      <c r="P440" s="137"/>
      <c r="Q440" s="137"/>
      <c r="R440" s="137"/>
      <c r="S440" s="137"/>
      <c r="T440" s="137"/>
      <c r="U440" s="137"/>
      <c r="V440" s="137"/>
      <c r="W440" s="137"/>
      <c r="X440" s="137"/>
      <c r="Y440" s="137"/>
      <c r="Z440" s="137"/>
    </row>
    <row r="441" ht="13.2" spans="1:26">
      <c r="A441" s="151"/>
      <c r="B441" s="149"/>
      <c r="C441" s="149"/>
      <c r="D441" s="149"/>
      <c r="E441" s="149"/>
      <c r="F441" s="149"/>
      <c r="G441" s="149"/>
      <c r="H441" s="150"/>
      <c r="I441" s="150"/>
      <c r="J441" s="137"/>
      <c r="K441" s="137"/>
      <c r="L441" s="137"/>
      <c r="M441" s="137"/>
      <c r="N441" s="137"/>
      <c r="O441" s="137"/>
      <c r="P441" s="137"/>
      <c r="Q441" s="137"/>
      <c r="R441" s="137"/>
      <c r="S441" s="137"/>
      <c r="T441" s="137"/>
      <c r="U441" s="137"/>
      <c r="V441" s="137"/>
      <c r="W441" s="137"/>
      <c r="X441" s="137"/>
      <c r="Y441" s="137"/>
      <c r="Z441" s="137"/>
    </row>
    <row r="442" ht="13.2" spans="1:26">
      <c r="A442" s="151"/>
      <c r="B442" s="149"/>
      <c r="C442" s="149"/>
      <c r="D442" s="149"/>
      <c r="E442" s="149"/>
      <c r="F442" s="149"/>
      <c r="G442" s="149"/>
      <c r="H442" s="150"/>
      <c r="I442" s="150"/>
      <c r="J442" s="137"/>
      <c r="K442" s="137"/>
      <c r="L442" s="137"/>
      <c r="M442" s="137"/>
      <c r="N442" s="137"/>
      <c r="O442" s="137"/>
      <c r="P442" s="137"/>
      <c r="Q442" s="137"/>
      <c r="R442" s="137"/>
      <c r="S442" s="137"/>
      <c r="T442" s="137"/>
      <c r="U442" s="137"/>
      <c r="V442" s="137"/>
      <c r="W442" s="137"/>
      <c r="X442" s="137"/>
      <c r="Y442" s="137"/>
      <c r="Z442" s="137"/>
    </row>
    <row r="443" ht="13.2" spans="1:26">
      <c r="A443" s="151"/>
      <c r="B443" s="149"/>
      <c r="C443" s="149"/>
      <c r="D443" s="149"/>
      <c r="E443" s="149"/>
      <c r="F443" s="149"/>
      <c r="G443" s="149"/>
      <c r="H443" s="150"/>
      <c r="I443" s="150"/>
      <c r="J443" s="137"/>
      <c r="K443" s="137"/>
      <c r="L443" s="137"/>
      <c r="M443" s="137"/>
      <c r="N443" s="137"/>
      <c r="O443" s="137"/>
      <c r="P443" s="137"/>
      <c r="Q443" s="137"/>
      <c r="R443" s="137"/>
      <c r="S443" s="137"/>
      <c r="T443" s="137"/>
      <c r="U443" s="137"/>
      <c r="V443" s="137"/>
      <c r="W443" s="137"/>
      <c r="X443" s="137"/>
      <c r="Y443" s="137"/>
      <c r="Z443" s="137"/>
    </row>
    <row r="444" ht="13.2" spans="1:26">
      <c r="A444" s="151"/>
      <c r="B444" s="149"/>
      <c r="C444" s="149"/>
      <c r="D444" s="149"/>
      <c r="E444" s="149"/>
      <c r="F444" s="149"/>
      <c r="G444" s="149"/>
      <c r="H444" s="150"/>
      <c r="I444" s="150"/>
      <c r="J444" s="137"/>
      <c r="K444" s="137"/>
      <c r="L444" s="137"/>
      <c r="M444" s="137"/>
      <c r="N444" s="137"/>
      <c r="O444" s="137"/>
      <c r="P444" s="137"/>
      <c r="Q444" s="137"/>
      <c r="R444" s="137"/>
      <c r="S444" s="137"/>
      <c r="T444" s="137"/>
      <c r="U444" s="137"/>
      <c r="V444" s="137"/>
      <c r="W444" s="137"/>
      <c r="X444" s="137"/>
      <c r="Y444" s="137"/>
      <c r="Z444" s="137"/>
    </row>
    <row r="445" ht="13.2" spans="1:26">
      <c r="A445" s="151"/>
      <c r="B445" s="149"/>
      <c r="C445" s="149"/>
      <c r="D445" s="149"/>
      <c r="E445" s="149"/>
      <c r="F445" s="149"/>
      <c r="G445" s="149"/>
      <c r="H445" s="150"/>
      <c r="I445" s="150"/>
      <c r="J445" s="137"/>
      <c r="K445" s="137"/>
      <c r="L445" s="137"/>
      <c r="M445" s="137"/>
      <c r="N445" s="137"/>
      <c r="O445" s="137"/>
      <c r="P445" s="137"/>
      <c r="Q445" s="137"/>
      <c r="R445" s="137"/>
      <c r="S445" s="137"/>
      <c r="T445" s="137"/>
      <c r="U445" s="137"/>
      <c r="V445" s="137"/>
      <c r="W445" s="137"/>
      <c r="X445" s="137"/>
      <c r="Y445" s="137"/>
      <c r="Z445" s="137"/>
    </row>
    <row r="446" ht="13.2" spans="1:26">
      <c r="A446" s="151"/>
      <c r="B446" s="149"/>
      <c r="C446" s="149"/>
      <c r="D446" s="149"/>
      <c r="E446" s="149"/>
      <c r="F446" s="149"/>
      <c r="G446" s="149"/>
      <c r="H446" s="150"/>
      <c r="I446" s="150"/>
      <c r="J446" s="137"/>
      <c r="K446" s="137"/>
      <c r="L446" s="137"/>
      <c r="M446" s="137"/>
      <c r="N446" s="137"/>
      <c r="O446" s="137"/>
      <c r="P446" s="137"/>
      <c r="Q446" s="137"/>
      <c r="R446" s="137"/>
      <c r="S446" s="137"/>
      <c r="T446" s="137"/>
      <c r="U446" s="137"/>
      <c r="V446" s="137"/>
      <c r="W446" s="137"/>
      <c r="X446" s="137"/>
      <c r="Y446" s="137"/>
      <c r="Z446" s="137"/>
    </row>
    <row r="447" ht="13.2" spans="1:26">
      <c r="A447" s="151"/>
      <c r="B447" s="149"/>
      <c r="C447" s="149"/>
      <c r="D447" s="149"/>
      <c r="E447" s="149"/>
      <c r="F447" s="149"/>
      <c r="G447" s="149"/>
      <c r="H447" s="150"/>
      <c r="I447" s="150"/>
      <c r="J447" s="137"/>
      <c r="K447" s="137"/>
      <c r="L447" s="137"/>
      <c r="M447" s="137"/>
      <c r="N447" s="137"/>
      <c r="O447" s="137"/>
      <c r="P447" s="137"/>
      <c r="Q447" s="137"/>
      <c r="R447" s="137"/>
      <c r="S447" s="137"/>
      <c r="T447" s="137"/>
      <c r="U447" s="137"/>
      <c r="V447" s="137"/>
      <c r="W447" s="137"/>
      <c r="X447" s="137"/>
      <c r="Y447" s="137"/>
      <c r="Z447" s="137"/>
    </row>
    <row r="448" ht="13.2" spans="1:26">
      <c r="A448" s="151"/>
      <c r="B448" s="149"/>
      <c r="C448" s="149"/>
      <c r="D448" s="149"/>
      <c r="E448" s="149"/>
      <c r="F448" s="149"/>
      <c r="G448" s="149"/>
      <c r="H448" s="150"/>
      <c r="I448" s="150"/>
      <c r="J448" s="137"/>
      <c r="K448" s="137"/>
      <c r="L448" s="137"/>
      <c r="M448" s="137"/>
      <c r="N448" s="137"/>
      <c r="O448" s="137"/>
      <c r="P448" s="137"/>
      <c r="Q448" s="137"/>
      <c r="R448" s="137"/>
      <c r="S448" s="137"/>
      <c r="T448" s="137"/>
      <c r="U448" s="137"/>
      <c r="V448" s="137"/>
      <c r="W448" s="137"/>
      <c r="X448" s="137"/>
      <c r="Y448" s="137"/>
      <c r="Z448" s="137"/>
    </row>
    <row r="449" ht="13.2" spans="1:26">
      <c r="A449" s="151"/>
      <c r="B449" s="149"/>
      <c r="C449" s="149"/>
      <c r="D449" s="149"/>
      <c r="E449" s="149"/>
      <c r="F449" s="149"/>
      <c r="G449" s="149"/>
      <c r="H449" s="150"/>
      <c r="I449" s="150"/>
      <c r="J449" s="137"/>
      <c r="K449" s="137"/>
      <c r="L449" s="137"/>
      <c r="M449" s="137"/>
      <c r="N449" s="137"/>
      <c r="O449" s="137"/>
      <c r="P449" s="137"/>
      <c r="Q449" s="137"/>
      <c r="R449" s="137"/>
      <c r="S449" s="137"/>
      <c r="T449" s="137"/>
      <c r="U449" s="137"/>
      <c r="V449" s="137"/>
      <c r="W449" s="137"/>
      <c r="X449" s="137"/>
      <c r="Y449" s="137"/>
      <c r="Z449" s="137"/>
    </row>
    <row r="450" ht="13.2" spans="1:26">
      <c r="A450" s="151"/>
      <c r="B450" s="149"/>
      <c r="C450" s="149"/>
      <c r="D450" s="149"/>
      <c r="E450" s="149"/>
      <c r="F450" s="149"/>
      <c r="G450" s="149"/>
      <c r="H450" s="150"/>
      <c r="I450" s="150"/>
      <c r="J450" s="137"/>
      <c r="K450" s="137"/>
      <c r="L450" s="137"/>
      <c r="M450" s="137"/>
      <c r="N450" s="137"/>
      <c r="O450" s="137"/>
      <c r="P450" s="137"/>
      <c r="Q450" s="137"/>
      <c r="R450" s="137"/>
      <c r="S450" s="137"/>
      <c r="T450" s="137"/>
      <c r="U450" s="137"/>
      <c r="V450" s="137"/>
      <c r="W450" s="137"/>
      <c r="X450" s="137"/>
      <c r="Y450" s="137"/>
      <c r="Z450" s="137"/>
    </row>
    <row r="451" ht="13.2" spans="1:26">
      <c r="A451" s="151"/>
      <c r="B451" s="149"/>
      <c r="C451" s="149"/>
      <c r="D451" s="149"/>
      <c r="E451" s="149"/>
      <c r="F451" s="149"/>
      <c r="G451" s="149"/>
      <c r="H451" s="150"/>
      <c r="I451" s="150"/>
      <c r="J451" s="137"/>
      <c r="K451" s="137"/>
      <c r="L451" s="137"/>
      <c r="M451" s="137"/>
      <c r="N451" s="137"/>
      <c r="O451" s="137"/>
      <c r="P451" s="137"/>
      <c r="Q451" s="137"/>
      <c r="R451" s="137"/>
      <c r="S451" s="137"/>
      <c r="T451" s="137"/>
      <c r="U451" s="137"/>
      <c r="V451" s="137"/>
      <c r="W451" s="137"/>
      <c r="X451" s="137"/>
      <c r="Y451" s="137"/>
      <c r="Z451" s="137"/>
    </row>
    <row r="452" ht="13.2" spans="1:26">
      <c r="A452" s="151"/>
      <c r="B452" s="149"/>
      <c r="C452" s="149"/>
      <c r="D452" s="149"/>
      <c r="E452" s="149"/>
      <c r="F452" s="149"/>
      <c r="G452" s="149"/>
      <c r="H452" s="150"/>
      <c r="I452" s="150"/>
      <c r="J452" s="137"/>
      <c r="K452" s="137"/>
      <c r="L452" s="137"/>
      <c r="M452" s="137"/>
      <c r="N452" s="137"/>
      <c r="O452" s="137"/>
      <c r="P452" s="137"/>
      <c r="Q452" s="137"/>
      <c r="R452" s="137"/>
      <c r="S452" s="137"/>
      <c r="T452" s="137"/>
      <c r="U452" s="137"/>
      <c r="V452" s="137"/>
      <c r="W452" s="137"/>
      <c r="X452" s="137"/>
      <c r="Y452" s="137"/>
      <c r="Z452" s="137"/>
    </row>
    <row r="453" ht="13.2" spans="1:26">
      <c r="A453" s="151"/>
      <c r="B453" s="149"/>
      <c r="C453" s="149"/>
      <c r="D453" s="149"/>
      <c r="E453" s="149"/>
      <c r="F453" s="149"/>
      <c r="G453" s="149"/>
      <c r="H453" s="150"/>
      <c r="I453" s="150"/>
      <c r="J453" s="137"/>
      <c r="K453" s="137"/>
      <c r="L453" s="137"/>
      <c r="M453" s="137"/>
      <c r="N453" s="137"/>
      <c r="O453" s="137"/>
      <c r="P453" s="137"/>
      <c r="Q453" s="137"/>
      <c r="R453" s="137"/>
      <c r="S453" s="137"/>
      <c r="T453" s="137"/>
      <c r="U453" s="137"/>
      <c r="V453" s="137"/>
      <c r="W453" s="137"/>
      <c r="X453" s="137"/>
      <c r="Y453" s="137"/>
      <c r="Z453" s="137"/>
    </row>
    <row r="454" ht="13.2" spans="1:26">
      <c r="A454" s="151"/>
      <c r="B454" s="149"/>
      <c r="C454" s="149"/>
      <c r="D454" s="149"/>
      <c r="E454" s="149"/>
      <c r="F454" s="149"/>
      <c r="G454" s="149"/>
      <c r="H454" s="150"/>
      <c r="I454" s="150"/>
      <c r="J454" s="137"/>
      <c r="K454" s="137"/>
      <c r="L454" s="137"/>
      <c r="M454" s="137"/>
      <c r="N454" s="137"/>
      <c r="O454" s="137"/>
      <c r="P454" s="137"/>
      <c r="Q454" s="137"/>
      <c r="R454" s="137"/>
      <c r="S454" s="137"/>
      <c r="T454" s="137"/>
      <c r="U454" s="137"/>
      <c r="V454" s="137"/>
      <c r="W454" s="137"/>
      <c r="X454" s="137"/>
      <c r="Y454" s="137"/>
      <c r="Z454" s="137"/>
    </row>
    <row r="455" ht="13.2" spans="1:26">
      <c r="A455" s="151"/>
      <c r="B455" s="149"/>
      <c r="C455" s="149"/>
      <c r="D455" s="149"/>
      <c r="E455" s="149"/>
      <c r="F455" s="149"/>
      <c r="G455" s="149"/>
      <c r="H455" s="150"/>
      <c r="I455" s="150"/>
      <c r="J455" s="137"/>
      <c r="K455" s="137"/>
      <c r="L455" s="137"/>
      <c r="M455" s="137"/>
      <c r="N455" s="137"/>
      <c r="O455" s="137"/>
      <c r="P455" s="137"/>
      <c r="Q455" s="137"/>
      <c r="R455" s="137"/>
      <c r="S455" s="137"/>
      <c r="T455" s="137"/>
      <c r="U455" s="137"/>
      <c r="V455" s="137"/>
      <c r="W455" s="137"/>
      <c r="X455" s="137"/>
      <c r="Y455" s="137"/>
      <c r="Z455" s="137"/>
    </row>
    <row r="456" ht="13.2" spans="1:26">
      <c r="A456" s="151"/>
      <c r="B456" s="149"/>
      <c r="C456" s="149"/>
      <c r="D456" s="149"/>
      <c r="E456" s="149"/>
      <c r="F456" s="149"/>
      <c r="G456" s="149"/>
      <c r="H456" s="150"/>
      <c r="I456" s="150"/>
      <c r="J456" s="137"/>
      <c r="K456" s="137"/>
      <c r="L456" s="137"/>
      <c r="M456" s="137"/>
      <c r="N456" s="137"/>
      <c r="O456" s="137"/>
      <c r="P456" s="137"/>
      <c r="Q456" s="137"/>
      <c r="R456" s="137"/>
      <c r="S456" s="137"/>
      <c r="T456" s="137"/>
      <c r="U456" s="137"/>
      <c r="V456" s="137"/>
      <c r="W456" s="137"/>
      <c r="X456" s="137"/>
      <c r="Y456" s="137"/>
      <c r="Z456" s="137"/>
    </row>
    <row r="457" ht="13.2" spans="1:26">
      <c r="A457" s="151"/>
      <c r="B457" s="149"/>
      <c r="C457" s="149"/>
      <c r="D457" s="149"/>
      <c r="E457" s="149"/>
      <c r="F457" s="149"/>
      <c r="G457" s="149"/>
      <c r="H457" s="150"/>
      <c r="I457" s="150"/>
      <c r="J457" s="137"/>
      <c r="K457" s="137"/>
      <c r="L457" s="137"/>
      <c r="M457" s="137"/>
      <c r="N457" s="137"/>
      <c r="O457" s="137"/>
      <c r="P457" s="137"/>
      <c r="Q457" s="137"/>
      <c r="R457" s="137"/>
      <c r="S457" s="137"/>
      <c r="T457" s="137"/>
      <c r="U457" s="137"/>
      <c r="V457" s="137"/>
      <c r="W457" s="137"/>
      <c r="X457" s="137"/>
      <c r="Y457" s="137"/>
      <c r="Z457" s="137"/>
    </row>
    <row r="458" ht="13.2" spans="1:26">
      <c r="A458" s="151"/>
      <c r="B458" s="149"/>
      <c r="C458" s="149"/>
      <c r="D458" s="149"/>
      <c r="E458" s="149"/>
      <c r="F458" s="149"/>
      <c r="G458" s="149"/>
      <c r="H458" s="150"/>
      <c r="I458" s="150"/>
      <c r="J458" s="137"/>
      <c r="K458" s="137"/>
      <c r="L458" s="137"/>
      <c r="M458" s="137"/>
      <c r="N458" s="137"/>
      <c r="O458" s="137"/>
      <c r="P458" s="137"/>
      <c r="Q458" s="137"/>
      <c r="R458" s="137"/>
      <c r="S458" s="137"/>
      <c r="T458" s="137"/>
      <c r="U458" s="137"/>
      <c r="V458" s="137"/>
      <c r="W458" s="137"/>
      <c r="X458" s="137"/>
      <c r="Y458" s="137"/>
      <c r="Z458" s="137"/>
    </row>
    <row r="459" ht="13.2" spans="1:26">
      <c r="A459" s="151"/>
      <c r="B459" s="149"/>
      <c r="C459" s="149"/>
      <c r="D459" s="149"/>
      <c r="E459" s="149"/>
      <c r="F459" s="149"/>
      <c r="G459" s="149"/>
      <c r="H459" s="150"/>
      <c r="I459" s="150"/>
      <c r="J459" s="137"/>
      <c r="K459" s="137"/>
      <c r="L459" s="137"/>
      <c r="M459" s="137"/>
      <c r="N459" s="137"/>
      <c r="O459" s="137"/>
      <c r="P459" s="137"/>
      <c r="Q459" s="137"/>
      <c r="R459" s="137"/>
      <c r="S459" s="137"/>
      <c r="T459" s="137"/>
      <c r="U459" s="137"/>
      <c r="V459" s="137"/>
      <c r="W459" s="137"/>
      <c r="X459" s="137"/>
      <c r="Y459" s="137"/>
      <c r="Z459" s="137"/>
    </row>
    <row r="460" ht="13.2" spans="1:26">
      <c r="A460" s="151"/>
      <c r="B460" s="149"/>
      <c r="C460" s="149"/>
      <c r="D460" s="149"/>
      <c r="E460" s="149"/>
      <c r="F460" s="149"/>
      <c r="G460" s="149"/>
      <c r="H460" s="150"/>
      <c r="I460" s="150"/>
      <c r="J460" s="137"/>
      <c r="K460" s="137"/>
      <c r="L460" s="137"/>
      <c r="M460" s="137"/>
      <c r="N460" s="137"/>
      <c r="O460" s="137"/>
      <c r="P460" s="137"/>
      <c r="Q460" s="137"/>
      <c r="R460" s="137"/>
      <c r="S460" s="137"/>
      <c r="T460" s="137"/>
      <c r="U460" s="137"/>
      <c r="V460" s="137"/>
      <c r="W460" s="137"/>
      <c r="X460" s="137"/>
      <c r="Y460" s="137"/>
      <c r="Z460" s="137"/>
    </row>
    <row r="461" ht="13.2" spans="1:26">
      <c r="A461" s="151"/>
      <c r="B461" s="149"/>
      <c r="C461" s="149"/>
      <c r="D461" s="149"/>
      <c r="E461" s="149"/>
      <c r="F461" s="149"/>
      <c r="G461" s="149"/>
      <c r="H461" s="150"/>
      <c r="I461" s="150"/>
      <c r="J461" s="137"/>
      <c r="K461" s="137"/>
      <c r="L461" s="137"/>
      <c r="M461" s="137"/>
      <c r="N461" s="137"/>
      <c r="O461" s="137"/>
      <c r="P461" s="137"/>
      <c r="Q461" s="137"/>
      <c r="R461" s="137"/>
      <c r="S461" s="137"/>
      <c r="T461" s="137"/>
      <c r="U461" s="137"/>
      <c r="V461" s="137"/>
      <c r="W461" s="137"/>
      <c r="X461" s="137"/>
      <c r="Y461" s="137"/>
      <c r="Z461" s="137"/>
    </row>
    <row r="462" ht="13.2" spans="1:26">
      <c r="A462" s="151"/>
      <c r="B462" s="149"/>
      <c r="C462" s="149"/>
      <c r="D462" s="149"/>
      <c r="E462" s="149"/>
      <c r="F462" s="149"/>
      <c r="G462" s="149"/>
      <c r="H462" s="150"/>
      <c r="I462" s="150"/>
      <c r="J462" s="137"/>
      <c r="K462" s="137"/>
      <c r="L462" s="137"/>
      <c r="M462" s="137"/>
      <c r="N462" s="137"/>
      <c r="O462" s="137"/>
      <c r="P462" s="137"/>
      <c r="Q462" s="137"/>
      <c r="R462" s="137"/>
      <c r="S462" s="137"/>
      <c r="T462" s="137"/>
      <c r="U462" s="137"/>
      <c r="V462" s="137"/>
      <c r="W462" s="137"/>
      <c r="X462" s="137"/>
      <c r="Y462" s="137"/>
      <c r="Z462" s="137"/>
    </row>
    <row r="463" ht="13.2" spans="1:26">
      <c r="A463" s="151"/>
      <c r="B463" s="149"/>
      <c r="C463" s="149"/>
      <c r="D463" s="149"/>
      <c r="E463" s="149"/>
      <c r="F463" s="149"/>
      <c r="G463" s="149"/>
      <c r="H463" s="150"/>
      <c r="I463" s="150"/>
      <c r="J463" s="137"/>
      <c r="K463" s="137"/>
      <c r="L463" s="137"/>
      <c r="M463" s="137"/>
      <c r="N463" s="137"/>
      <c r="O463" s="137"/>
      <c r="P463" s="137"/>
      <c r="Q463" s="137"/>
      <c r="R463" s="137"/>
      <c r="S463" s="137"/>
      <c r="T463" s="137"/>
      <c r="U463" s="137"/>
      <c r="V463" s="137"/>
      <c r="W463" s="137"/>
      <c r="X463" s="137"/>
      <c r="Y463" s="137"/>
      <c r="Z463" s="137"/>
    </row>
    <row r="464" ht="13.2" spans="1:26">
      <c r="A464" s="151"/>
      <c r="B464" s="149"/>
      <c r="C464" s="149"/>
      <c r="D464" s="149"/>
      <c r="E464" s="149"/>
      <c r="F464" s="149"/>
      <c r="G464" s="149"/>
      <c r="H464" s="150"/>
      <c r="I464" s="150"/>
      <c r="J464" s="137"/>
      <c r="K464" s="137"/>
      <c r="L464" s="137"/>
      <c r="M464" s="137"/>
      <c r="N464" s="137"/>
      <c r="O464" s="137"/>
      <c r="P464" s="137"/>
      <c r="Q464" s="137"/>
      <c r="R464" s="137"/>
      <c r="S464" s="137"/>
      <c r="T464" s="137"/>
      <c r="U464" s="137"/>
      <c r="V464" s="137"/>
      <c r="W464" s="137"/>
      <c r="X464" s="137"/>
      <c r="Y464" s="137"/>
      <c r="Z464" s="137"/>
    </row>
    <row r="465" ht="13.2" spans="1:26">
      <c r="A465" s="151"/>
      <c r="B465" s="149"/>
      <c r="C465" s="149"/>
      <c r="D465" s="149"/>
      <c r="E465" s="149"/>
      <c r="F465" s="149"/>
      <c r="G465" s="149"/>
      <c r="H465" s="150"/>
      <c r="I465" s="150"/>
      <c r="J465" s="137"/>
      <c r="K465" s="137"/>
      <c r="L465" s="137"/>
      <c r="M465" s="137"/>
      <c r="N465" s="137"/>
      <c r="O465" s="137"/>
      <c r="P465" s="137"/>
      <c r="Q465" s="137"/>
      <c r="R465" s="137"/>
      <c r="S465" s="137"/>
      <c r="T465" s="137"/>
      <c r="U465" s="137"/>
      <c r="V465" s="137"/>
      <c r="W465" s="137"/>
      <c r="X465" s="137"/>
      <c r="Y465" s="137"/>
      <c r="Z465" s="137"/>
    </row>
    <row r="466" ht="13.2" spans="1:26">
      <c r="A466" s="151"/>
      <c r="B466" s="149"/>
      <c r="C466" s="149"/>
      <c r="D466" s="149"/>
      <c r="E466" s="149"/>
      <c r="F466" s="149"/>
      <c r="G466" s="149"/>
      <c r="H466" s="150"/>
      <c r="I466" s="150"/>
      <c r="J466" s="137"/>
      <c r="K466" s="137"/>
      <c r="L466" s="137"/>
      <c r="M466" s="137"/>
      <c r="N466" s="137"/>
      <c r="O466" s="137"/>
      <c r="P466" s="137"/>
      <c r="Q466" s="137"/>
      <c r="R466" s="137"/>
      <c r="S466" s="137"/>
      <c r="T466" s="137"/>
      <c r="U466" s="137"/>
      <c r="V466" s="137"/>
      <c r="W466" s="137"/>
      <c r="X466" s="137"/>
      <c r="Y466" s="137"/>
      <c r="Z466" s="137"/>
    </row>
    <row r="467" ht="13.2" spans="1:26">
      <c r="A467" s="151"/>
      <c r="B467" s="149"/>
      <c r="C467" s="149"/>
      <c r="D467" s="149"/>
      <c r="E467" s="149"/>
      <c r="F467" s="149"/>
      <c r="G467" s="149"/>
      <c r="H467" s="150"/>
      <c r="I467" s="150"/>
      <c r="J467" s="137"/>
      <c r="K467" s="137"/>
      <c r="L467" s="137"/>
      <c r="M467" s="137"/>
      <c r="N467" s="137"/>
      <c r="O467" s="137"/>
      <c r="P467" s="137"/>
      <c r="Q467" s="137"/>
      <c r="R467" s="137"/>
      <c r="S467" s="137"/>
      <c r="T467" s="137"/>
      <c r="U467" s="137"/>
      <c r="V467" s="137"/>
      <c r="W467" s="137"/>
      <c r="X467" s="137"/>
      <c r="Y467" s="137"/>
      <c r="Z467" s="137"/>
    </row>
    <row r="468" ht="13.2" spans="1:26">
      <c r="A468" s="151"/>
      <c r="B468" s="149"/>
      <c r="C468" s="149"/>
      <c r="D468" s="149"/>
      <c r="E468" s="149"/>
      <c r="F468" s="149"/>
      <c r="G468" s="149"/>
      <c r="H468" s="150"/>
      <c r="I468" s="150"/>
      <c r="J468" s="137"/>
      <c r="K468" s="137"/>
      <c r="L468" s="137"/>
      <c r="M468" s="137"/>
      <c r="N468" s="137"/>
      <c r="O468" s="137"/>
      <c r="P468" s="137"/>
      <c r="Q468" s="137"/>
      <c r="R468" s="137"/>
      <c r="S468" s="137"/>
      <c r="T468" s="137"/>
      <c r="U468" s="137"/>
      <c r="V468" s="137"/>
      <c r="W468" s="137"/>
      <c r="X468" s="137"/>
      <c r="Y468" s="137"/>
      <c r="Z468" s="137"/>
    </row>
    <row r="469" ht="13.2" spans="1:26">
      <c r="A469" s="151"/>
      <c r="B469" s="149"/>
      <c r="C469" s="149"/>
      <c r="D469" s="149"/>
      <c r="E469" s="149"/>
      <c r="F469" s="149"/>
      <c r="G469" s="149"/>
      <c r="H469" s="150"/>
      <c r="I469" s="150"/>
      <c r="J469" s="137"/>
      <c r="K469" s="137"/>
      <c r="L469" s="137"/>
      <c r="M469" s="137"/>
      <c r="N469" s="137"/>
      <c r="O469" s="137"/>
      <c r="P469" s="137"/>
      <c r="Q469" s="137"/>
      <c r="R469" s="137"/>
      <c r="S469" s="137"/>
      <c r="T469" s="137"/>
      <c r="U469" s="137"/>
      <c r="V469" s="137"/>
      <c r="W469" s="137"/>
      <c r="X469" s="137"/>
      <c r="Y469" s="137"/>
      <c r="Z469" s="137"/>
    </row>
    <row r="470" ht="13.2" spans="1:26">
      <c r="A470" s="151"/>
      <c r="B470" s="149"/>
      <c r="C470" s="149"/>
      <c r="D470" s="149"/>
      <c r="E470" s="149"/>
      <c r="F470" s="149"/>
      <c r="G470" s="149"/>
      <c r="H470" s="150"/>
      <c r="I470" s="150"/>
      <c r="J470" s="137"/>
      <c r="K470" s="137"/>
      <c r="L470" s="137"/>
      <c r="M470" s="137"/>
      <c r="N470" s="137"/>
      <c r="O470" s="137"/>
      <c r="P470" s="137"/>
      <c r="Q470" s="137"/>
      <c r="R470" s="137"/>
      <c r="S470" s="137"/>
      <c r="T470" s="137"/>
      <c r="U470" s="137"/>
      <c r="V470" s="137"/>
      <c r="W470" s="137"/>
      <c r="X470" s="137"/>
      <c r="Y470" s="137"/>
      <c r="Z470" s="137"/>
    </row>
    <row r="471" ht="13.2" spans="1:26">
      <c r="A471" s="151"/>
      <c r="B471" s="149"/>
      <c r="C471" s="149"/>
      <c r="D471" s="149"/>
      <c r="E471" s="149"/>
      <c r="F471" s="149"/>
      <c r="G471" s="149"/>
      <c r="H471" s="150"/>
      <c r="I471" s="150"/>
      <c r="J471" s="137"/>
      <c r="K471" s="137"/>
      <c r="L471" s="137"/>
      <c r="M471" s="137"/>
      <c r="N471" s="137"/>
      <c r="O471" s="137"/>
      <c r="P471" s="137"/>
      <c r="Q471" s="137"/>
      <c r="R471" s="137"/>
      <c r="S471" s="137"/>
      <c r="T471" s="137"/>
      <c r="U471" s="137"/>
      <c r="V471" s="137"/>
      <c r="W471" s="137"/>
      <c r="X471" s="137"/>
      <c r="Y471" s="137"/>
      <c r="Z471" s="137"/>
    </row>
    <row r="472" ht="13.2" spans="1:26">
      <c r="A472" s="151"/>
      <c r="B472" s="149"/>
      <c r="C472" s="149"/>
      <c r="D472" s="149"/>
      <c r="E472" s="149"/>
      <c r="F472" s="149"/>
      <c r="G472" s="149"/>
      <c r="H472" s="150"/>
      <c r="I472" s="150"/>
      <c r="J472" s="137"/>
      <c r="K472" s="137"/>
      <c r="L472" s="137"/>
      <c r="M472" s="137"/>
      <c r="N472" s="137"/>
      <c r="O472" s="137"/>
      <c r="P472" s="137"/>
      <c r="Q472" s="137"/>
      <c r="R472" s="137"/>
      <c r="S472" s="137"/>
      <c r="T472" s="137"/>
      <c r="U472" s="137"/>
      <c r="V472" s="137"/>
      <c r="W472" s="137"/>
      <c r="X472" s="137"/>
      <c r="Y472" s="137"/>
      <c r="Z472" s="137"/>
    </row>
    <row r="473" ht="13.2" spans="1:26">
      <c r="A473" s="151"/>
      <c r="B473" s="149"/>
      <c r="C473" s="149"/>
      <c r="D473" s="149"/>
      <c r="E473" s="149"/>
      <c r="F473" s="149"/>
      <c r="G473" s="149"/>
      <c r="H473" s="150"/>
      <c r="I473" s="150"/>
      <c r="J473" s="137"/>
      <c r="K473" s="137"/>
      <c r="L473" s="137"/>
      <c r="M473" s="137"/>
      <c r="N473" s="137"/>
      <c r="O473" s="137"/>
      <c r="P473" s="137"/>
      <c r="Q473" s="137"/>
      <c r="R473" s="137"/>
      <c r="S473" s="137"/>
      <c r="T473" s="137"/>
      <c r="U473" s="137"/>
      <c r="V473" s="137"/>
      <c r="W473" s="137"/>
      <c r="X473" s="137"/>
      <c r="Y473" s="137"/>
      <c r="Z473" s="137"/>
    </row>
    <row r="474" ht="13.2" spans="1:26">
      <c r="A474" s="151"/>
      <c r="B474" s="149"/>
      <c r="C474" s="149"/>
      <c r="D474" s="149"/>
      <c r="E474" s="149"/>
      <c r="F474" s="149"/>
      <c r="G474" s="149"/>
      <c r="H474" s="150"/>
      <c r="I474" s="150"/>
      <c r="J474" s="137"/>
      <c r="K474" s="137"/>
      <c r="L474" s="137"/>
      <c r="M474" s="137"/>
      <c r="N474" s="137"/>
      <c r="O474" s="137"/>
      <c r="P474" s="137"/>
      <c r="Q474" s="137"/>
      <c r="R474" s="137"/>
      <c r="S474" s="137"/>
      <c r="T474" s="137"/>
      <c r="U474" s="137"/>
      <c r="V474" s="137"/>
      <c r="W474" s="137"/>
      <c r="X474" s="137"/>
      <c r="Y474" s="137"/>
      <c r="Z474" s="137"/>
    </row>
    <row r="475" ht="13.2" spans="1:26">
      <c r="A475" s="151"/>
      <c r="B475" s="149"/>
      <c r="C475" s="149"/>
      <c r="D475" s="149"/>
      <c r="E475" s="149"/>
      <c r="F475" s="149"/>
      <c r="G475" s="149"/>
      <c r="H475" s="150"/>
      <c r="I475" s="150"/>
      <c r="J475" s="137"/>
      <c r="K475" s="137"/>
      <c r="L475" s="137"/>
      <c r="M475" s="137"/>
      <c r="N475" s="137"/>
      <c r="O475" s="137"/>
      <c r="P475" s="137"/>
      <c r="Q475" s="137"/>
      <c r="R475" s="137"/>
      <c r="S475" s="137"/>
      <c r="T475" s="137"/>
      <c r="U475" s="137"/>
      <c r="V475" s="137"/>
      <c r="W475" s="137"/>
      <c r="X475" s="137"/>
      <c r="Y475" s="137"/>
      <c r="Z475" s="137"/>
    </row>
    <row r="476" ht="13.2" spans="1:26">
      <c r="A476" s="151"/>
      <c r="B476" s="149"/>
      <c r="C476" s="149"/>
      <c r="D476" s="149"/>
      <c r="E476" s="149"/>
      <c r="F476" s="149"/>
      <c r="G476" s="149"/>
      <c r="H476" s="150"/>
      <c r="I476" s="150"/>
      <c r="J476" s="137"/>
      <c r="K476" s="137"/>
      <c r="L476" s="137"/>
      <c r="M476" s="137"/>
      <c r="N476" s="137"/>
      <c r="O476" s="137"/>
      <c r="P476" s="137"/>
      <c r="Q476" s="137"/>
      <c r="R476" s="137"/>
      <c r="S476" s="137"/>
      <c r="T476" s="137"/>
      <c r="U476" s="137"/>
      <c r="V476" s="137"/>
      <c r="W476" s="137"/>
      <c r="X476" s="137"/>
      <c r="Y476" s="137"/>
      <c r="Z476" s="137"/>
    </row>
    <row r="477" ht="13.2" spans="1:26">
      <c r="A477" s="151"/>
      <c r="B477" s="149"/>
      <c r="C477" s="149"/>
      <c r="D477" s="149"/>
      <c r="E477" s="149"/>
      <c r="F477" s="149"/>
      <c r="G477" s="149"/>
      <c r="H477" s="150"/>
      <c r="I477" s="150"/>
      <c r="J477" s="137"/>
      <c r="K477" s="137"/>
      <c r="L477" s="137"/>
      <c r="M477" s="137"/>
      <c r="N477" s="137"/>
      <c r="O477" s="137"/>
      <c r="P477" s="137"/>
      <c r="Q477" s="137"/>
      <c r="R477" s="137"/>
      <c r="S477" s="137"/>
      <c r="T477" s="137"/>
      <c r="U477" s="137"/>
      <c r="V477" s="137"/>
      <c r="W477" s="137"/>
      <c r="X477" s="137"/>
      <c r="Y477" s="137"/>
      <c r="Z477" s="137"/>
    </row>
    <row r="478" ht="13.2" spans="1:26">
      <c r="A478" s="151"/>
      <c r="B478" s="149"/>
      <c r="C478" s="149"/>
      <c r="D478" s="149"/>
      <c r="E478" s="149"/>
      <c r="F478" s="149"/>
      <c r="G478" s="149"/>
      <c r="H478" s="150"/>
      <c r="I478" s="150"/>
      <c r="J478" s="137"/>
      <c r="K478" s="137"/>
      <c r="L478" s="137"/>
      <c r="M478" s="137"/>
      <c r="N478" s="137"/>
      <c r="O478" s="137"/>
      <c r="P478" s="137"/>
      <c r="Q478" s="137"/>
      <c r="R478" s="137"/>
      <c r="S478" s="137"/>
      <c r="T478" s="137"/>
      <c r="U478" s="137"/>
      <c r="V478" s="137"/>
      <c r="W478" s="137"/>
      <c r="X478" s="137"/>
      <c r="Y478" s="137"/>
      <c r="Z478" s="137"/>
    </row>
    <row r="479" ht="13.2" spans="1:26">
      <c r="A479" s="151"/>
      <c r="B479" s="149"/>
      <c r="C479" s="149"/>
      <c r="D479" s="149"/>
      <c r="E479" s="149"/>
      <c r="F479" s="149"/>
      <c r="G479" s="149"/>
      <c r="H479" s="150"/>
      <c r="I479" s="150"/>
      <c r="J479" s="137"/>
      <c r="K479" s="137"/>
      <c r="L479" s="137"/>
      <c r="M479" s="137"/>
      <c r="N479" s="137"/>
      <c r="O479" s="137"/>
      <c r="P479" s="137"/>
      <c r="Q479" s="137"/>
      <c r="R479" s="137"/>
      <c r="S479" s="137"/>
      <c r="T479" s="137"/>
      <c r="U479" s="137"/>
      <c r="V479" s="137"/>
      <c r="W479" s="137"/>
      <c r="X479" s="137"/>
      <c r="Y479" s="137"/>
      <c r="Z479" s="137"/>
    </row>
    <row r="480" ht="13.2" spans="1:26">
      <c r="A480" s="151"/>
      <c r="B480" s="149"/>
      <c r="C480" s="149"/>
      <c r="D480" s="149"/>
      <c r="E480" s="149"/>
      <c r="F480" s="149"/>
      <c r="G480" s="149"/>
      <c r="H480" s="150"/>
      <c r="I480" s="150"/>
      <c r="J480" s="137"/>
      <c r="K480" s="137"/>
      <c r="L480" s="137"/>
      <c r="M480" s="137"/>
      <c r="N480" s="137"/>
      <c r="O480" s="137"/>
      <c r="P480" s="137"/>
      <c r="Q480" s="137"/>
      <c r="R480" s="137"/>
      <c r="S480" s="137"/>
      <c r="T480" s="137"/>
      <c r="U480" s="137"/>
      <c r="V480" s="137"/>
      <c r="W480" s="137"/>
      <c r="X480" s="137"/>
      <c r="Y480" s="137"/>
      <c r="Z480" s="137"/>
    </row>
    <row r="481" ht="13.2" spans="1:26">
      <c r="A481" s="151"/>
      <c r="B481" s="149"/>
      <c r="C481" s="149"/>
      <c r="D481" s="149"/>
      <c r="E481" s="149"/>
      <c r="F481" s="149"/>
      <c r="G481" s="149"/>
      <c r="H481" s="150"/>
      <c r="I481" s="150"/>
      <c r="J481" s="137"/>
      <c r="K481" s="137"/>
      <c r="L481" s="137"/>
      <c r="M481" s="137"/>
      <c r="N481" s="137"/>
      <c r="O481" s="137"/>
      <c r="P481" s="137"/>
      <c r="Q481" s="137"/>
      <c r="R481" s="137"/>
      <c r="S481" s="137"/>
      <c r="T481" s="137"/>
      <c r="U481" s="137"/>
      <c r="V481" s="137"/>
      <c r="W481" s="137"/>
      <c r="X481" s="137"/>
      <c r="Y481" s="137"/>
      <c r="Z481" s="137"/>
    </row>
    <row r="482" ht="13.2" spans="1:26">
      <c r="A482" s="151"/>
      <c r="B482" s="149"/>
      <c r="C482" s="149"/>
      <c r="D482" s="149"/>
      <c r="E482" s="149"/>
      <c r="F482" s="149"/>
      <c r="G482" s="149"/>
      <c r="H482" s="150"/>
      <c r="I482" s="150"/>
      <c r="J482" s="137"/>
      <c r="K482" s="137"/>
      <c r="L482" s="137"/>
      <c r="M482" s="137"/>
      <c r="N482" s="137"/>
      <c r="O482" s="137"/>
      <c r="P482" s="137"/>
      <c r="Q482" s="137"/>
      <c r="R482" s="137"/>
      <c r="S482" s="137"/>
      <c r="T482" s="137"/>
      <c r="U482" s="137"/>
      <c r="V482" s="137"/>
      <c r="W482" s="137"/>
      <c r="X482" s="137"/>
      <c r="Y482" s="137"/>
      <c r="Z482" s="137"/>
    </row>
    <row r="483" ht="13.2" spans="1:26">
      <c r="A483" s="151"/>
      <c r="B483" s="149"/>
      <c r="C483" s="149"/>
      <c r="D483" s="149"/>
      <c r="E483" s="149"/>
      <c r="F483" s="149"/>
      <c r="G483" s="149"/>
      <c r="H483" s="150"/>
      <c r="I483" s="150"/>
      <c r="J483" s="137"/>
      <c r="K483" s="137"/>
      <c r="L483" s="137"/>
      <c r="M483" s="137"/>
      <c r="N483" s="137"/>
      <c r="O483" s="137"/>
      <c r="P483" s="137"/>
      <c r="Q483" s="137"/>
      <c r="R483" s="137"/>
      <c r="S483" s="137"/>
      <c r="T483" s="137"/>
      <c r="U483" s="137"/>
      <c r="V483" s="137"/>
      <c r="W483" s="137"/>
      <c r="X483" s="137"/>
      <c r="Y483" s="137"/>
      <c r="Z483" s="137"/>
    </row>
    <row r="484" ht="13.2" spans="1:26">
      <c r="A484" s="151"/>
      <c r="B484" s="149"/>
      <c r="C484" s="149"/>
      <c r="D484" s="149"/>
      <c r="E484" s="149"/>
      <c r="F484" s="149"/>
      <c r="G484" s="149"/>
      <c r="H484" s="150"/>
      <c r="I484" s="150"/>
      <c r="J484" s="137"/>
      <c r="K484" s="137"/>
      <c r="L484" s="137"/>
      <c r="M484" s="137"/>
      <c r="N484" s="137"/>
      <c r="O484" s="137"/>
      <c r="P484" s="137"/>
      <c r="Q484" s="137"/>
      <c r="R484" s="137"/>
      <c r="S484" s="137"/>
      <c r="T484" s="137"/>
      <c r="U484" s="137"/>
      <c r="V484" s="137"/>
      <c r="W484" s="137"/>
      <c r="X484" s="137"/>
      <c r="Y484" s="137"/>
      <c r="Z484" s="137"/>
    </row>
    <row r="485" ht="13.2" spans="1:26">
      <c r="A485" s="151"/>
      <c r="B485" s="149"/>
      <c r="C485" s="149"/>
      <c r="D485" s="149"/>
      <c r="E485" s="149"/>
      <c r="F485" s="149"/>
      <c r="G485" s="149"/>
      <c r="H485" s="150"/>
      <c r="I485" s="150"/>
      <c r="J485" s="137"/>
      <c r="K485" s="137"/>
      <c r="L485" s="137"/>
      <c r="M485" s="137"/>
      <c r="N485" s="137"/>
      <c r="O485" s="137"/>
      <c r="P485" s="137"/>
      <c r="Q485" s="137"/>
      <c r="R485" s="137"/>
      <c r="S485" s="137"/>
      <c r="T485" s="137"/>
      <c r="U485" s="137"/>
      <c r="V485" s="137"/>
      <c r="W485" s="137"/>
      <c r="X485" s="137"/>
      <c r="Y485" s="137"/>
      <c r="Z485" s="137"/>
    </row>
    <row r="486" ht="13.2" spans="1:26">
      <c r="A486" s="151"/>
      <c r="B486" s="149"/>
      <c r="C486" s="149"/>
      <c r="D486" s="149"/>
      <c r="E486" s="149"/>
      <c r="F486" s="149"/>
      <c r="G486" s="149"/>
      <c r="H486" s="150"/>
      <c r="I486" s="150"/>
      <c r="J486" s="137"/>
      <c r="K486" s="137"/>
      <c r="L486" s="137"/>
      <c r="M486" s="137"/>
      <c r="N486" s="137"/>
      <c r="O486" s="137"/>
      <c r="P486" s="137"/>
      <c r="Q486" s="137"/>
      <c r="R486" s="137"/>
      <c r="S486" s="137"/>
      <c r="T486" s="137"/>
      <c r="U486" s="137"/>
      <c r="V486" s="137"/>
      <c r="W486" s="137"/>
      <c r="X486" s="137"/>
      <c r="Y486" s="137"/>
      <c r="Z486" s="137"/>
    </row>
    <row r="487" ht="13.2" spans="1:26">
      <c r="A487" s="151"/>
      <c r="B487" s="149"/>
      <c r="C487" s="149"/>
      <c r="D487" s="149"/>
      <c r="E487" s="149"/>
      <c r="F487" s="149"/>
      <c r="G487" s="149"/>
      <c r="H487" s="150"/>
      <c r="I487" s="150"/>
      <c r="J487" s="137"/>
      <c r="K487" s="137"/>
      <c r="L487" s="137"/>
      <c r="M487" s="137"/>
      <c r="N487" s="137"/>
      <c r="O487" s="137"/>
      <c r="P487" s="137"/>
      <c r="Q487" s="137"/>
      <c r="R487" s="137"/>
      <c r="S487" s="137"/>
      <c r="T487" s="137"/>
      <c r="U487" s="137"/>
      <c r="V487" s="137"/>
      <c r="W487" s="137"/>
      <c r="X487" s="137"/>
      <c r="Y487" s="137"/>
      <c r="Z487" s="137"/>
    </row>
    <row r="488" ht="13.2" spans="1:26">
      <c r="A488" s="151"/>
      <c r="B488" s="149"/>
      <c r="C488" s="149"/>
      <c r="D488" s="149"/>
      <c r="E488" s="149"/>
      <c r="F488" s="149"/>
      <c r="G488" s="149"/>
      <c r="H488" s="150"/>
      <c r="I488" s="150"/>
      <c r="J488" s="137"/>
      <c r="K488" s="137"/>
      <c r="L488" s="137"/>
      <c r="M488" s="137"/>
      <c r="N488" s="137"/>
      <c r="O488" s="137"/>
      <c r="P488" s="137"/>
      <c r="Q488" s="137"/>
      <c r="R488" s="137"/>
      <c r="S488" s="137"/>
      <c r="T488" s="137"/>
      <c r="U488" s="137"/>
      <c r="V488" s="137"/>
      <c r="W488" s="137"/>
      <c r="X488" s="137"/>
      <c r="Y488" s="137"/>
      <c r="Z488" s="137"/>
    </row>
    <row r="489" ht="13.2" spans="1:26">
      <c r="A489" s="151"/>
      <c r="B489" s="149"/>
      <c r="C489" s="149"/>
      <c r="D489" s="149"/>
      <c r="E489" s="149"/>
      <c r="F489" s="149"/>
      <c r="G489" s="149"/>
      <c r="H489" s="150"/>
      <c r="I489" s="150"/>
      <c r="J489" s="137"/>
      <c r="K489" s="137"/>
      <c r="L489" s="137"/>
      <c r="M489" s="137"/>
      <c r="N489" s="137"/>
      <c r="O489" s="137"/>
      <c r="P489" s="137"/>
      <c r="Q489" s="137"/>
      <c r="R489" s="137"/>
      <c r="S489" s="137"/>
      <c r="T489" s="137"/>
      <c r="U489" s="137"/>
      <c r="V489" s="137"/>
      <c r="W489" s="137"/>
      <c r="X489" s="137"/>
      <c r="Y489" s="137"/>
      <c r="Z489" s="137"/>
    </row>
    <row r="490" ht="13.2" spans="1:26">
      <c r="A490" s="151"/>
      <c r="B490" s="149"/>
      <c r="C490" s="149"/>
      <c r="D490" s="149"/>
      <c r="E490" s="149"/>
      <c r="F490" s="149"/>
      <c r="G490" s="149"/>
      <c r="H490" s="150"/>
      <c r="I490" s="150"/>
      <c r="J490" s="137"/>
      <c r="K490" s="137"/>
      <c r="L490" s="137"/>
      <c r="M490" s="137"/>
      <c r="N490" s="137"/>
      <c r="O490" s="137"/>
      <c r="P490" s="137"/>
      <c r="Q490" s="137"/>
      <c r="R490" s="137"/>
      <c r="S490" s="137"/>
      <c r="T490" s="137"/>
      <c r="U490" s="137"/>
      <c r="V490" s="137"/>
      <c r="W490" s="137"/>
      <c r="X490" s="137"/>
      <c r="Y490" s="137"/>
      <c r="Z490" s="137"/>
    </row>
    <row r="491" ht="13.2" spans="1:26">
      <c r="A491" s="151"/>
      <c r="B491" s="149"/>
      <c r="C491" s="149"/>
      <c r="D491" s="149"/>
      <c r="E491" s="149"/>
      <c r="F491" s="149"/>
      <c r="G491" s="149"/>
      <c r="H491" s="150"/>
      <c r="I491" s="150"/>
      <c r="J491" s="137"/>
      <c r="K491" s="137"/>
      <c r="L491" s="137"/>
      <c r="M491" s="137"/>
      <c r="N491" s="137"/>
      <c r="O491" s="137"/>
      <c r="P491" s="137"/>
      <c r="Q491" s="137"/>
      <c r="R491" s="137"/>
      <c r="S491" s="137"/>
      <c r="T491" s="137"/>
      <c r="U491" s="137"/>
      <c r="V491" s="137"/>
      <c r="W491" s="137"/>
      <c r="X491" s="137"/>
      <c r="Y491" s="137"/>
      <c r="Z491" s="137"/>
    </row>
    <row r="492" ht="13.2" spans="1:26">
      <c r="A492" s="151"/>
      <c r="B492" s="149"/>
      <c r="C492" s="149"/>
      <c r="D492" s="149"/>
      <c r="E492" s="149"/>
      <c r="F492" s="149"/>
      <c r="G492" s="149"/>
      <c r="H492" s="150"/>
      <c r="I492" s="150"/>
      <c r="J492" s="137"/>
      <c r="K492" s="137"/>
      <c r="L492" s="137"/>
      <c r="M492" s="137"/>
      <c r="N492" s="137"/>
      <c r="O492" s="137"/>
      <c r="P492" s="137"/>
      <c r="Q492" s="137"/>
      <c r="R492" s="137"/>
      <c r="S492" s="137"/>
      <c r="T492" s="137"/>
      <c r="U492" s="137"/>
      <c r="V492" s="137"/>
      <c r="W492" s="137"/>
      <c r="X492" s="137"/>
      <c r="Y492" s="137"/>
      <c r="Z492" s="137"/>
    </row>
    <row r="493" ht="13.2" spans="1:26">
      <c r="A493" s="151"/>
      <c r="B493" s="149"/>
      <c r="C493" s="149"/>
      <c r="D493" s="149"/>
      <c r="E493" s="149"/>
      <c r="F493" s="149"/>
      <c r="G493" s="149"/>
      <c r="H493" s="150"/>
      <c r="I493" s="150"/>
      <c r="J493" s="137"/>
      <c r="K493" s="137"/>
      <c r="L493" s="137"/>
      <c r="M493" s="137"/>
      <c r="N493" s="137"/>
      <c r="O493" s="137"/>
      <c r="P493" s="137"/>
      <c r="Q493" s="137"/>
      <c r="R493" s="137"/>
      <c r="S493" s="137"/>
      <c r="T493" s="137"/>
      <c r="U493" s="137"/>
      <c r="V493" s="137"/>
      <c r="W493" s="137"/>
      <c r="X493" s="137"/>
      <c r="Y493" s="137"/>
      <c r="Z493" s="137"/>
    </row>
    <row r="494" ht="13.2" spans="1:26">
      <c r="A494" s="151"/>
      <c r="B494" s="149"/>
      <c r="C494" s="149"/>
      <c r="D494" s="149"/>
      <c r="E494" s="149"/>
      <c r="F494" s="149"/>
      <c r="G494" s="149"/>
      <c r="H494" s="150"/>
      <c r="I494" s="150"/>
      <c r="J494" s="137"/>
      <c r="K494" s="137"/>
      <c r="L494" s="137"/>
      <c r="M494" s="137"/>
      <c r="N494" s="137"/>
      <c r="O494" s="137"/>
      <c r="P494" s="137"/>
      <c r="Q494" s="137"/>
      <c r="R494" s="137"/>
      <c r="S494" s="137"/>
      <c r="T494" s="137"/>
      <c r="U494" s="137"/>
      <c r="V494" s="137"/>
      <c r="W494" s="137"/>
      <c r="X494" s="137"/>
      <c r="Y494" s="137"/>
      <c r="Z494" s="137"/>
    </row>
    <row r="495" ht="13.2" spans="1:26">
      <c r="A495" s="151"/>
      <c r="B495" s="149"/>
      <c r="C495" s="149"/>
      <c r="D495" s="149"/>
      <c r="E495" s="149"/>
      <c r="F495" s="149"/>
      <c r="G495" s="149"/>
      <c r="H495" s="150"/>
      <c r="I495" s="150"/>
      <c r="J495" s="137"/>
      <c r="K495" s="137"/>
      <c r="L495" s="137"/>
      <c r="M495" s="137"/>
      <c r="N495" s="137"/>
      <c r="O495" s="137"/>
      <c r="P495" s="137"/>
      <c r="Q495" s="137"/>
      <c r="R495" s="137"/>
      <c r="S495" s="137"/>
      <c r="T495" s="137"/>
      <c r="U495" s="137"/>
      <c r="V495" s="137"/>
      <c r="W495" s="137"/>
      <c r="X495" s="137"/>
      <c r="Y495" s="137"/>
      <c r="Z495" s="137"/>
    </row>
    <row r="496" ht="13.2" spans="1:26">
      <c r="A496" s="151"/>
      <c r="B496" s="149"/>
      <c r="C496" s="149"/>
      <c r="D496" s="149"/>
      <c r="E496" s="149"/>
      <c r="F496" s="149"/>
      <c r="G496" s="149"/>
      <c r="H496" s="150"/>
      <c r="I496" s="150"/>
      <c r="J496" s="137"/>
      <c r="K496" s="137"/>
      <c r="L496" s="137"/>
      <c r="M496" s="137"/>
      <c r="N496" s="137"/>
      <c r="O496" s="137"/>
      <c r="P496" s="137"/>
      <c r="Q496" s="137"/>
      <c r="R496" s="137"/>
      <c r="S496" s="137"/>
      <c r="T496" s="137"/>
      <c r="U496" s="137"/>
      <c r="V496" s="137"/>
      <c r="W496" s="137"/>
      <c r="X496" s="137"/>
      <c r="Y496" s="137"/>
      <c r="Z496" s="137"/>
    </row>
    <row r="497" ht="13.2" spans="1:26">
      <c r="A497" s="151"/>
      <c r="B497" s="149"/>
      <c r="C497" s="149"/>
      <c r="D497" s="149"/>
      <c r="E497" s="149"/>
      <c r="F497" s="149"/>
      <c r="G497" s="149"/>
      <c r="H497" s="150"/>
      <c r="I497" s="150"/>
      <c r="J497" s="137"/>
      <c r="K497" s="137"/>
      <c r="L497" s="137"/>
      <c r="M497" s="137"/>
      <c r="N497" s="137"/>
      <c r="O497" s="137"/>
      <c r="P497" s="137"/>
      <c r="Q497" s="137"/>
      <c r="R497" s="137"/>
      <c r="S497" s="137"/>
      <c r="T497" s="137"/>
      <c r="U497" s="137"/>
      <c r="V497" s="137"/>
      <c r="W497" s="137"/>
      <c r="X497" s="137"/>
      <c r="Y497" s="137"/>
      <c r="Z497" s="137"/>
    </row>
    <row r="498" ht="13.2" spans="1:26">
      <c r="A498" s="151"/>
      <c r="B498" s="149"/>
      <c r="C498" s="149"/>
      <c r="D498" s="149"/>
      <c r="E498" s="149"/>
      <c r="F498" s="149"/>
      <c r="G498" s="149"/>
      <c r="H498" s="150"/>
      <c r="I498" s="150"/>
      <c r="J498" s="137"/>
      <c r="K498" s="137"/>
      <c r="L498" s="137"/>
      <c r="M498" s="137"/>
      <c r="N498" s="137"/>
      <c r="O498" s="137"/>
      <c r="P498" s="137"/>
      <c r="Q498" s="137"/>
      <c r="R498" s="137"/>
      <c r="S498" s="137"/>
      <c r="T498" s="137"/>
      <c r="U498" s="137"/>
      <c r="V498" s="137"/>
      <c r="W498" s="137"/>
      <c r="X498" s="137"/>
      <c r="Y498" s="137"/>
      <c r="Z498" s="137"/>
    </row>
    <row r="499" ht="13.2" spans="1:26">
      <c r="A499" s="151"/>
      <c r="B499" s="149"/>
      <c r="C499" s="149"/>
      <c r="D499" s="149"/>
      <c r="E499" s="149"/>
      <c r="F499" s="149"/>
      <c r="G499" s="149"/>
      <c r="H499" s="150"/>
      <c r="I499" s="150"/>
      <c r="J499" s="137"/>
      <c r="K499" s="137"/>
      <c r="L499" s="137"/>
      <c r="M499" s="137"/>
      <c r="N499" s="137"/>
      <c r="O499" s="137"/>
      <c r="P499" s="137"/>
      <c r="Q499" s="137"/>
      <c r="R499" s="137"/>
      <c r="S499" s="137"/>
      <c r="T499" s="137"/>
      <c r="U499" s="137"/>
      <c r="V499" s="137"/>
      <c r="W499" s="137"/>
      <c r="X499" s="137"/>
      <c r="Y499" s="137"/>
      <c r="Z499" s="137"/>
    </row>
    <row r="500" ht="13.2" spans="1:26">
      <c r="A500" s="151"/>
      <c r="B500" s="149"/>
      <c r="C500" s="149"/>
      <c r="D500" s="149"/>
      <c r="E500" s="149"/>
      <c r="F500" s="149"/>
      <c r="G500" s="149"/>
      <c r="H500" s="150"/>
      <c r="I500" s="150"/>
      <c r="J500" s="137"/>
      <c r="K500" s="137"/>
      <c r="L500" s="137"/>
      <c r="M500" s="137"/>
      <c r="N500" s="137"/>
      <c r="O500" s="137"/>
      <c r="P500" s="137"/>
      <c r="Q500" s="137"/>
      <c r="R500" s="137"/>
      <c r="S500" s="137"/>
      <c r="T500" s="137"/>
      <c r="U500" s="137"/>
      <c r="V500" s="137"/>
      <c r="W500" s="137"/>
      <c r="X500" s="137"/>
      <c r="Y500" s="137"/>
      <c r="Z500" s="137"/>
    </row>
    <row r="501" ht="13.2" spans="1:26">
      <c r="A501" s="151"/>
      <c r="B501" s="149"/>
      <c r="C501" s="149"/>
      <c r="D501" s="149"/>
      <c r="E501" s="149"/>
      <c r="F501" s="149"/>
      <c r="G501" s="149"/>
      <c r="H501" s="150"/>
      <c r="I501" s="150"/>
      <c r="J501" s="137"/>
      <c r="K501" s="137"/>
      <c r="L501" s="137"/>
      <c r="M501" s="137"/>
      <c r="N501" s="137"/>
      <c r="O501" s="137"/>
      <c r="P501" s="137"/>
      <c r="Q501" s="137"/>
      <c r="R501" s="137"/>
      <c r="S501" s="137"/>
      <c r="T501" s="137"/>
      <c r="U501" s="137"/>
      <c r="V501" s="137"/>
      <c r="W501" s="137"/>
      <c r="X501" s="137"/>
      <c r="Y501" s="137"/>
      <c r="Z501" s="137"/>
    </row>
    <row r="502" ht="13.2" spans="1:26">
      <c r="A502" s="151"/>
      <c r="B502" s="149"/>
      <c r="C502" s="149"/>
      <c r="D502" s="149"/>
      <c r="E502" s="149"/>
      <c r="F502" s="149"/>
      <c r="G502" s="149"/>
      <c r="H502" s="150"/>
      <c r="I502" s="150"/>
      <c r="J502" s="137"/>
      <c r="K502" s="137"/>
      <c r="L502" s="137"/>
      <c r="M502" s="137"/>
      <c r="N502" s="137"/>
      <c r="O502" s="137"/>
      <c r="P502" s="137"/>
      <c r="Q502" s="137"/>
      <c r="R502" s="137"/>
      <c r="S502" s="137"/>
      <c r="T502" s="137"/>
      <c r="U502" s="137"/>
      <c r="V502" s="137"/>
      <c r="W502" s="137"/>
      <c r="X502" s="137"/>
      <c r="Y502" s="137"/>
      <c r="Z502" s="137"/>
    </row>
    <row r="503" ht="13.2" spans="1:26">
      <c r="A503" s="151"/>
      <c r="B503" s="149"/>
      <c r="C503" s="149"/>
      <c r="D503" s="149"/>
      <c r="E503" s="149"/>
      <c r="F503" s="149"/>
      <c r="G503" s="149"/>
      <c r="H503" s="150"/>
      <c r="I503" s="150"/>
      <c r="J503" s="137"/>
      <c r="K503" s="137"/>
      <c r="L503" s="137"/>
      <c r="M503" s="137"/>
      <c r="N503" s="137"/>
      <c r="O503" s="137"/>
      <c r="P503" s="137"/>
      <c r="Q503" s="137"/>
      <c r="R503" s="137"/>
      <c r="S503" s="137"/>
      <c r="T503" s="137"/>
      <c r="U503" s="137"/>
      <c r="V503" s="137"/>
      <c r="W503" s="137"/>
      <c r="X503" s="137"/>
      <c r="Y503" s="137"/>
      <c r="Z503" s="137"/>
    </row>
    <row r="504" ht="13.2" spans="1:26">
      <c r="A504" s="151"/>
      <c r="B504" s="149"/>
      <c r="C504" s="149"/>
      <c r="D504" s="149"/>
      <c r="E504" s="149"/>
      <c r="F504" s="149"/>
      <c r="G504" s="149"/>
      <c r="H504" s="150"/>
      <c r="I504" s="150"/>
      <c r="J504" s="137"/>
      <c r="K504" s="137"/>
      <c r="L504" s="137"/>
      <c r="M504" s="137"/>
      <c r="N504" s="137"/>
      <c r="O504" s="137"/>
      <c r="P504" s="137"/>
      <c r="Q504" s="137"/>
      <c r="R504" s="137"/>
      <c r="S504" s="137"/>
      <c r="T504" s="137"/>
      <c r="U504" s="137"/>
      <c r="V504" s="137"/>
      <c r="W504" s="137"/>
      <c r="X504" s="137"/>
      <c r="Y504" s="137"/>
      <c r="Z504" s="137"/>
    </row>
    <row r="505" ht="13.2" spans="1:26">
      <c r="A505" s="151"/>
      <c r="B505" s="149"/>
      <c r="C505" s="149"/>
      <c r="D505" s="149"/>
      <c r="E505" s="149"/>
      <c r="F505" s="149"/>
      <c r="G505" s="149"/>
      <c r="H505" s="150"/>
      <c r="I505" s="150"/>
      <c r="J505" s="137"/>
      <c r="K505" s="137"/>
      <c r="L505" s="137"/>
      <c r="M505" s="137"/>
      <c r="N505" s="137"/>
      <c r="O505" s="137"/>
      <c r="P505" s="137"/>
      <c r="Q505" s="137"/>
      <c r="R505" s="137"/>
      <c r="S505" s="137"/>
      <c r="T505" s="137"/>
      <c r="U505" s="137"/>
      <c r="V505" s="137"/>
      <c r="W505" s="137"/>
      <c r="X505" s="137"/>
      <c r="Y505" s="137"/>
      <c r="Z505" s="137"/>
    </row>
    <row r="506" ht="13.2" spans="1:26">
      <c r="A506" s="151"/>
      <c r="B506" s="149"/>
      <c r="C506" s="149"/>
      <c r="D506" s="149"/>
      <c r="E506" s="149"/>
      <c r="F506" s="149"/>
      <c r="G506" s="149"/>
      <c r="H506" s="150"/>
      <c r="I506" s="150"/>
      <c r="J506" s="137"/>
      <c r="K506" s="137"/>
      <c r="L506" s="137"/>
      <c r="M506" s="137"/>
      <c r="N506" s="137"/>
      <c r="O506" s="137"/>
      <c r="P506" s="137"/>
      <c r="Q506" s="137"/>
      <c r="R506" s="137"/>
      <c r="S506" s="137"/>
      <c r="T506" s="137"/>
      <c r="U506" s="137"/>
      <c r="V506" s="137"/>
      <c r="W506" s="137"/>
      <c r="X506" s="137"/>
      <c r="Y506" s="137"/>
      <c r="Z506" s="137"/>
    </row>
    <row r="507" ht="13.2" spans="1:26">
      <c r="A507" s="151"/>
      <c r="B507" s="149"/>
      <c r="C507" s="149"/>
      <c r="D507" s="149"/>
      <c r="E507" s="149"/>
      <c r="F507" s="149"/>
      <c r="G507" s="149"/>
      <c r="H507" s="150"/>
      <c r="I507" s="150"/>
      <c r="J507" s="137"/>
      <c r="K507" s="137"/>
      <c r="L507" s="137"/>
      <c r="M507" s="137"/>
      <c r="N507" s="137"/>
      <c r="O507" s="137"/>
      <c r="P507" s="137"/>
      <c r="Q507" s="137"/>
      <c r="R507" s="137"/>
      <c r="S507" s="137"/>
      <c r="T507" s="137"/>
      <c r="U507" s="137"/>
      <c r="V507" s="137"/>
      <c r="W507" s="137"/>
      <c r="X507" s="137"/>
      <c r="Y507" s="137"/>
      <c r="Z507" s="137"/>
    </row>
    <row r="508" ht="13.2" spans="1:26">
      <c r="A508" s="151"/>
      <c r="B508" s="149"/>
      <c r="C508" s="149"/>
      <c r="D508" s="149"/>
      <c r="E508" s="149"/>
      <c r="F508" s="149"/>
      <c r="G508" s="149"/>
      <c r="H508" s="150"/>
      <c r="I508" s="150"/>
      <c r="J508" s="137"/>
      <c r="K508" s="137"/>
      <c r="L508" s="137"/>
      <c r="M508" s="137"/>
      <c r="N508" s="137"/>
      <c r="O508" s="137"/>
      <c r="P508" s="137"/>
      <c r="Q508" s="137"/>
      <c r="R508" s="137"/>
      <c r="S508" s="137"/>
      <c r="T508" s="137"/>
      <c r="U508" s="137"/>
      <c r="V508" s="137"/>
      <c r="W508" s="137"/>
      <c r="X508" s="137"/>
      <c r="Y508" s="137"/>
      <c r="Z508" s="137"/>
    </row>
    <row r="509" ht="13.2" spans="1:26">
      <c r="A509" s="151"/>
      <c r="B509" s="149"/>
      <c r="C509" s="149"/>
      <c r="D509" s="149"/>
      <c r="E509" s="149"/>
      <c r="F509" s="149"/>
      <c r="G509" s="149"/>
      <c r="H509" s="150"/>
      <c r="I509" s="150"/>
      <c r="J509" s="137"/>
      <c r="K509" s="137"/>
      <c r="L509" s="137"/>
      <c r="M509" s="137"/>
      <c r="N509" s="137"/>
      <c r="O509" s="137"/>
      <c r="P509" s="137"/>
      <c r="Q509" s="137"/>
      <c r="R509" s="137"/>
      <c r="S509" s="137"/>
      <c r="T509" s="137"/>
      <c r="U509" s="137"/>
      <c r="V509" s="137"/>
      <c r="W509" s="137"/>
      <c r="X509" s="137"/>
      <c r="Y509" s="137"/>
      <c r="Z509" s="137"/>
    </row>
    <row r="510" ht="13.2" spans="1:26">
      <c r="A510" s="151"/>
      <c r="B510" s="149"/>
      <c r="C510" s="149"/>
      <c r="D510" s="149"/>
      <c r="E510" s="149"/>
      <c r="F510" s="149"/>
      <c r="G510" s="149"/>
      <c r="H510" s="150"/>
      <c r="I510" s="150"/>
      <c r="J510" s="137"/>
      <c r="K510" s="137"/>
      <c r="L510" s="137"/>
      <c r="M510" s="137"/>
      <c r="N510" s="137"/>
      <c r="O510" s="137"/>
      <c r="P510" s="137"/>
      <c r="Q510" s="137"/>
      <c r="R510" s="137"/>
      <c r="S510" s="137"/>
      <c r="T510" s="137"/>
      <c r="U510" s="137"/>
      <c r="V510" s="137"/>
      <c r="W510" s="137"/>
      <c r="X510" s="137"/>
      <c r="Y510" s="137"/>
      <c r="Z510" s="137"/>
    </row>
    <row r="511" ht="13.2" spans="1:26">
      <c r="A511" s="151"/>
      <c r="B511" s="149"/>
      <c r="C511" s="149"/>
      <c r="D511" s="149"/>
      <c r="E511" s="149"/>
      <c r="F511" s="149"/>
      <c r="G511" s="149"/>
      <c r="H511" s="150"/>
      <c r="I511" s="150"/>
      <c r="J511" s="137"/>
      <c r="K511" s="137"/>
      <c r="L511" s="137"/>
      <c r="M511" s="137"/>
      <c r="N511" s="137"/>
      <c r="O511" s="137"/>
      <c r="P511" s="137"/>
      <c r="Q511" s="137"/>
      <c r="R511" s="137"/>
      <c r="S511" s="137"/>
      <c r="T511" s="137"/>
      <c r="U511" s="137"/>
      <c r="V511" s="137"/>
      <c r="W511" s="137"/>
      <c r="X511" s="137"/>
      <c r="Y511" s="137"/>
      <c r="Z511" s="137"/>
    </row>
    <row r="512" ht="13.2" spans="1:26">
      <c r="A512" s="151"/>
      <c r="B512" s="149"/>
      <c r="C512" s="149"/>
      <c r="D512" s="149"/>
      <c r="E512" s="149"/>
      <c r="F512" s="149"/>
      <c r="G512" s="149"/>
      <c r="H512" s="150"/>
      <c r="I512" s="150"/>
      <c r="J512" s="137"/>
      <c r="K512" s="137"/>
      <c r="L512" s="137"/>
      <c r="M512" s="137"/>
      <c r="N512" s="137"/>
      <c r="O512" s="137"/>
      <c r="P512" s="137"/>
      <c r="Q512" s="137"/>
      <c r="R512" s="137"/>
      <c r="S512" s="137"/>
      <c r="T512" s="137"/>
      <c r="U512" s="137"/>
      <c r="V512" s="137"/>
      <c r="W512" s="137"/>
      <c r="X512" s="137"/>
      <c r="Y512" s="137"/>
      <c r="Z512" s="137"/>
    </row>
    <row r="513" ht="13.2" spans="1:26">
      <c r="A513" s="151"/>
      <c r="B513" s="149"/>
      <c r="C513" s="149"/>
      <c r="D513" s="149"/>
      <c r="E513" s="149"/>
      <c r="F513" s="149"/>
      <c r="G513" s="149"/>
      <c r="H513" s="150"/>
      <c r="I513" s="150"/>
      <c r="J513" s="137"/>
      <c r="K513" s="137"/>
      <c r="L513" s="137"/>
      <c r="M513" s="137"/>
      <c r="N513" s="137"/>
      <c r="O513" s="137"/>
      <c r="P513" s="137"/>
      <c r="Q513" s="137"/>
      <c r="R513" s="137"/>
      <c r="S513" s="137"/>
      <c r="T513" s="137"/>
      <c r="U513" s="137"/>
      <c r="V513" s="137"/>
      <c r="W513" s="137"/>
      <c r="X513" s="137"/>
      <c r="Y513" s="137"/>
      <c r="Z513" s="137"/>
    </row>
    <row r="514" ht="13.2" spans="1:26">
      <c r="A514" s="151"/>
      <c r="B514" s="149"/>
      <c r="C514" s="149"/>
      <c r="D514" s="149"/>
      <c r="E514" s="149"/>
      <c r="F514" s="149"/>
      <c r="G514" s="149"/>
      <c r="H514" s="150"/>
      <c r="I514" s="150"/>
      <c r="J514" s="137"/>
      <c r="K514" s="137"/>
      <c r="L514" s="137"/>
      <c r="M514" s="137"/>
      <c r="N514" s="137"/>
      <c r="O514" s="137"/>
      <c r="P514" s="137"/>
      <c r="Q514" s="137"/>
      <c r="R514" s="137"/>
      <c r="S514" s="137"/>
      <c r="T514" s="137"/>
      <c r="U514" s="137"/>
      <c r="V514" s="137"/>
      <c r="W514" s="137"/>
      <c r="X514" s="137"/>
      <c r="Y514" s="137"/>
      <c r="Z514" s="137"/>
    </row>
    <row r="515" ht="13.2" spans="1:26">
      <c r="A515" s="151"/>
      <c r="B515" s="149"/>
      <c r="C515" s="149"/>
      <c r="D515" s="149"/>
      <c r="E515" s="149"/>
      <c r="F515" s="149"/>
      <c r="G515" s="149"/>
      <c r="H515" s="150"/>
      <c r="I515" s="150"/>
      <c r="J515" s="137"/>
      <c r="K515" s="137"/>
      <c r="L515" s="137"/>
      <c r="M515" s="137"/>
      <c r="N515" s="137"/>
      <c r="O515" s="137"/>
      <c r="P515" s="137"/>
      <c r="Q515" s="137"/>
      <c r="R515" s="137"/>
      <c r="S515" s="137"/>
      <c r="T515" s="137"/>
      <c r="U515" s="137"/>
      <c r="V515" s="137"/>
      <c r="W515" s="137"/>
      <c r="X515" s="137"/>
      <c r="Y515" s="137"/>
      <c r="Z515" s="137"/>
    </row>
    <row r="516" ht="13.2" spans="1:26">
      <c r="A516" s="151"/>
      <c r="B516" s="149"/>
      <c r="C516" s="149"/>
      <c r="D516" s="149"/>
      <c r="E516" s="149"/>
      <c r="F516" s="149"/>
      <c r="G516" s="149"/>
      <c r="H516" s="150"/>
      <c r="I516" s="150"/>
      <c r="J516" s="137"/>
      <c r="K516" s="137"/>
      <c r="L516" s="137"/>
      <c r="M516" s="137"/>
      <c r="N516" s="137"/>
      <c r="O516" s="137"/>
      <c r="P516" s="137"/>
      <c r="Q516" s="137"/>
      <c r="R516" s="137"/>
      <c r="S516" s="137"/>
      <c r="T516" s="137"/>
      <c r="U516" s="137"/>
      <c r="V516" s="137"/>
      <c r="W516" s="137"/>
      <c r="X516" s="137"/>
      <c r="Y516" s="137"/>
      <c r="Z516" s="137"/>
    </row>
    <row r="517" ht="13.2" spans="1:26">
      <c r="A517" s="151"/>
      <c r="B517" s="149"/>
      <c r="C517" s="149"/>
      <c r="D517" s="149"/>
      <c r="E517" s="149"/>
      <c r="F517" s="149"/>
      <c r="G517" s="149"/>
      <c r="H517" s="150"/>
      <c r="I517" s="150"/>
      <c r="J517" s="137"/>
      <c r="K517" s="137"/>
      <c r="L517" s="137"/>
      <c r="M517" s="137"/>
      <c r="N517" s="137"/>
      <c r="O517" s="137"/>
      <c r="P517" s="137"/>
      <c r="Q517" s="137"/>
      <c r="R517" s="137"/>
      <c r="S517" s="137"/>
      <c r="T517" s="137"/>
      <c r="U517" s="137"/>
      <c r="V517" s="137"/>
      <c r="W517" s="137"/>
      <c r="X517" s="137"/>
      <c r="Y517" s="137"/>
      <c r="Z517" s="137"/>
    </row>
    <row r="518" ht="13.2" spans="1:26">
      <c r="A518" s="151"/>
      <c r="B518" s="149"/>
      <c r="C518" s="149"/>
      <c r="D518" s="149"/>
      <c r="E518" s="149"/>
      <c r="F518" s="149"/>
      <c r="G518" s="149"/>
      <c r="H518" s="150"/>
      <c r="I518" s="150"/>
      <c r="J518" s="137"/>
      <c r="K518" s="137"/>
      <c r="L518" s="137"/>
      <c r="M518" s="137"/>
      <c r="N518" s="137"/>
      <c r="O518" s="137"/>
      <c r="P518" s="137"/>
      <c r="Q518" s="137"/>
      <c r="R518" s="137"/>
      <c r="S518" s="137"/>
      <c r="T518" s="137"/>
      <c r="U518" s="137"/>
      <c r="V518" s="137"/>
      <c r="W518" s="137"/>
      <c r="X518" s="137"/>
      <c r="Y518" s="137"/>
      <c r="Z518" s="137"/>
    </row>
    <row r="519" ht="13.2" spans="1:26">
      <c r="A519" s="151"/>
      <c r="B519" s="149"/>
      <c r="C519" s="149"/>
      <c r="D519" s="149"/>
      <c r="E519" s="149"/>
      <c r="F519" s="149"/>
      <c r="G519" s="149"/>
      <c r="H519" s="150"/>
      <c r="I519" s="150"/>
      <c r="J519" s="137"/>
      <c r="K519" s="137"/>
      <c r="L519" s="137"/>
      <c r="M519" s="137"/>
      <c r="N519" s="137"/>
      <c r="O519" s="137"/>
      <c r="P519" s="137"/>
      <c r="Q519" s="137"/>
      <c r="R519" s="137"/>
      <c r="S519" s="137"/>
      <c r="T519" s="137"/>
      <c r="U519" s="137"/>
      <c r="V519" s="137"/>
      <c r="W519" s="137"/>
      <c r="X519" s="137"/>
      <c r="Y519" s="137"/>
      <c r="Z519" s="137"/>
    </row>
    <row r="520" ht="13.2" spans="1:26">
      <c r="A520" s="151"/>
      <c r="B520" s="149"/>
      <c r="C520" s="149"/>
      <c r="D520" s="149"/>
      <c r="E520" s="149"/>
      <c r="F520" s="149"/>
      <c r="G520" s="149"/>
      <c r="H520" s="150"/>
      <c r="I520" s="150"/>
      <c r="J520" s="137"/>
      <c r="K520" s="137"/>
      <c r="L520" s="137"/>
      <c r="M520" s="137"/>
      <c r="N520" s="137"/>
      <c r="O520" s="137"/>
      <c r="P520" s="137"/>
      <c r="Q520" s="137"/>
      <c r="R520" s="137"/>
      <c r="S520" s="137"/>
      <c r="T520" s="137"/>
      <c r="U520" s="137"/>
      <c r="V520" s="137"/>
      <c r="W520" s="137"/>
      <c r="X520" s="137"/>
      <c r="Y520" s="137"/>
      <c r="Z520" s="137"/>
    </row>
    <row r="521" ht="13.2" spans="1:26">
      <c r="A521" s="151"/>
      <c r="B521" s="149"/>
      <c r="C521" s="149"/>
      <c r="D521" s="149"/>
      <c r="E521" s="149"/>
      <c r="F521" s="149"/>
      <c r="G521" s="149"/>
      <c r="H521" s="150"/>
      <c r="I521" s="150"/>
      <c r="J521" s="137"/>
      <c r="K521" s="137"/>
      <c r="L521" s="137"/>
      <c r="M521" s="137"/>
      <c r="N521" s="137"/>
      <c r="O521" s="137"/>
      <c r="P521" s="137"/>
      <c r="Q521" s="137"/>
      <c r="R521" s="137"/>
      <c r="S521" s="137"/>
      <c r="T521" s="137"/>
      <c r="U521" s="137"/>
      <c r="V521" s="137"/>
      <c r="W521" s="137"/>
      <c r="X521" s="137"/>
      <c r="Y521" s="137"/>
      <c r="Z521" s="137"/>
    </row>
    <row r="522" ht="13.2" spans="1:26">
      <c r="A522" s="151"/>
      <c r="B522" s="149"/>
      <c r="C522" s="149"/>
      <c r="D522" s="149"/>
      <c r="E522" s="149"/>
      <c r="F522" s="149"/>
      <c r="G522" s="149"/>
      <c r="H522" s="150"/>
      <c r="I522" s="150"/>
      <c r="J522" s="137"/>
      <c r="K522" s="137"/>
      <c r="L522" s="137"/>
      <c r="M522" s="137"/>
      <c r="N522" s="137"/>
      <c r="O522" s="137"/>
      <c r="P522" s="137"/>
      <c r="Q522" s="137"/>
      <c r="R522" s="137"/>
      <c r="S522" s="137"/>
      <c r="T522" s="137"/>
      <c r="U522" s="137"/>
      <c r="V522" s="137"/>
      <c r="W522" s="137"/>
      <c r="X522" s="137"/>
      <c r="Y522" s="137"/>
      <c r="Z522" s="137"/>
    </row>
    <row r="523" ht="13.2" spans="1:26">
      <c r="A523" s="151"/>
      <c r="B523" s="149"/>
      <c r="C523" s="149"/>
      <c r="D523" s="149"/>
      <c r="E523" s="149"/>
      <c r="F523" s="149"/>
      <c r="G523" s="149"/>
      <c r="H523" s="150"/>
      <c r="I523" s="150"/>
      <c r="J523" s="137"/>
      <c r="K523" s="137"/>
      <c r="L523" s="137"/>
      <c r="M523" s="137"/>
      <c r="N523" s="137"/>
      <c r="O523" s="137"/>
      <c r="P523" s="137"/>
      <c r="Q523" s="137"/>
      <c r="R523" s="137"/>
      <c r="S523" s="137"/>
      <c r="T523" s="137"/>
      <c r="U523" s="137"/>
      <c r="V523" s="137"/>
      <c r="W523" s="137"/>
      <c r="X523" s="137"/>
      <c r="Y523" s="137"/>
      <c r="Z523" s="137"/>
    </row>
    <row r="524" ht="13.2" spans="1:26">
      <c r="A524" s="151"/>
      <c r="B524" s="149"/>
      <c r="C524" s="149"/>
      <c r="D524" s="149"/>
      <c r="E524" s="149"/>
      <c r="F524" s="149"/>
      <c r="G524" s="149"/>
      <c r="H524" s="150"/>
      <c r="I524" s="150"/>
      <c r="J524" s="137"/>
      <c r="K524" s="137"/>
      <c r="L524" s="137"/>
      <c r="M524" s="137"/>
      <c r="N524" s="137"/>
      <c r="O524" s="137"/>
      <c r="P524" s="137"/>
      <c r="Q524" s="137"/>
      <c r="R524" s="137"/>
      <c r="S524" s="137"/>
      <c r="T524" s="137"/>
      <c r="U524" s="137"/>
      <c r="V524" s="137"/>
      <c r="W524" s="137"/>
      <c r="X524" s="137"/>
      <c r="Y524" s="137"/>
      <c r="Z524" s="137"/>
    </row>
    <row r="525" ht="13.2" spans="1:26">
      <c r="A525" s="151"/>
      <c r="B525" s="149"/>
      <c r="C525" s="149"/>
      <c r="D525" s="149"/>
      <c r="E525" s="149"/>
      <c r="F525" s="149"/>
      <c r="G525" s="149"/>
      <c r="H525" s="150"/>
      <c r="I525" s="150"/>
      <c r="J525" s="137"/>
      <c r="K525" s="137"/>
      <c r="L525" s="137"/>
      <c r="M525" s="137"/>
      <c r="N525" s="137"/>
      <c r="O525" s="137"/>
      <c r="P525" s="137"/>
      <c r="Q525" s="137"/>
      <c r="R525" s="137"/>
      <c r="S525" s="137"/>
      <c r="T525" s="137"/>
      <c r="U525" s="137"/>
      <c r="V525" s="137"/>
      <c r="W525" s="137"/>
      <c r="X525" s="137"/>
      <c r="Y525" s="137"/>
      <c r="Z525" s="137"/>
    </row>
    <row r="526" ht="13.2" spans="1:26">
      <c r="A526" s="151"/>
      <c r="B526" s="149"/>
      <c r="C526" s="149"/>
      <c r="D526" s="149"/>
      <c r="E526" s="149"/>
      <c r="F526" s="149"/>
      <c r="G526" s="149"/>
      <c r="H526" s="150"/>
      <c r="I526" s="150"/>
      <c r="J526" s="137"/>
      <c r="K526" s="137"/>
      <c r="L526" s="137"/>
      <c r="M526" s="137"/>
      <c r="N526" s="137"/>
      <c r="O526" s="137"/>
      <c r="P526" s="137"/>
      <c r="Q526" s="137"/>
      <c r="R526" s="137"/>
      <c r="S526" s="137"/>
      <c r="T526" s="137"/>
      <c r="U526" s="137"/>
      <c r="V526" s="137"/>
      <c r="W526" s="137"/>
      <c r="X526" s="137"/>
      <c r="Y526" s="137"/>
      <c r="Z526" s="137"/>
    </row>
    <row r="527" ht="13.2" spans="1:26">
      <c r="A527" s="151"/>
      <c r="B527" s="149"/>
      <c r="C527" s="149"/>
      <c r="D527" s="149"/>
      <c r="E527" s="149"/>
      <c r="F527" s="149"/>
      <c r="G527" s="149"/>
      <c r="H527" s="150"/>
      <c r="I527" s="150"/>
      <c r="J527" s="137"/>
      <c r="K527" s="137"/>
      <c r="L527" s="137"/>
      <c r="M527" s="137"/>
      <c r="N527" s="137"/>
      <c r="O527" s="137"/>
      <c r="P527" s="137"/>
      <c r="Q527" s="137"/>
      <c r="R527" s="137"/>
      <c r="S527" s="137"/>
      <c r="T527" s="137"/>
      <c r="U527" s="137"/>
      <c r="V527" s="137"/>
      <c r="W527" s="137"/>
      <c r="X527" s="137"/>
      <c r="Y527" s="137"/>
      <c r="Z527" s="137"/>
    </row>
    <row r="528" ht="13.2" spans="1:26">
      <c r="A528" s="151"/>
      <c r="B528" s="149"/>
      <c r="C528" s="149"/>
      <c r="D528" s="149"/>
      <c r="E528" s="149"/>
      <c r="F528" s="149"/>
      <c r="G528" s="149"/>
      <c r="H528" s="150"/>
      <c r="I528" s="150"/>
      <c r="J528" s="137"/>
      <c r="K528" s="137"/>
      <c r="L528" s="137"/>
      <c r="M528" s="137"/>
      <c r="N528" s="137"/>
      <c r="O528" s="137"/>
      <c r="P528" s="137"/>
      <c r="Q528" s="137"/>
      <c r="R528" s="137"/>
      <c r="S528" s="137"/>
      <c r="T528" s="137"/>
      <c r="U528" s="137"/>
      <c r="V528" s="137"/>
      <c r="W528" s="137"/>
      <c r="X528" s="137"/>
      <c r="Y528" s="137"/>
      <c r="Z528" s="137"/>
    </row>
    <row r="529" ht="13.2" spans="1:26">
      <c r="A529" s="151"/>
      <c r="B529" s="149"/>
      <c r="C529" s="149"/>
      <c r="D529" s="149"/>
      <c r="E529" s="149"/>
      <c r="F529" s="149"/>
      <c r="G529" s="149"/>
      <c r="H529" s="150"/>
      <c r="I529" s="150"/>
      <c r="J529" s="137"/>
      <c r="K529" s="137"/>
      <c r="L529" s="137"/>
      <c r="M529" s="137"/>
      <c r="N529" s="137"/>
      <c r="O529" s="137"/>
      <c r="P529" s="137"/>
      <c r="Q529" s="137"/>
      <c r="R529" s="137"/>
      <c r="S529" s="137"/>
      <c r="T529" s="137"/>
      <c r="U529" s="137"/>
      <c r="V529" s="137"/>
      <c r="W529" s="137"/>
      <c r="X529" s="137"/>
      <c r="Y529" s="137"/>
      <c r="Z529" s="137"/>
    </row>
    <row r="530" ht="13.2" spans="1:26">
      <c r="A530" s="151"/>
      <c r="B530" s="149"/>
      <c r="C530" s="149"/>
      <c r="D530" s="149"/>
      <c r="E530" s="149"/>
      <c r="F530" s="149"/>
      <c r="G530" s="149"/>
      <c r="H530" s="150"/>
      <c r="I530" s="150"/>
      <c r="J530" s="137"/>
      <c r="K530" s="137"/>
      <c r="L530" s="137"/>
      <c r="M530" s="137"/>
      <c r="N530" s="137"/>
      <c r="O530" s="137"/>
      <c r="P530" s="137"/>
      <c r="Q530" s="137"/>
      <c r="R530" s="137"/>
      <c r="S530" s="137"/>
      <c r="T530" s="137"/>
      <c r="U530" s="137"/>
      <c r="V530" s="137"/>
      <c r="W530" s="137"/>
      <c r="X530" s="137"/>
      <c r="Y530" s="137"/>
      <c r="Z530" s="137"/>
    </row>
    <row r="531" ht="13.2" spans="1:26">
      <c r="A531" s="151"/>
      <c r="B531" s="149"/>
      <c r="C531" s="149"/>
      <c r="D531" s="149"/>
      <c r="E531" s="149"/>
      <c r="F531" s="149"/>
      <c r="G531" s="149"/>
      <c r="H531" s="150"/>
      <c r="I531" s="150"/>
      <c r="J531" s="137"/>
      <c r="K531" s="137"/>
      <c r="L531" s="137"/>
      <c r="M531" s="137"/>
      <c r="N531" s="137"/>
      <c r="O531" s="137"/>
      <c r="P531" s="137"/>
      <c r="Q531" s="137"/>
      <c r="R531" s="137"/>
      <c r="S531" s="137"/>
      <c r="T531" s="137"/>
      <c r="U531" s="137"/>
      <c r="V531" s="137"/>
      <c r="W531" s="137"/>
      <c r="X531" s="137"/>
      <c r="Y531" s="137"/>
      <c r="Z531" s="137"/>
    </row>
    <row r="532" ht="13.2" spans="1:26">
      <c r="A532" s="151"/>
      <c r="B532" s="149"/>
      <c r="C532" s="149"/>
      <c r="D532" s="149"/>
      <c r="E532" s="149"/>
      <c r="F532" s="149"/>
      <c r="G532" s="149"/>
      <c r="H532" s="150"/>
      <c r="I532" s="150"/>
      <c r="J532" s="137"/>
      <c r="K532" s="137"/>
      <c r="L532" s="137"/>
      <c r="M532" s="137"/>
      <c r="N532" s="137"/>
      <c r="O532" s="137"/>
      <c r="P532" s="137"/>
      <c r="Q532" s="137"/>
      <c r="R532" s="137"/>
      <c r="S532" s="137"/>
      <c r="T532" s="137"/>
      <c r="U532" s="137"/>
      <c r="V532" s="137"/>
      <c r="W532" s="137"/>
      <c r="X532" s="137"/>
      <c r="Y532" s="137"/>
      <c r="Z532" s="137"/>
    </row>
    <row r="533" ht="13.2" spans="1:26">
      <c r="A533" s="151"/>
      <c r="B533" s="149"/>
      <c r="C533" s="149"/>
      <c r="D533" s="149"/>
      <c r="E533" s="149"/>
      <c r="F533" s="149"/>
      <c r="G533" s="149"/>
      <c r="H533" s="150"/>
      <c r="I533" s="150"/>
      <c r="J533" s="137"/>
      <c r="K533" s="137"/>
      <c r="L533" s="137"/>
      <c r="M533" s="137"/>
      <c r="N533" s="137"/>
      <c r="O533" s="137"/>
      <c r="P533" s="137"/>
      <c r="Q533" s="137"/>
      <c r="R533" s="137"/>
      <c r="S533" s="137"/>
      <c r="T533" s="137"/>
      <c r="U533" s="137"/>
      <c r="V533" s="137"/>
      <c r="W533" s="137"/>
      <c r="X533" s="137"/>
      <c r="Y533" s="137"/>
      <c r="Z533" s="137"/>
    </row>
    <row r="534" ht="13.2" spans="1:26">
      <c r="A534" s="151"/>
      <c r="B534" s="149"/>
      <c r="C534" s="149"/>
      <c r="D534" s="149"/>
      <c r="E534" s="149"/>
      <c r="F534" s="149"/>
      <c r="G534" s="149"/>
      <c r="H534" s="150"/>
      <c r="I534" s="150"/>
      <c r="J534" s="137"/>
      <c r="K534" s="137"/>
      <c r="L534" s="137"/>
      <c r="M534" s="137"/>
      <c r="N534" s="137"/>
      <c r="O534" s="137"/>
      <c r="P534" s="137"/>
      <c r="Q534" s="137"/>
      <c r="R534" s="137"/>
      <c r="S534" s="137"/>
      <c r="T534" s="137"/>
      <c r="U534" s="137"/>
      <c r="V534" s="137"/>
      <c r="W534" s="137"/>
      <c r="X534" s="137"/>
      <c r="Y534" s="137"/>
      <c r="Z534" s="137"/>
    </row>
    <row r="535" ht="13.2" spans="1:26">
      <c r="A535" s="151"/>
      <c r="B535" s="149"/>
      <c r="C535" s="149"/>
      <c r="D535" s="149"/>
      <c r="E535" s="149"/>
      <c r="F535" s="149"/>
      <c r="G535" s="149"/>
      <c r="H535" s="150"/>
      <c r="I535" s="150"/>
      <c r="J535" s="137"/>
      <c r="K535" s="137"/>
      <c r="L535" s="137"/>
      <c r="M535" s="137"/>
      <c r="N535" s="137"/>
      <c r="O535" s="137"/>
      <c r="P535" s="137"/>
      <c r="Q535" s="137"/>
      <c r="R535" s="137"/>
      <c r="S535" s="137"/>
      <c r="T535" s="137"/>
      <c r="U535" s="137"/>
      <c r="V535" s="137"/>
      <c r="W535" s="137"/>
      <c r="X535" s="137"/>
      <c r="Y535" s="137"/>
      <c r="Z535" s="137"/>
    </row>
    <row r="536" ht="13.2" spans="1:26">
      <c r="A536" s="151"/>
      <c r="B536" s="149"/>
      <c r="C536" s="149"/>
      <c r="D536" s="149"/>
      <c r="E536" s="149"/>
      <c r="F536" s="149"/>
      <c r="G536" s="149"/>
      <c r="H536" s="150"/>
      <c r="I536" s="150"/>
      <c r="J536" s="137"/>
      <c r="K536" s="137"/>
      <c r="L536" s="137"/>
      <c r="M536" s="137"/>
      <c r="N536" s="137"/>
      <c r="O536" s="137"/>
      <c r="P536" s="137"/>
      <c r="Q536" s="137"/>
      <c r="R536" s="137"/>
      <c r="S536" s="137"/>
      <c r="T536" s="137"/>
      <c r="U536" s="137"/>
      <c r="V536" s="137"/>
      <c r="W536" s="137"/>
      <c r="X536" s="137"/>
      <c r="Y536" s="137"/>
      <c r="Z536" s="137"/>
    </row>
    <row r="537" ht="13.2" spans="1:26">
      <c r="A537" s="151"/>
      <c r="B537" s="149"/>
      <c r="C537" s="149"/>
      <c r="D537" s="149"/>
      <c r="E537" s="149"/>
      <c r="F537" s="149"/>
      <c r="G537" s="149"/>
      <c r="H537" s="150"/>
      <c r="I537" s="150"/>
      <c r="J537" s="137"/>
      <c r="K537" s="137"/>
      <c r="L537" s="137"/>
      <c r="M537" s="137"/>
      <c r="N537" s="137"/>
      <c r="O537" s="137"/>
      <c r="P537" s="137"/>
      <c r="Q537" s="137"/>
      <c r="R537" s="137"/>
      <c r="S537" s="137"/>
      <c r="T537" s="137"/>
      <c r="U537" s="137"/>
      <c r="V537" s="137"/>
      <c r="W537" s="137"/>
      <c r="X537" s="137"/>
      <c r="Y537" s="137"/>
      <c r="Z537" s="137"/>
    </row>
    <row r="538" ht="13.2" spans="1:26">
      <c r="A538" s="151"/>
      <c r="B538" s="149"/>
      <c r="C538" s="149"/>
      <c r="D538" s="149"/>
      <c r="E538" s="149"/>
      <c r="F538" s="149"/>
      <c r="G538" s="149"/>
      <c r="H538" s="150"/>
      <c r="I538" s="150"/>
      <c r="J538" s="137"/>
      <c r="K538" s="137"/>
      <c r="L538" s="137"/>
      <c r="M538" s="137"/>
      <c r="N538" s="137"/>
      <c r="O538" s="137"/>
      <c r="P538" s="137"/>
      <c r="Q538" s="137"/>
      <c r="R538" s="137"/>
      <c r="S538" s="137"/>
      <c r="T538" s="137"/>
      <c r="U538" s="137"/>
      <c r="V538" s="137"/>
      <c r="W538" s="137"/>
      <c r="X538" s="137"/>
      <c r="Y538" s="137"/>
      <c r="Z538" s="137"/>
    </row>
    <row r="539" ht="13.2" spans="1:26">
      <c r="A539" s="151"/>
      <c r="B539" s="149"/>
      <c r="C539" s="149"/>
      <c r="D539" s="149"/>
      <c r="E539" s="149"/>
      <c r="F539" s="149"/>
      <c r="G539" s="149"/>
      <c r="H539" s="150"/>
      <c r="I539" s="150"/>
      <c r="J539" s="137"/>
      <c r="K539" s="137"/>
      <c r="L539" s="137"/>
      <c r="M539" s="137"/>
      <c r="N539" s="137"/>
      <c r="O539" s="137"/>
      <c r="P539" s="137"/>
      <c r="Q539" s="137"/>
      <c r="R539" s="137"/>
      <c r="S539" s="137"/>
      <c r="T539" s="137"/>
      <c r="U539" s="137"/>
      <c r="V539" s="137"/>
      <c r="W539" s="137"/>
      <c r="X539" s="137"/>
      <c r="Y539" s="137"/>
      <c r="Z539" s="137"/>
    </row>
    <row r="540" ht="13.2" spans="1:26">
      <c r="A540" s="151"/>
      <c r="B540" s="149"/>
      <c r="C540" s="149"/>
      <c r="D540" s="149"/>
      <c r="E540" s="149"/>
      <c r="F540" s="149"/>
      <c r="G540" s="149"/>
      <c r="H540" s="150"/>
      <c r="I540" s="150"/>
      <c r="J540" s="137"/>
      <c r="K540" s="137"/>
      <c r="L540" s="137"/>
      <c r="M540" s="137"/>
      <c r="N540" s="137"/>
      <c r="O540" s="137"/>
      <c r="P540" s="137"/>
      <c r="Q540" s="137"/>
      <c r="R540" s="137"/>
      <c r="S540" s="137"/>
      <c r="T540" s="137"/>
      <c r="U540" s="137"/>
      <c r="V540" s="137"/>
      <c r="W540" s="137"/>
      <c r="X540" s="137"/>
      <c r="Y540" s="137"/>
      <c r="Z540" s="137"/>
    </row>
    <row r="541" ht="13.2" spans="1:26">
      <c r="A541" s="151"/>
      <c r="B541" s="149"/>
      <c r="C541" s="149"/>
      <c r="D541" s="149"/>
      <c r="E541" s="149"/>
      <c r="F541" s="149"/>
      <c r="G541" s="149"/>
      <c r="H541" s="150"/>
      <c r="I541" s="150"/>
      <c r="J541" s="137"/>
      <c r="K541" s="137"/>
      <c r="L541" s="137"/>
      <c r="M541" s="137"/>
      <c r="N541" s="137"/>
      <c r="O541" s="137"/>
      <c r="P541" s="137"/>
      <c r="Q541" s="137"/>
      <c r="R541" s="137"/>
      <c r="S541" s="137"/>
      <c r="T541" s="137"/>
      <c r="U541" s="137"/>
      <c r="V541" s="137"/>
      <c r="W541" s="137"/>
      <c r="X541" s="137"/>
      <c r="Y541" s="137"/>
      <c r="Z541" s="137"/>
    </row>
    <row r="542" ht="13.2" spans="1:26">
      <c r="A542" s="151"/>
      <c r="B542" s="149"/>
      <c r="C542" s="149"/>
      <c r="D542" s="149"/>
      <c r="E542" s="149"/>
      <c r="F542" s="149"/>
      <c r="G542" s="149"/>
      <c r="H542" s="150"/>
      <c r="I542" s="150"/>
      <c r="J542" s="137"/>
      <c r="K542" s="137"/>
      <c r="L542" s="137"/>
      <c r="M542" s="137"/>
      <c r="N542" s="137"/>
      <c r="O542" s="137"/>
      <c r="P542" s="137"/>
      <c r="Q542" s="137"/>
      <c r="R542" s="137"/>
      <c r="S542" s="137"/>
      <c r="T542" s="137"/>
      <c r="U542" s="137"/>
      <c r="V542" s="137"/>
      <c r="W542" s="137"/>
      <c r="X542" s="137"/>
      <c r="Y542" s="137"/>
      <c r="Z542" s="137"/>
    </row>
    <row r="543" ht="13.2" spans="1:26">
      <c r="A543" s="151"/>
      <c r="B543" s="149"/>
      <c r="C543" s="149"/>
      <c r="D543" s="149"/>
      <c r="E543" s="149"/>
      <c r="F543" s="149"/>
      <c r="G543" s="149"/>
      <c r="H543" s="150"/>
      <c r="I543" s="150"/>
      <c r="J543" s="137"/>
      <c r="K543" s="137"/>
      <c r="L543" s="137"/>
      <c r="M543" s="137"/>
      <c r="N543" s="137"/>
      <c r="O543" s="137"/>
      <c r="P543" s="137"/>
      <c r="Q543" s="137"/>
      <c r="R543" s="137"/>
      <c r="S543" s="137"/>
      <c r="T543" s="137"/>
      <c r="U543" s="137"/>
      <c r="V543" s="137"/>
      <c r="W543" s="137"/>
      <c r="X543" s="137"/>
      <c r="Y543" s="137"/>
      <c r="Z543" s="137"/>
    </row>
    <row r="544" ht="13.2" spans="1:26">
      <c r="A544" s="151"/>
      <c r="B544" s="149"/>
      <c r="C544" s="149"/>
      <c r="D544" s="149"/>
      <c r="E544" s="149"/>
      <c r="F544" s="149"/>
      <c r="G544" s="149"/>
      <c r="H544" s="150"/>
      <c r="I544" s="150"/>
      <c r="J544" s="137"/>
      <c r="K544" s="137"/>
      <c r="L544" s="137"/>
      <c r="M544" s="137"/>
      <c r="N544" s="137"/>
      <c r="O544" s="137"/>
      <c r="P544" s="137"/>
      <c r="Q544" s="137"/>
      <c r="R544" s="137"/>
      <c r="S544" s="137"/>
      <c r="T544" s="137"/>
      <c r="U544" s="137"/>
      <c r="V544" s="137"/>
      <c r="W544" s="137"/>
      <c r="X544" s="137"/>
      <c r="Y544" s="137"/>
      <c r="Z544" s="137"/>
    </row>
    <row r="545" ht="13.2" spans="1:26">
      <c r="A545" s="151"/>
      <c r="B545" s="149"/>
      <c r="C545" s="149"/>
      <c r="D545" s="149"/>
      <c r="E545" s="149"/>
      <c r="F545" s="149"/>
      <c r="G545" s="149"/>
      <c r="H545" s="150"/>
      <c r="I545" s="150"/>
      <c r="J545" s="137"/>
      <c r="K545" s="137"/>
      <c r="L545" s="137"/>
      <c r="M545" s="137"/>
      <c r="N545" s="137"/>
      <c r="O545" s="137"/>
      <c r="P545" s="137"/>
      <c r="Q545" s="137"/>
      <c r="R545" s="137"/>
      <c r="S545" s="137"/>
      <c r="T545" s="137"/>
      <c r="U545" s="137"/>
      <c r="V545" s="137"/>
      <c r="W545" s="137"/>
      <c r="X545" s="137"/>
      <c r="Y545" s="137"/>
      <c r="Z545" s="137"/>
    </row>
    <row r="546" ht="13.2" spans="1:26">
      <c r="A546" s="151"/>
      <c r="B546" s="149"/>
      <c r="C546" s="149"/>
      <c r="D546" s="149"/>
      <c r="E546" s="149"/>
      <c r="F546" s="149"/>
      <c r="G546" s="149"/>
      <c r="H546" s="150"/>
      <c r="I546" s="150"/>
      <c r="J546" s="137"/>
      <c r="K546" s="137"/>
      <c r="L546" s="137"/>
      <c r="M546" s="137"/>
      <c r="N546" s="137"/>
      <c r="O546" s="137"/>
      <c r="P546" s="137"/>
      <c r="Q546" s="137"/>
      <c r="R546" s="137"/>
      <c r="S546" s="137"/>
      <c r="T546" s="137"/>
      <c r="U546" s="137"/>
      <c r="V546" s="137"/>
      <c r="W546" s="137"/>
      <c r="X546" s="137"/>
      <c r="Y546" s="137"/>
      <c r="Z546" s="137"/>
    </row>
    <row r="547" ht="13.2" spans="1:26">
      <c r="A547" s="151"/>
      <c r="B547" s="149"/>
      <c r="C547" s="149"/>
      <c r="D547" s="149"/>
      <c r="E547" s="149"/>
      <c r="F547" s="149"/>
      <c r="G547" s="149"/>
      <c r="H547" s="150"/>
      <c r="I547" s="150"/>
      <c r="J547" s="137"/>
      <c r="K547" s="137"/>
      <c r="L547" s="137"/>
      <c r="M547" s="137"/>
      <c r="N547" s="137"/>
      <c r="O547" s="137"/>
      <c r="P547" s="137"/>
      <c r="Q547" s="137"/>
      <c r="R547" s="137"/>
      <c r="S547" s="137"/>
      <c r="T547" s="137"/>
      <c r="U547" s="137"/>
      <c r="V547" s="137"/>
      <c r="W547" s="137"/>
      <c r="X547" s="137"/>
      <c r="Y547" s="137"/>
      <c r="Z547" s="137"/>
    </row>
    <row r="548" ht="13.2" spans="1:26">
      <c r="A548" s="151"/>
      <c r="B548" s="149"/>
      <c r="C548" s="149"/>
      <c r="D548" s="149"/>
      <c r="E548" s="149"/>
      <c r="F548" s="149"/>
      <c r="G548" s="149"/>
      <c r="H548" s="150"/>
      <c r="I548" s="150"/>
      <c r="J548" s="137"/>
      <c r="K548" s="137"/>
      <c r="L548" s="137"/>
      <c r="M548" s="137"/>
      <c r="N548" s="137"/>
      <c r="O548" s="137"/>
      <c r="P548" s="137"/>
      <c r="Q548" s="137"/>
      <c r="R548" s="137"/>
      <c r="S548" s="137"/>
      <c r="T548" s="137"/>
      <c r="U548" s="137"/>
      <c r="V548" s="137"/>
      <c r="W548" s="137"/>
      <c r="X548" s="137"/>
      <c r="Y548" s="137"/>
      <c r="Z548" s="137"/>
    </row>
    <row r="549" ht="13.2" spans="1:26">
      <c r="A549" s="151"/>
      <c r="B549" s="149"/>
      <c r="C549" s="149"/>
      <c r="D549" s="149"/>
      <c r="E549" s="149"/>
      <c r="F549" s="149"/>
      <c r="G549" s="149"/>
      <c r="H549" s="150"/>
      <c r="I549" s="150"/>
      <c r="J549" s="137"/>
      <c r="K549" s="137"/>
      <c r="L549" s="137"/>
      <c r="M549" s="137"/>
      <c r="N549" s="137"/>
      <c r="O549" s="137"/>
      <c r="P549" s="137"/>
      <c r="Q549" s="137"/>
      <c r="R549" s="137"/>
      <c r="S549" s="137"/>
      <c r="T549" s="137"/>
      <c r="U549" s="137"/>
      <c r="V549" s="137"/>
      <c r="W549" s="137"/>
      <c r="X549" s="137"/>
      <c r="Y549" s="137"/>
      <c r="Z549" s="137"/>
    </row>
    <row r="550" ht="13.2" spans="1:26">
      <c r="A550" s="151"/>
      <c r="B550" s="149"/>
      <c r="C550" s="149"/>
      <c r="D550" s="149"/>
      <c r="E550" s="149"/>
      <c r="F550" s="149"/>
      <c r="G550" s="149"/>
      <c r="H550" s="150"/>
      <c r="I550" s="150"/>
      <c r="J550" s="137"/>
      <c r="K550" s="137"/>
      <c r="L550" s="137"/>
      <c r="M550" s="137"/>
      <c r="N550" s="137"/>
      <c r="O550" s="137"/>
      <c r="P550" s="137"/>
      <c r="Q550" s="137"/>
      <c r="R550" s="137"/>
      <c r="S550" s="137"/>
      <c r="T550" s="137"/>
      <c r="U550" s="137"/>
      <c r="V550" s="137"/>
      <c r="W550" s="137"/>
      <c r="X550" s="137"/>
      <c r="Y550" s="137"/>
      <c r="Z550" s="137"/>
    </row>
    <row r="551" ht="13.2" spans="1:26">
      <c r="A551" s="151"/>
      <c r="B551" s="149"/>
      <c r="C551" s="149"/>
      <c r="D551" s="149"/>
      <c r="E551" s="149"/>
      <c r="F551" s="149"/>
      <c r="G551" s="149"/>
      <c r="H551" s="150"/>
      <c r="I551" s="150"/>
      <c r="J551" s="137"/>
      <c r="K551" s="137"/>
      <c r="L551" s="137"/>
      <c r="M551" s="137"/>
      <c r="N551" s="137"/>
      <c r="O551" s="137"/>
      <c r="P551" s="137"/>
      <c r="Q551" s="137"/>
      <c r="R551" s="137"/>
      <c r="S551" s="137"/>
      <c r="T551" s="137"/>
      <c r="U551" s="137"/>
      <c r="V551" s="137"/>
      <c r="W551" s="137"/>
      <c r="X551" s="137"/>
      <c r="Y551" s="137"/>
      <c r="Z551" s="137"/>
    </row>
    <row r="552" ht="13.2" spans="1:26">
      <c r="A552" s="151"/>
      <c r="B552" s="149"/>
      <c r="C552" s="149"/>
      <c r="D552" s="149"/>
      <c r="E552" s="149"/>
      <c r="F552" s="149"/>
      <c r="G552" s="149"/>
      <c r="H552" s="150"/>
      <c r="I552" s="150"/>
      <c r="J552" s="137"/>
      <c r="K552" s="137"/>
      <c r="L552" s="137"/>
      <c r="M552" s="137"/>
      <c r="N552" s="137"/>
      <c r="O552" s="137"/>
      <c r="P552" s="137"/>
      <c r="Q552" s="137"/>
      <c r="R552" s="137"/>
      <c r="S552" s="137"/>
      <c r="T552" s="137"/>
      <c r="U552" s="137"/>
      <c r="V552" s="137"/>
      <c r="W552" s="137"/>
      <c r="X552" s="137"/>
      <c r="Y552" s="137"/>
      <c r="Z552" s="137"/>
    </row>
    <row r="553" ht="13.2" spans="1:26">
      <c r="A553" s="151"/>
      <c r="B553" s="149"/>
      <c r="C553" s="149"/>
      <c r="D553" s="149"/>
      <c r="E553" s="149"/>
      <c r="F553" s="149"/>
      <c r="G553" s="149"/>
      <c r="H553" s="150"/>
      <c r="I553" s="150"/>
      <c r="J553" s="137"/>
      <c r="K553" s="137"/>
      <c r="L553" s="137"/>
      <c r="M553" s="137"/>
      <c r="N553" s="137"/>
      <c r="O553" s="137"/>
      <c r="P553" s="137"/>
      <c r="Q553" s="137"/>
      <c r="R553" s="137"/>
      <c r="S553" s="137"/>
      <c r="T553" s="137"/>
      <c r="U553" s="137"/>
      <c r="V553" s="137"/>
      <c r="W553" s="137"/>
      <c r="X553" s="137"/>
      <c r="Y553" s="137"/>
      <c r="Z553" s="137"/>
    </row>
    <row r="554" ht="13.2" spans="1:26">
      <c r="A554" s="151"/>
      <c r="B554" s="149"/>
      <c r="C554" s="149"/>
      <c r="D554" s="149"/>
      <c r="E554" s="149"/>
      <c r="F554" s="149"/>
      <c r="G554" s="149"/>
      <c r="H554" s="150"/>
      <c r="I554" s="150"/>
      <c r="J554" s="137"/>
      <c r="K554" s="137"/>
      <c r="L554" s="137"/>
      <c r="M554" s="137"/>
      <c r="N554" s="137"/>
      <c r="O554" s="137"/>
      <c r="P554" s="137"/>
      <c r="Q554" s="137"/>
      <c r="R554" s="137"/>
      <c r="S554" s="137"/>
      <c r="T554" s="137"/>
      <c r="U554" s="137"/>
      <c r="V554" s="137"/>
      <c r="W554" s="137"/>
      <c r="X554" s="137"/>
      <c r="Y554" s="137"/>
      <c r="Z554" s="137"/>
    </row>
    <row r="555" ht="13.2" spans="1:26">
      <c r="A555" s="151"/>
      <c r="B555" s="149"/>
      <c r="C555" s="149"/>
      <c r="D555" s="149"/>
      <c r="E555" s="149"/>
      <c r="F555" s="149"/>
      <c r="G555" s="149"/>
      <c r="H555" s="150"/>
      <c r="I555" s="150"/>
      <c r="J555" s="137"/>
      <c r="K555" s="137"/>
      <c r="L555" s="137"/>
      <c r="M555" s="137"/>
      <c r="N555" s="137"/>
      <c r="O555" s="137"/>
      <c r="P555" s="137"/>
      <c r="Q555" s="137"/>
      <c r="R555" s="137"/>
      <c r="S555" s="137"/>
      <c r="T555" s="137"/>
      <c r="U555" s="137"/>
      <c r="V555" s="137"/>
      <c r="W555" s="137"/>
      <c r="X555" s="137"/>
      <c r="Y555" s="137"/>
      <c r="Z555" s="137"/>
    </row>
    <row r="556" ht="13.2" spans="1:26">
      <c r="A556" s="151"/>
      <c r="B556" s="149"/>
      <c r="C556" s="149"/>
      <c r="D556" s="149"/>
      <c r="E556" s="149"/>
      <c r="F556" s="149"/>
      <c r="G556" s="149"/>
      <c r="H556" s="150"/>
      <c r="I556" s="150"/>
      <c r="J556" s="137"/>
      <c r="K556" s="137"/>
      <c r="L556" s="137"/>
      <c r="M556" s="137"/>
      <c r="N556" s="137"/>
      <c r="O556" s="137"/>
      <c r="P556" s="137"/>
      <c r="Q556" s="137"/>
      <c r="R556" s="137"/>
      <c r="S556" s="137"/>
      <c r="T556" s="137"/>
      <c r="U556" s="137"/>
      <c r="V556" s="137"/>
      <c r="W556" s="137"/>
      <c r="X556" s="137"/>
      <c r="Y556" s="137"/>
      <c r="Z556" s="137"/>
    </row>
    <row r="557" ht="13.2" spans="1:26">
      <c r="A557" s="151"/>
      <c r="B557" s="149"/>
      <c r="C557" s="149"/>
      <c r="D557" s="149"/>
      <c r="E557" s="149"/>
      <c r="F557" s="149"/>
      <c r="G557" s="149"/>
      <c r="H557" s="150"/>
      <c r="I557" s="150"/>
      <c r="J557" s="137"/>
      <c r="K557" s="137"/>
      <c r="L557" s="137"/>
      <c r="M557" s="137"/>
      <c r="N557" s="137"/>
      <c r="O557" s="137"/>
      <c r="P557" s="137"/>
      <c r="Q557" s="137"/>
      <c r="R557" s="137"/>
      <c r="S557" s="137"/>
      <c r="T557" s="137"/>
      <c r="U557" s="137"/>
      <c r="V557" s="137"/>
      <c r="W557" s="137"/>
      <c r="X557" s="137"/>
      <c r="Y557" s="137"/>
      <c r="Z557" s="137"/>
    </row>
    <row r="558" ht="13.2" spans="1:26">
      <c r="A558" s="151"/>
      <c r="B558" s="149"/>
      <c r="C558" s="149"/>
      <c r="D558" s="149"/>
      <c r="E558" s="149"/>
      <c r="F558" s="149"/>
      <c r="G558" s="149"/>
      <c r="H558" s="150"/>
      <c r="I558" s="150"/>
      <c r="J558" s="137"/>
      <c r="K558" s="137"/>
      <c r="L558" s="137"/>
      <c r="M558" s="137"/>
      <c r="N558" s="137"/>
      <c r="O558" s="137"/>
      <c r="P558" s="137"/>
      <c r="Q558" s="137"/>
      <c r="R558" s="137"/>
      <c r="S558" s="137"/>
      <c r="T558" s="137"/>
      <c r="U558" s="137"/>
      <c r="V558" s="137"/>
      <c r="W558" s="137"/>
      <c r="X558" s="137"/>
      <c r="Y558" s="137"/>
      <c r="Z558" s="137"/>
    </row>
    <row r="559" ht="13.2" spans="1:26">
      <c r="A559" s="151"/>
      <c r="B559" s="149"/>
      <c r="C559" s="149"/>
      <c r="D559" s="149"/>
      <c r="E559" s="149"/>
      <c r="F559" s="149"/>
      <c r="G559" s="149"/>
      <c r="H559" s="150"/>
      <c r="I559" s="150"/>
      <c r="J559" s="137"/>
      <c r="K559" s="137"/>
      <c r="L559" s="137"/>
      <c r="M559" s="137"/>
      <c r="N559" s="137"/>
      <c r="O559" s="137"/>
      <c r="P559" s="137"/>
      <c r="Q559" s="137"/>
      <c r="R559" s="137"/>
      <c r="S559" s="137"/>
      <c r="T559" s="137"/>
      <c r="U559" s="137"/>
      <c r="V559" s="137"/>
      <c r="W559" s="137"/>
      <c r="X559" s="137"/>
      <c r="Y559" s="137"/>
      <c r="Z559" s="137"/>
    </row>
    <row r="560" ht="13.2" spans="1:26">
      <c r="A560" s="151"/>
      <c r="B560" s="149"/>
      <c r="C560" s="149"/>
      <c r="D560" s="149"/>
      <c r="E560" s="149"/>
      <c r="F560" s="149"/>
      <c r="G560" s="149"/>
      <c r="H560" s="150"/>
      <c r="I560" s="150"/>
      <c r="J560" s="137"/>
      <c r="K560" s="137"/>
      <c r="L560" s="137"/>
      <c r="M560" s="137"/>
      <c r="N560" s="137"/>
      <c r="O560" s="137"/>
      <c r="P560" s="137"/>
      <c r="Q560" s="137"/>
      <c r="R560" s="137"/>
      <c r="S560" s="137"/>
      <c r="T560" s="137"/>
      <c r="U560" s="137"/>
      <c r="V560" s="137"/>
      <c r="W560" s="137"/>
      <c r="X560" s="137"/>
      <c r="Y560" s="137"/>
      <c r="Z560" s="137"/>
    </row>
    <row r="561" ht="13.2" spans="1:26">
      <c r="A561" s="151"/>
      <c r="B561" s="149"/>
      <c r="C561" s="149"/>
      <c r="D561" s="149"/>
      <c r="E561" s="149"/>
      <c r="F561" s="149"/>
      <c r="G561" s="149"/>
      <c r="H561" s="150"/>
      <c r="I561" s="150"/>
      <c r="J561" s="137"/>
      <c r="K561" s="137"/>
      <c r="L561" s="137"/>
      <c r="M561" s="137"/>
      <c r="N561" s="137"/>
      <c r="O561" s="137"/>
      <c r="P561" s="137"/>
      <c r="Q561" s="137"/>
      <c r="R561" s="137"/>
      <c r="S561" s="137"/>
      <c r="T561" s="137"/>
      <c r="U561" s="137"/>
      <c r="V561" s="137"/>
      <c r="W561" s="137"/>
      <c r="X561" s="137"/>
      <c r="Y561" s="137"/>
      <c r="Z561" s="137"/>
    </row>
    <row r="562" ht="13.2" spans="1:26">
      <c r="A562" s="151"/>
      <c r="B562" s="149"/>
      <c r="C562" s="149"/>
      <c r="D562" s="149"/>
      <c r="E562" s="149"/>
      <c r="F562" s="149"/>
      <c r="G562" s="149"/>
      <c r="H562" s="150"/>
      <c r="I562" s="150"/>
      <c r="J562" s="137"/>
      <c r="K562" s="137"/>
      <c r="L562" s="137"/>
      <c r="M562" s="137"/>
      <c r="N562" s="137"/>
      <c r="O562" s="137"/>
      <c r="P562" s="137"/>
      <c r="Q562" s="137"/>
      <c r="R562" s="137"/>
      <c r="S562" s="137"/>
      <c r="T562" s="137"/>
      <c r="U562" s="137"/>
      <c r="V562" s="137"/>
      <c r="W562" s="137"/>
      <c r="X562" s="137"/>
      <c r="Y562" s="137"/>
      <c r="Z562" s="137"/>
    </row>
    <row r="563" ht="13.2" spans="1:26">
      <c r="A563" s="151"/>
      <c r="B563" s="149"/>
      <c r="C563" s="149"/>
      <c r="D563" s="149"/>
      <c r="E563" s="149"/>
      <c r="F563" s="149"/>
      <c r="G563" s="149"/>
      <c r="H563" s="150"/>
      <c r="I563" s="150"/>
      <c r="J563" s="137"/>
      <c r="K563" s="137"/>
      <c r="L563" s="137"/>
      <c r="M563" s="137"/>
      <c r="N563" s="137"/>
      <c r="O563" s="137"/>
      <c r="P563" s="137"/>
      <c r="Q563" s="137"/>
      <c r="R563" s="137"/>
      <c r="S563" s="137"/>
      <c r="T563" s="137"/>
      <c r="U563" s="137"/>
      <c r="V563" s="137"/>
      <c r="W563" s="137"/>
      <c r="X563" s="137"/>
      <c r="Y563" s="137"/>
      <c r="Z563" s="137"/>
    </row>
    <row r="564" ht="13.2" spans="1:26">
      <c r="A564" s="151"/>
      <c r="B564" s="149"/>
      <c r="C564" s="149"/>
      <c r="D564" s="149"/>
      <c r="E564" s="149"/>
      <c r="F564" s="149"/>
      <c r="G564" s="149"/>
      <c r="H564" s="150"/>
      <c r="I564" s="150"/>
      <c r="J564" s="137"/>
      <c r="K564" s="137"/>
      <c r="L564" s="137"/>
      <c r="M564" s="137"/>
      <c r="N564" s="137"/>
      <c r="O564" s="137"/>
      <c r="P564" s="137"/>
      <c r="Q564" s="137"/>
      <c r="R564" s="137"/>
      <c r="S564" s="137"/>
      <c r="T564" s="137"/>
      <c r="U564" s="137"/>
      <c r="V564" s="137"/>
      <c r="W564" s="137"/>
      <c r="X564" s="137"/>
      <c r="Y564" s="137"/>
      <c r="Z564" s="137"/>
    </row>
    <row r="565" ht="13.2" spans="1:26">
      <c r="A565" s="151"/>
      <c r="B565" s="149"/>
      <c r="C565" s="149"/>
      <c r="D565" s="149"/>
      <c r="E565" s="149"/>
      <c r="F565" s="149"/>
      <c r="G565" s="149"/>
      <c r="H565" s="150"/>
      <c r="I565" s="150"/>
      <c r="J565" s="137"/>
      <c r="K565" s="137"/>
      <c r="L565" s="137"/>
      <c r="M565" s="137"/>
      <c r="N565" s="137"/>
      <c r="O565" s="137"/>
      <c r="P565" s="137"/>
      <c r="Q565" s="137"/>
      <c r="R565" s="137"/>
      <c r="S565" s="137"/>
      <c r="T565" s="137"/>
      <c r="U565" s="137"/>
      <c r="V565" s="137"/>
      <c r="W565" s="137"/>
      <c r="X565" s="137"/>
      <c r="Y565" s="137"/>
      <c r="Z565" s="137"/>
    </row>
    <row r="566" ht="13.2" spans="1:26">
      <c r="A566" s="151"/>
      <c r="B566" s="149"/>
      <c r="C566" s="149"/>
      <c r="D566" s="149"/>
      <c r="E566" s="149"/>
      <c r="F566" s="149"/>
      <c r="G566" s="149"/>
      <c r="H566" s="150"/>
      <c r="I566" s="150"/>
      <c r="J566" s="137"/>
      <c r="K566" s="137"/>
      <c r="L566" s="137"/>
      <c r="M566" s="137"/>
      <c r="N566" s="137"/>
      <c r="O566" s="137"/>
      <c r="P566" s="137"/>
      <c r="Q566" s="137"/>
      <c r="R566" s="137"/>
      <c r="S566" s="137"/>
      <c r="T566" s="137"/>
      <c r="U566" s="137"/>
      <c r="V566" s="137"/>
      <c r="W566" s="137"/>
      <c r="X566" s="137"/>
      <c r="Y566" s="137"/>
      <c r="Z566" s="137"/>
    </row>
    <row r="567" ht="13.2" spans="1:26">
      <c r="A567" s="151"/>
      <c r="B567" s="149"/>
      <c r="C567" s="149"/>
      <c r="D567" s="149"/>
      <c r="E567" s="149"/>
      <c r="F567" s="149"/>
      <c r="G567" s="149"/>
      <c r="H567" s="150"/>
      <c r="I567" s="150"/>
      <c r="J567" s="137"/>
      <c r="K567" s="137"/>
      <c r="L567" s="137"/>
      <c r="M567" s="137"/>
      <c r="N567" s="137"/>
      <c r="O567" s="137"/>
      <c r="P567" s="137"/>
      <c r="Q567" s="137"/>
      <c r="R567" s="137"/>
      <c r="S567" s="137"/>
      <c r="T567" s="137"/>
      <c r="U567" s="137"/>
      <c r="V567" s="137"/>
      <c r="W567" s="137"/>
      <c r="X567" s="137"/>
      <c r="Y567" s="137"/>
      <c r="Z567" s="137"/>
    </row>
    <row r="568" ht="13.2" spans="1:26">
      <c r="A568" s="151"/>
      <c r="B568" s="149"/>
      <c r="C568" s="149"/>
      <c r="D568" s="149"/>
      <c r="E568" s="149"/>
      <c r="F568" s="149"/>
      <c r="G568" s="149"/>
      <c r="H568" s="150"/>
      <c r="I568" s="150"/>
      <c r="J568" s="137"/>
      <c r="K568" s="137"/>
      <c r="L568" s="137"/>
      <c r="M568" s="137"/>
      <c r="N568" s="137"/>
      <c r="O568" s="137"/>
      <c r="P568" s="137"/>
      <c r="Q568" s="137"/>
      <c r="R568" s="137"/>
      <c r="S568" s="137"/>
      <c r="T568" s="137"/>
      <c r="U568" s="137"/>
      <c r="V568" s="137"/>
      <c r="W568" s="137"/>
      <c r="X568" s="137"/>
      <c r="Y568" s="137"/>
      <c r="Z568" s="137"/>
    </row>
    <row r="569" ht="13.2" spans="1:26">
      <c r="A569" s="151"/>
      <c r="B569" s="149"/>
      <c r="C569" s="149"/>
      <c r="D569" s="149"/>
      <c r="E569" s="149"/>
      <c r="F569" s="149"/>
      <c r="G569" s="149"/>
      <c r="H569" s="150"/>
      <c r="I569" s="150"/>
      <c r="J569" s="137"/>
      <c r="K569" s="137"/>
      <c r="L569" s="137"/>
      <c r="M569" s="137"/>
      <c r="N569" s="137"/>
      <c r="O569" s="137"/>
      <c r="P569" s="137"/>
      <c r="Q569" s="137"/>
      <c r="R569" s="137"/>
      <c r="S569" s="137"/>
      <c r="T569" s="137"/>
      <c r="U569" s="137"/>
      <c r="V569" s="137"/>
      <c r="W569" s="137"/>
      <c r="X569" s="137"/>
      <c r="Y569" s="137"/>
      <c r="Z569" s="137"/>
    </row>
    <row r="570" ht="13.2" spans="1:26">
      <c r="A570" s="151"/>
      <c r="B570" s="149"/>
      <c r="C570" s="149"/>
      <c r="D570" s="149"/>
      <c r="E570" s="149"/>
      <c r="F570" s="149"/>
      <c r="G570" s="149"/>
      <c r="H570" s="150"/>
      <c r="I570" s="150"/>
      <c r="J570" s="137"/>
      <c r="K570" s="137"/>
      <c r="L570" s="137"/>
      <c r="M570" s="137"/>
      <c r="N570" s="137"/>
      <c r="O570" s="137"/>
      <c r="P570" s="137"/>
      <c r="Q570" s="137"/>
      <c r="R570" s="137"/>
      <c r="S570" s="137"/>
      <c r="T570" s="137"/>
      <c r="U570" s="137"/>
      <c r="V570" s="137"/>
      <c r="W570" s="137"/>
      <c r="X570" s="137"/>
      <c r="Y570" s="137"/>
      <c r="Z570" s="137"/>
    </row>
    <row r="571" ht="13.2" spans="1:26">
      <c r="A571" s="151"/>
      <c r="B571" s="149"/>
      <c r="C571" s="149"/>
      <c r="D571" s="149"/>
      <c r="E571" s="149"/>
      <c r="F571" s="149"/>
      <c r="G571" s="149"/>
      <c r="H571" s="150"/>
      <c r="I571" s="150"/>
      <c r="J571" s="137"/>
      <c r="K571" s="137"/>
      <c r="L571" s="137"/>
      <c r="M571" s="137"/>
      <c r="N571" s="137"/>
      <c r="O571" s="137"/>
      <c r="P571" s="137"/>
      <c r="Q571" s="137"/>
      <c r="R571" s="137"/>
      <c r="S571" s="137"/>
      <c r="T571" s="137"/>
      <c r="U571" s="137"/>
      <c r="V571" s="137"/>
      <c r="W571" s="137"/>
      <c r="X571" s="137"/>
      <c r="Y571" s="137"/>
      <c r="Z571" s="137"/>
    </row>
    <row r="572" ht="13.2" spans="1:26">
      <c r="A572" s="151"/>
      <c r="B572" s="149"/>
      <c r="C572" s="149"/>
      <c r="D572" s="149"/>
      <c r="E572" s="149"/>
      <c r="F572" s="149"/>
      <c r="G572" s="149"/>
      <c r="H572" s="150"/>
      <c r="I572" s="150"/>
      <c r="J572" s="137"/>
      <c r="K572" s="137"/>
      <c r="L572" s="137"/>
      <c r="M572" s="137"/>
      <c r="N572" s="137"/>
      <c r="O572" s="137"/>
      <c r="P572" s="137"/>
      <c r="Q572" s="137"/>
      <c r="R572" s="137"/>
      <c r="S572" s="137"/>
      <c r="T572" s="137"/>
      <c r="U572" s="137"/>
      <c r="V572" s="137"/>
      <c r="W572" s="137"/>
      <c r="X572" s="137"/>
      <c r="Y572" s="137"/>
      <c r="Z572" s="137"/>
    </row>
    <row r="573" ht="13.2" spans="1:26">
      <c r="A573" s="151"/>
      <c r="B573" s="149"/>
      <c r="C573" s="149"/>
      <c r="D573" s="149"/>
      <c r="E573" s="149"/>
      <c r="F573" s="149"/>
      <c r="G573" s="149"/>
      <c r="H573" s="150"/>
      <c r="I573" s="150"/>
      <c r="J573" s="137"/>
      <c r="K573" s="137"/>
      <c r="L573" s="137"/>
      <c r="M573" s="137"/>
      <c r="N573" s="137"/>
      <c r="O573" s="137"/>
      <c r="P573" s="137"/>
      <c r="Q573" s="137"/>
      <c r="R573" s="137"/>
      <c r="S573" s="137"/>
      <c r="T573" s="137"/>
      <c r="U573" s="137"/>
      <c r="V573" s="137"/>
      <c r="W573" s="137"/>
      <c r="X573" s="137"/>
      <c r="Y573" s="137"/>
      <c r="Z573" s="137"/>
    </row>
    <row r="574" ht="13.2" spans="1:26">
      <c r="A574" s="151"/>
      <c r="B574" s="149"/>
      <c r="C574" s="149"/>
      <c r="D574" s="149"/>
      <c r="E574" s="149"/>
      <c r="F574" s="149"/>
      <c r="G574" s="149"/>
      <c r="H574" s="150"/>
      <c r="I574" s="150"/>
      <c r="J574" s="137"/>
      <c r="K574" s="137"/>
      <c r="L574" s="137"/>
      <c r="M574" s="137"/>
      <c r="N574" s="137"/>
      <c r="O574" s="137"/>
      <c r="P574" s="137"/>
      <c r="Q574" s="137"/>
      <c r="R574" s="137"/>
      <c r="S574" s="137"/>
      <c r="T574" s="137"/>
      <c r="U574" s="137"/>
      <c r="V574" s="137"/>
      <c r="W574" s="137"/>
      <c r="X574" s="137"/>
      <c r="Y574" s="137"/>
      <c r="Z574" s="137"/>
    </row>
    <row r="575" ht="13.2" spans="1:26">
      <c r="A575" s="151"/>
      <c r="B575" s="149"/>
      <c r="C575" s="149"/>
      <c r="D575" s="149"/>
      <c r="E575" s="149"/>
      <c r="F575" s="149"/>
      <c r="G575" s="149"/>
      <c r="H575" s="150"/>
      <c r="I575" s="150"/>
      <c r="J575" s="137"/>
      <c r="K575" s="137"/>
      <c r="L575" s="137"/>
      <c r="M575" s="137"/>
      <c r="N575" s="137"/>
      <c r="O575" s="137"/>
      <c r="P575" s="137"/>
      <c r="Q575" s="137"/>
      <c r="R575" s="137"/>
      <c r="S575" s="137"/>
      <c r="T575" s="137"/>
      <c r="U575" s="137"/>
      <c r="V575" s="137"/>
      <c r="W575" s="137"/>
      <c r="X575" s="137"/>
      <c r="Y575" s="137"/>
      <c r="Z575" s="137"/>
    </row>
    <row r="576" ht="13.2" spans="1:26">
      <c r="A576" s="151"/>
      <c r="B576" s="149"/>
      <c r="C576" s="149"/>
      <c r="D576" s="149"/>
      <c r="E576" s="149"/>
      <c r="F576" s="149"/>
      <c r="G576" s="149"/>
      <c r="H576" s="150"/>
      <c r="I576" s="150"/>
      <c r="J576" s="137"/>
      <c r="K576" s="137"/>
      <c r="L576" s="137"/>
      <c r="M576" s="137"/>
      <c r="N576" s="137"/>
      <c r="O576" s="137"/>
      <c r="P576" s="137"/>
      <c r="Q576" s="137"/>
      <c r="R576" s="137"/>
      <c r="S576" s="137"/>
      <c r="T576" s="137"/>
      <c r="U576" s="137"/>
      <c r="V576" s="137"/>
      <c r="W576" s="137"/>
      <c r="X576" s="137"/>
      <c r="Y576" s="137"/>
      <c r="Z576" s="137"/>
    </row>
    <row r="577" ht="13.2" spans="1:26">
      <c r="A577" s="151"/>
      <c r="B577" s="149"/>
      <c r="C577" s="149"/>
      <c r="D577" s="149"/>
      <c r="E577" s="149"/>
      <c r="F577" s="149"/>
      <c r="G577" s="149"/>
      <c r="H577" s="150"/>
      <c r="I577" s="150"/>
      <c r="J577" s="137"/>
      <c r="K577" s="137"/>
      <c r="L577" s="137"/>
      <c r="M577" s="137"/>
      <c r="N577" s="137"/>
      <c r="O577" s="137"/>
      <c r="P577" s="137"/>
      <c r="Q577" s="137"/>
      <c r="R577" s="137"/>
      <c r="S577" s="137"/>
      <c r="T577" s="137"/>
      <c r="U577" s="137"/>
      <c r="V577" s="137"/>
      <c r="W577" s="137"/>
      <c r="X577" s="137"/>
      <c r="Y577" s="137"/>
      <c r="Z577" s="137"/>
    </row>
    <row r="578" ht="13.2" spans="1:26">
      <c r="A578" s="151"/>
      <c r="B578" s="149"/>
      <c r="C578" s="149"/>
      <c r="D578" s="149"/>
      <c r="E578" s="149"/>
      <c r="F578" s="149"/>
      <c r="G578" s="149"/>
      <c r="H578" s="150"/>
      <c r="I578" s="150"/>
      <c r="J578" s="137"/>
      <c r="K578" s="137"/>
      <c r="L578" s="137"/>
      <c r="M578" s="137"/>
      <c r="N578" s="137"/>
      <c r="O578" s="137"/>
      <c r="P578" s="137"/>
      <c r="Q578" s="137"/>
      <c r="R578" s="137"/>
      <c r="S578" s="137"/>
      <c r="T578" s="137"/>
      <c r="U578" s="137"/>
      <c r="V578" s="137"/>
      <c r="W578" s="137"/>
      <c r="X578" s="137"/>
      <c r="Y578" s="137"/>
      <c r="Z578" s="137"/>
    </row>
    <row r="579" ht="13.2" spans="1:26">
      <c r="A579" s="151"/>
      <c r="B579" s="149"/>
      <c r="C579" s="149"/>
      <c r="D579" s="149"/>
      <c r="E579" s="149"/>
      <c r="F579" s="149"/>
      <c r="G579" s="149"/>
      <c r="H579" s="150"/>
      <c r="I579" s="150"/>
      <c r="J579" s="137"/>
      <c r="K579" s="137"/>
      <c r="L579" s="137"/>
      <c r="M579" s="137"/>
      <c r="N579" s="137"/>
      <c r="O579" s="137"/>
      <c r="P579" s="137"/>
      <c r="Q579" s="137"/>
      <c r="R579" s="137"/>
      <c r="S579" s="137"/>
      <c r="T579" s="137"/>
      <c r="U579" s="137"/>
      <c r="V579" s="137"/>
      <c r="W579" s="137"/>
      <c r="X579" s="137"/>
      <c r="Y579" s="137"/>
      <c r="Z579" s="137"/>
    </row>
    <row r="580" ht="13.2" spans="1:26">
      <c r="A580" s="151"/>
      <c r="B580" s="149"/>
      <c r="C580" s="149"/>
      <c r="D580" s="149"/>
      <c r="E580" s="149"/>
      <c r="F580" s="149"/>
      <c r="G580" s="149"/>
      <c r="H580" s="150"/>
      <c r="I580" s="150"/>
      <c r="J580" s="137"/>
      <c r="K580" s="137"/>
      <c r="L580" s="137"/>
      <c r="M580" s="137"/>
      <c r="N580" s="137"/>
      <c r="O580" s="137"/>
      <c r="P580" s="137"/>
      <c r="Q580" s="137"/>
      <c r="R580" s="137"/>
      <c r="S580" s="137"/>
      <c r="T580" s="137"/>
      <c r="U580" s="137"/>
      <c r="V580" s="137"/>
      <c r="W580" s="137"/>
      <c r="X580" s="137"/>
      <c r="Y580" s="137"/>
      <c r="Z580" s="137"/>
    </row>
    <row r="581" ht="13.2" spans="1:26">
      <c r="A581" s="151"/>
      <c r="B581" s="149"/>
      <c r="C581" s="149"/>
      <c r="D581" s="149"/>
      <c r="E581" s="149"/>
      <c r="F581" s="149"/>
      <c r="G581" s="149"/>
      <c r="H581" s="150"/>
      <c r="I581" s="150"/>
      <c r="J581" s="137"/>
      <c r="K581" s="137"/>
      <c r="L581" s="137"/>
      <c r="M581" s="137"/>
      <c r="N581" s="137"/>
      <c r="O581" s="137"/>
      <c r="P581" s="137"/>
      <c r="Q581" s="137"/>
      <c r="R581" s="137"/>
      <c r="S581" s="137"/>
      <c r="T581" s="137"/>
      <c r="U581" s="137"/>
      <c r="V581" s="137"/>
      <c r="W581" s="137"/>
      <c r="X581" s="137"/>
      <c r="Y581" s="137"/>
      <c r="Z581" s="137"/>
    </row>
    <row r="582" ht="13.2" spans="1:26">
      <c r="A582" s="151"/>
      <c r="B582" s="149"/>
      <c r="C582" s="149"/>
      <c r="D582" s="149"/>
      <c r="E582" s="149"/>
      <c r="F582" s="149"/>
      <c r="G582" s="149"/>
      <c r="H582" s="150"/>
      <c r="I582" s="150"/>
      <c r="J582" s="137"/>
      <c r="K582" s="137"/>
      <c r="L582" s="137"/>
      <c r="M582" s="137"/>
      <c r="N582" s="137"/>
      <c r="O582" s="137"/>
      <c r="P582" s="137"/>
      <c r="Q582" s="137"/>
      <c r="R582" s="137"/>
      <c r="S582" s="137"/>
      <c r="T582" s="137"/>
      <c r="U582" s="137"/>
      <c r="V582" s="137"/>
      <c r="W582" s="137"/>
      <c r="X582" s="137"/>
      <c r="Y582" s="137"/>
      <c r="Z582" s="137"/>
    </row>
    <row r="583" ht="13.2" spans="1:26">
      <c r="A583" s="151"/>
      <c r="B583" s="149"/>
      <c r="C583" s="149"/>
      <c r="D583" s="149"/>
      <c r="E583" s="149"/>
      <c r="F583" s="149"/>
      <c r="G583" s="149"/>
      <c r="H583" s="150"/>
      <c r="I583" s="150"/>
      <c r="J583" s="137"/>
      <c r="K583" s="137"/>
      <c r="L583" s="137"/>
      <c r="M583" s="137"/>
      <c r="N583" s="137"/>
      <c r="O583" s="137"/>
      <c r="P583" s="137"/>
      <c r="Q583" s="137"/>
      <c r="R583" s="137"/>
      <c r="S583" s="137"/>
      <c r="T583" s="137"/>
      <c r="U583" s="137"/>
      <c r="V583" s="137"/>
      <c r="W583" s="137"/>
      <c r="X583" s="137"/>
      <c r="Y583" s="137"/>
      <c r="Z583" s="137"/>
    </row>
    <row r="584" ht="13.2" spans="1:26">
      <c r="A584" s="151"/>
      <c r="B584" s="149"/>
      <c r="C584" s="149"/>
      <c r="D584" s="149"/>
      <c r="E584" s="149"/>
      <c r="F584" s="149"/>
      <c r="G584" s="149"/>
      <c r="H584" s="150"/>
      <c r="I584" s="150"/>
      <c r="J584" s="137"/>
      <c r="K584" s="137"/>
      <c r="L584" s="137"/>
      <c r="M584" s="137"/>
      <c r="N584" s="137"/>
      <c r="O584" s="137"/>
      <c r="P584" s="137"/>
      <c r="Q584" s="137"/>
      <c r="R584" s="137"/>
      <c r="S584" s="137"/>
      <c r="T584" s="137"/>
      <c r="U584" s="137"/>
      <c r="V584" s="137"/>
      <c r="W584" s="137"/>
      <c r="X584" s="137"/>
      <c r="Y584" s="137"/>
      <c r="Z584" s="137"/>
    </row>
    <row r="585" ht="13.2" spans="1:26">
      <c r="A585" s="151"/>
      <c r="B585" s="149"/>
      <c r="C585" s="149"/>
      <c r="D585" s="149"/>
      <c r="E585" s="149"/>
      <c r="F585" s="149"/>
      <c r="G585" s="149"/>
      <c r="H585" s="150"/>
      <c r="I585" s="150"/>
      <c r="J585" s="137"/>
      <c r="K585" s="137"/>
      <c r="L585" s="137"/>
      <c r="M585" s="137"/>
      <c r="N585" s="137"/>
      <c r="O585" s="137"/>
      <c r="P585" s="137"/>
      <c r="Q585" s="137"/>
      <c r="R585" s="137"/>
      <c r="S585" s="137"/>
      <c r="T585" s="137"/>
      <c r="U585" s="137"/>
      <c r="V585" s="137"/>
      <c r="W585" s="137"/>
      <c r="X585" s="137"/>
      <c r="Y585" s="137"/>
      <c r="Z585" s="137"/>
    </row>
    <row r="586" ht="13.2" spans="1:26">
      <c r="A586" s="151"/>
      <c r="B586" s="149"/>
      <c r="C586" s="149"/>
      <c r="D586" s="149"/>
      <c r="E586" s="149"/>
      <c r="F586" s="149"/>
      <c r="G586" s="149"/>
      <c r="H586" s="150"/>
      <c r="I586" s="150"/>
      <c r="J586" s="137"/>
      <c r="K586" s="137"/>
      <c r="L586" s="137"/>
      <c r="M586" s="137"/>
      <c r="N586" s="137"/>
      <c r="O586" s="137"/>
      <c r="P586" s="137"/>
      <c r="Q586" s="137"/>
      <c r="R586" s="137"/>
      <c r="S586" s="137"/>
      <c r="T586" s="137"/>
      <c r="U586" s="137"/>
      <c r="V586" s="137"/>
      <c r="W586" s="137"/>
      <c r="X586" s="137"/>
      <c r="Y586" s="137"/>
      <c r="Z586" s="137"/>
    </row>
    <row r="587" ht="13.2" spans="1:26">
      <c r="A587" s="151"/>
      <c r="B587" s="149"/>
      <c r="C587" s="149"/>
      <c r="D587" s="149"/>
      <c r="E587" s="149"/>
      <c r="F587" s="149"/>
      <c r="G587" s="149"/>
      <c r="H587" s="150"/>
      <c r="I587" s="150"/>
      <c r="J587" s="137"/>
      <c r="K587" s="137"/>
      <c r="L587" s="137"/>
      <c r="M587" s="137"/>
      <c r="N587" s="137"/>
      <c r="O587" s="137"/>
      <c r="P587" s="137"/>
      <c r="Q587" s="137"/>
      <c r="R587" s="137"/>
      <c r="S587" s="137"/>
      <c r="T587" s="137"/>
      <c r="U587" s="137"/>
      <c r="V587" s="137"/>
      <c r="W587" s="137"/>
      <c r="X587" s="137"/>
      <c r="Y587" s="137"/>
      <c r="Z587" s="137"/>
    </row>
    <row r="588" ht="13.2" spans="1:26">
      <c r="A588" s="151"/>
      <c r="B588" s="149"/>
      <c r="C588" s="149"/>
      <c r="D588" s="149"/>
      <c r="E588" s="149"/>
      <c r="F588" s="149"/>
      <c r="G588" s="149"/>
      <c r="H588" s="150"/>
      <c r="I588" s="150"/>
      <c r="J588" s="137"/>
      <c r="K588" s="137"/>
      <c r="L588" s="137"/>
      <c r="M588" s="137"/>
      <c r="N588" s="137"/>
      <c r="O588" s="137"/>
      <c r="P588" s="137"/>
      <c r="Q588" s="137"/>
      <c r="R588" s="137"/>
      <c r="S588" s="137"/>
      <c r="T588" s="137"/>
      <c r="U588" s="137"/>
      <c r="V588" s="137"/>
      <c r="W588" s="137"/>
      <c r="X588" s="137"/>
      <c r="Y588" s="137"/>
      <c r="Z588" s="137"/>
    </row>
    <row r="589" ht="13.2" spans="1:26">
      <c r="A589" s="151"/>
      <c r="B589" s="149"/>
      <c r="C589" s="149"/>
      <c r="D589" s="149"/>
      <c r="E589" s="149"/>
      <c r="F589" s="149"/>
      <c r="G589" s="149"/>
      <c r="H589" s="150"/>
      <c r="I589" s="150"/>
      <c r="J589" s="137"/>
      <c r="K589" s="137"/>
      <c r="L589" s="137"/>
      <c r="M589" s="137"/>
      <c r="N589" s="137"/>
      <c r="O589" s="137"/>
      <c r="P589" s="137"/>
      <c r="Q589" s="137"/>
      <c r="R589" s="137"/>
      <c r="S589" s="137"/>
      <c r="T589" s="137"/>
      <c r="U589" s="137"/>
      <c r="V589" s="137"/>
      <c r="W589" s="137"/>
      <c r="X589" s="137"/>
      <c r="Y589" s="137"/>
      <c r="Z589" s="137"/>
    </row>
    <row r="590" ht="13.2" spans="1:26">
      <c r="A590" s="151"/>
      <c r="B590" s="149"/>
      <c r="C590" s="149"/>
      <c r="D590" s="149"/>
      <c r="E590" s="149"/>
      <c r="F590" s="149"/>
      <c r="G590" s="149"/>
      <c r="H590" s="150"/>
      <c r="I590" s="150"/>
      <c r="J590" s="137"/>
      <c r="K590" s="137"/>
      <c r="L590" s="137"/>
      <c r="M590" s="137"/>
      <c r="N590" s="137"/>
      <c r="O590" s="137"/>
      <c r="P590" s="137"/>
      <c r="Q590" s="137"/>
      <c r="R590" s="137"/>
      <c r="S590" s="137"/>
      <c r="T590" s="137"/>
      <c r="U590" s="137"/>
      <c r="V590" s="137"/>
      <c r="W590" s="137"/>
      <c r="X590" s="137"/>
      <c r="Y590" s="137"/>
      <c r="Z590" s="137"/>
    </row>
    <row r="591" ht="13.2" spans="1:26">
      <c r="A591" s="151"/>
      <c r="B591" s="149"/>
      <c r="C591" s="149"/>
      <c r="D591" s="149"/>
      <c r="E591" s="149"/>
      <c r="F591" s="149"/>
      <c r="G591" s="149"/>
      <c r="H591" s="150"/>
      <c r="I591" s="150"/>
      <c r="J591" s="137"/>
      <c r="K591" s="137"/>
      <c r="L591" s="137"/>
      <c r="M591" s="137"/>
      <c r="N591" s="137"/>
      <c r="O591" s="137"/>
      <c r="P591" s="137"/>
      <c r="Q591" s="137"/>
      <c r="R591" s="137"/>
      <c r="S591" s="137"/>
      <c r="T591" s="137"/>
      <c r="U591" s="137"/>
      <c r="V591" s="137"/>
      <c r="W591" s="137"/>
      <c r="X591" s="137"/>
      <c r="Y591" s="137"/>
      <c r="Z591" s="137"/>
    </row>
    <row r="592" ht="13.2" spans="1:26">
      <c r="A592" s="151"/>
      <c r="B592" s="149"/>
      <c r="C592" s="149"/>
      <c r="D592" s="149"/>
      <c r="E592" s="149"/>
      <c r="F592" s="149"/>
      <c r="G592" s="149"/>
      <c r="H592" s="150"/>
      <c r="I592" s="150"/>
      <c r="J592" s="137"/>
      <c r="K592" s="137"/>
      <c r="L592" s="137"/>
      <c r="M592" s="137"/>
      <c r="N592" s="137"/>
      <c r="O592" s="137"/>
      <c r="P592" s="137"/>
      <c r="Q592" s="137"/>
      <c r="R592" s="137"/>
      <c r="S592" s="137"/>
      <c r="T592" s="137"/>
      <c r="U592" s="137"/>
      <c r="V592" s="137"/>
      <c r="W592" s="137"/>
      <c r="X592" s="137"/>
      <c r="Y592" s="137"/>
      <c r="Z592" s="137"/>
    </row>
    <row r="593" ht="13.2" spans="1:26">
      <c r="A593" s="151"/>
      <c r="B593" s="149"/>
      <c r="C593" s="149"/>
      <c r="D593" s="149"/>
      <c r="E593" s="149"/>
      <c r="F593" s="149"/>
      <c r="G593" s="149"/>
      <c r="H593" s="150"/>
      <c r="I593" s="150"/>
      <c r="J593" s="137"/>
      <c r="K593" s="137"/>
      <c r="L593" s="137"/>
      <c r="M593" s="137"/>
      <c r="N593" s="137"/>
      <c r="O593" s="137"/>
      <c r="P593" s="137"/>
      <c r="Q593" s="137"/>
      <c r="R593" s="137"/>
      <c r="S593" s="137"/>
      <c r="T593" s="137"/>
      <c r="U593" s="137"/>
      <c r="V593" s="137"/>
      <c r="W593" s="137"/>
      <c r="X593" s="137"/>
      <c r="Y593" s="137"/>
      <c r="Z593" s="137"/>
    </row>
    <row r="594" ht="13.2" spans="1:26">
      <c r="A594" s="151"/>
      <c r="B594" s="149"/>
      <c r="C594" s="149"/>
      <c r="D594" s="149"/>
      <c r="E594" s="149"/>
      <c r="F594" s="149"/>
      <c r="G594" s="149"/>
      <c r="H594" s="150"/>
      <c r="I594" s="150"/>
      <c r="J594" s="137"/>
      <c r="K594" s="137"/>
      <c r="L594" s="137"/>
      <c r="M594" s="137"/>
      <c r="N594" s="137"/>
      <c r="O594" s="137"/>
      <c r="P594" s="137"/>
      <c r="Q594" s="137"/>
      <c r="R594" s="137"/>
      <c r="S594" s="137"/>
      <c r="T594" s="137"/>
      <c r="U594" s="137"/>
      <c r="V594" s="137"/>
      <c r="W594" s="137"/>
      <c r="X594" s="137"/>
      <c r="Y594" s="137"/>
      <c r="Z594" s="137"/>
    </row>
    <row r="595" ht="13.2" spans="1:26">
      <c r="A595" s="151"/>
      <c r="B595" s="149"/>
      <c r="C595" s="149"/>
      <c r="D595" s="149"/>
      <c r="E595" s="149"/>
      <c r="F595" s="149"/>
      <c r="G595" s="149"/>
      <c r="H595" s="150"/>
      <c r="I595" s="150"/>
      <c r="J595" s="137"/>
      <c r="K595" s="137"/>
      <c r="L595" s="137"/>
      <c r="M595" s="137"/>
      <c r="N595" s="137"/>
      <c r="O595" s="137"/>
      <c r="P595" s="137"/>
      <c r="Q595" s="137"/>
      <c r="R595" s="137"/>
      <c r="S595" s="137"/>
      <c r="T595" s="137"/>
      <c r="U595" s="137"/>
      <c r="V595" s="137"/>
      <c r="W595" s="137"/>
      <c r="X595" s="137"/>
      <c r="Y595" s="137"/>
      <c r="Z595" s="137"/>
    </row>
    <row r="596" ht="13.2" spans="1:26">
      <c r="A596" s="151"/>
      <c r="B596" s="149"/>
      <c r="C596" s="149"/>
      <c r="D596" s="149"/>
      <c r="E596" s="149"/>
      <c r="F596" s="149"/>
      <c r="G596" s="149"/>
      <c r="H596" s="150"/>
      <c r="I596" s="150"/>
      <c r="J596" s="137"/>
      <c r="K596" s="137"/>
      <c r="L596" s="137"/>
      <c r="M596" s="137"/>
      <c r="N596" s="137"/>
      <c r="O596" s="137"/>
      <c r="P596" s="137"/>
      <c r="Q596" s="137"/>
      <c r="R596" s="137"/>
      <c r="S596" s="137"/>
      <c r="T596" s="137"/>
      <c r="U596" s="137"/>
      <c r="V596" s="137"/>
      <c r="W596" s="137"/>
      <c r="X596" s="137"/>
      <c r="Y596" s="137"/>
      <c r="Z596" s="137"/>
    </row>
    <row r="597" ht="13.2" spans="1:26">
      <c r="A597" s="151"/>
      <c r="B597" s="149"/>
      <c r="C597" s="149"/>
      <c r="D597" s="149"/>
      <c r="E597" s="149"/>
      <c r="F597" s="149"/>
      <c r="G597" s="149"/>
      <c r="H597" s="150"/>
      <c r="I597" s="150"/>
      <c r="J597" s="137"/>
      <c r="K597" s="137"/>
      <c r="L597" s="137"/>
      <c r="M597" s="137"/>
      <c r="N597" s="137"/>
      <c r="O597" s="137"/>
      <c r="P597" s="137"/>
      <c r="Q597" s="137"/>
      <c r="R597" s="137"/>
      <c r="S597" s="137"/>
      <c r="T597" s="137"/>
      <c r="U597" s="137"/>
      <c r="V597" s="137"/>
      <c r="W597" s="137"/>
      <c r="X597" s="137"/>
      <c r="Y597" s="137"/>
      <c r="Z597" s="137"/>
    </row>
    <row r="598" ht="13.2" spans="1:26">
      <c r="A598" s="151"/>
      <c r="B598" s="149"/>
      <c r="C598" s="149"/>
      <c r="D598" s="149"/>
      <c r="E598" s="149"/>
      <c r="F598" s="149"/>
      <c r="G598" s="149"/>
      <c r="H598" s="150"/>
      <c r="I598" s="150"/>
      <c r="J598" s="137"/>
      <c r="K598" s="137"/>
      <c r="L598" s="137"/>
      <c r="M598" s="137"/>
      <c r="N598" s="137"/>
      <c r="O598" s="137"/>
      <c r="P598" s="137"/>
      <c r="Q598" s="137"/>
      <c r="R598" s="137"/>
      <c r="S598" s="137"/>
      <c r="T598" s="137"/>
      <c r="U598" s="137"/>
      <c r="V598" s="137"/>
      <c r="W598" s="137"/>
      <c r="X598" s="137"/>
      <c r="Y598" s="137"/>
      <c r="Z598" s="137"/>
    </row>
    <row r="599" ht="13.2" spans="1:26">
      <c r="A599" s="151"/>
      <c r="B599" s="149"/>
      <c r="C599" s="149"/>
      <c r="D599" s="149"/>
      <c r="E599" s="149"/>
      <c r="F599" s="149"/>
      <c r="G599" s="149"/>
      <c r="H599" s="150"/>
      <c r="I599" s="150"/>
      <c r="J599" s="137"/>
      <c r="K599" s="137"/>
      <c r="L599" s="137"/>
      <c r="M599" s="137"/>
      <c r="N599" s="137"/>
      <c r="O599" s="137"/>
      <c r="P599" s="137"/>
      <c r="Q599" s="137"/>
      <c r="R599" s="137"/>
      <c r="S599" s="137"/>
      <c r="T599" s="137"/>
      <c r="U599" s="137"/>
      <c r="V599" s="137"/>
      <c r="W599" s="137"/>
      <c r="X599" s="137"/>
      <c r="Y599" s="137"/>
      <c r="Z599" s="137"/>
    </row>
    <row r="600" ht="13.2" spans="1:26">
      <c r="A600" s="151"/>
      <c r="B600" s="149"/>
      <c r="C600" s="149"/>
      <c r="D600" s="149"/>
      <c r="E600" s="149"/>
      <c r="F600" s="149"/>
      <c r="G600" s="149"/>
      <c r="H600" s="150"/>
      <c r="I600" s="150"/>
      <c r="J600" s="137"/>
      <c r="K600" s="137"/>
      <c r="L600" s="137"/>
      <c r="M600" s="137"/>
      <c r="N600" s="137"/>
      <c r="O600" s="137"/>
      <c r="P600" s="137"/>
      <c r="Q600" s="137"/>
      <c r="R600" s="137"/>
      <c r="S600" s="137"/>
      <c r="T600" s="137"/>
      <c r="U600" s="137"/>
      <c r="V600" s="137"/>
      <c r="W600" s="137"/>
      <c r="X600" s="137"/>
      <c r="Y600" s="137"/>
      <c r="Z600" s="137"/>
    </row>
    <row r="601" ht="13.2" spans="1:26">
      <c r="A601" s="151"/>
      <c r="B601" s="149"/>
      <c r="C601" s="149"/>
      <c r="D601" s="149"/>
      <c r="E601" s="149"/>
      <c r="F601" s="149"/>
      <c r="G601" s="149"/>
      <c r="H601" s="150"/>
      <c r="I601" s="150"/>
      <c r="J601" s="137"/>
      <c r="K601" s="137"/>
      <c r="L601" s="137"/>
      <c r="M601" s="137"/>
      <c r="N601" s="137"/>
      <c r="O601" s="137"/>
      <c r="P601" s="137"/>
      <c r="Q601" s="137"/>
      <c r="R601" s="137"/>
      <c r="S601" s="137"/>
      <c r="T601" s="137"/>
      <c r="U601" s="137"/>
      <c r="V601" s="137"/>
      <c r="W601" s="137"/>
      <c r="X601" s="137"/>
      <c r="Y601" s="137"/>
      <c r="Z601" s="137"/>
    </row>
    <row r="602" ht="13.2" spans="1:26">
      <c r="A602" s="151"/>
      <c r="B602" s="149"/>
      <c r="C602" s="149"/>
      <c r="D602" s="149"/>
      <c r="E602" s="149"/>
      <c r="F602" s="149"/>
      <c r="G602" s="149"/>
      <c r="H602" s="150"/>
      <c r="I602" s="150"/>
      <c r="J602" s="137"/>
      <c r="K602" s="137"/>
      <c r="L602" s="137"/>
      <c r="M602" s="137"/>
      <c r="N602" s="137"/>
      <c r="O602" s="137"/>
      <c r="P602" s="137"/>
      <c r="Q602" s="137"/>
      <c r="R602" s="137"/>
      <c r="S602" s="137"/>
      <c r="T602" s="137"/>
      <c r="U602" s="137"/>
      <c r="V602" s="137"/>
      <c r="W602" s="137"/>
      <c r="X602" s="137"/>
      <c r="Y602" s="137"/>
      <c r="Z602" s="137"/>
    </row>
    <row r="603" ht="13.2" spans="1:26">
      <c r="A603" s="151"/>
      <c r="B603" s="149"/>
      <c r="C603" s="149"/>
      <c r="D603" s="149"/>
      <c r="E603" s="149"/>
      <c r="F603" s="149"/>
      <c r="G603" s="149"/>
      <c r="H603" s="150"/>
      <c r="I603" s="150"/>
      <c r="J603" s="137"/>
      <c r="K603" s="137"/>
      <c r="L603" s="137"/>
      <c r="M603" s="137"/>
      <c r="N603" s="137"/>
      <c r="O603" s="137"/>
      <c r="P603" s="137"/>
      <c r="Q603" s="137"/>
      <c r="R603" s="137"/>
      <c r="S603" s="137"/>
      <c r="T603" s="137"/>
      <c r="U603" s="137"/>
      <c r="V603" s="137"/>
      <c r="W603" s="137"/>
      <c r="X603" s="137"/>
      <c r="Y603" s="137"/>
      <c r="Z603" s="137"/>
    </row>
    <row r="604" ht="13.2" spans="1:26">
      <c r="A604" s="151"/>
      <c r="B604" s="149"/>
      <c r="C604" s="149"/>
      <c r="D604" s="149"/>
      <c r="E604" s="149"/>
      <c r="F604" s="149"/>
      <c r="G604" s="149"/>
      <c r="H604" s="150"/>
      <c r="I604" s="150"/>
      <c r="J604" s="137"/>
      <c r="K604" s="137"/>
      <c r="L604" s="137"/>
      <c r="M604" s="137"/>
      <c r="N604" s="137"/>
      <c r="O604" s="137"/>
      <c r="P604" s="137"/>
      <c r="Q604" s="137"/>
      <c r="R604" s="137"/>
      <c r="S604" s="137"/>
      <c r="T604" s="137"/>
      <c r="U604" s="137"/>
      <c r="V604" s="137"/>
      <c r="W604" s="137"/>
      <c r="X604" s="137"/>
      <c r="Y604" s="137"/>
      <c r="Z604" s="137"/>
    </row>
    <row r="605" ht="13.2" spans="1:26">
      <c r="A605" s="151"/>
      <c r="B605" s="149"/>
      <c r="C605" s="149"/>
      <c r="D605" s="149"/>
      <c r="E605" s="149"/>
      <c r="F605" s="149"/>
      <c r="G605" s="149"/>
      <c r="H605" s="150"/>
      <c r="I605" s="150"/>
      <c r="J605" s="137"/>
      <c r="K605" s="137"/>
      <c r="L605" s="137"/>
      <c r="M605" s="137"/>
      <c r="N605" s="137"/>
      <c r="O605" s="137"/>
      <c r="P605" s="137"/>
      <c r="Q605" s="137"/>
      <c r="R605" s="137"/>
      <c r="S605" s="137"/>
      <c r="T605" s="137"/>
      <c r="U605" s="137"/>
      <c r="V605" s="137"/>
      <c r="W605" s="137"/>
      <c r="X605" s="137"/>
      <c r="Y605" s="137"/>
      <c r="Z605" s="137"/>
    </row>
    <row r="606" ht="13.2" spans="1:26">
      <c r="A606" s="151"/>
      <c r="B606" s="149"/>
      <c r="C606" s="149"/>
      <c r="D606" s="149"/>
      <c r="E606" s="149"/>
      <c r="F606" s="149"/>
      <c r="G606" s="149"/>
      <c r="H606" s="150"/>
      <c r="I606" s="150"/>
      <c r="J606" s="137"/>
      <c r="K606" s="137"/>
      <c r="L606" s="137"/>
      <c r="M606" s="137"/>
      <c r="N606" s="137"/>
      <c r="O606" s="137"/>
      <c r="P606" s="137"/>
      <c r="Q606" s="137"/>
      <c r="R606" s="137"/>
      <c r="S606" s="137"/>
      <c r="T606" s="137"/>
      <c r="U606" s="137"/>
      <c r="V606" s="137"/>
      <c r="W606" s="137"/>
      <c r="X606" s="137"/>
      <c r="Y606" s="137"/>
      <c r="Z606" s="137"/>
    </row>
    <row r="607" ht="13.2" spans="1:26">
      <c r="A607" s="151"/>
      <c r="B607" s="149"/>
      <c r="C607" s="149"/>
      <c r="D607" s="149"/>
      <c r="E607" s="149"/>
      <c r="F607" s="149"/>
      <c r="G607" s="149"/>
      <c r="H607" s="150"/>
      <c r="I607" s="150"/>
      <c r="J607" s="137"/>
      <c r="K607" s="137"/>
      <c r="L607" s="137"/>
      <c r="M607" s="137"/>
      <c r="N607" s="137"/>
      <c r="O607" s="137"/>
      <c r="P607" s="137"/>
      <c r="Q607" s="137"/>
      <c r="R607" s="137"/>
      <c r="S607" s="137"/>
      <c r="T607" s="137"/>
      <c r="U607" s="137"/>
      <c r="V607" s="137"/>
      <c r="W607" s="137"/>
      <c r="X607" s="137"/>
      <c r="Y607" s="137"/>
      <c r="Z607" s="137"/>
    </row>
    <row r="608" ht="13.2" spans="1:26">
      <c r="A608" s="151"/>
      <c r="B608" s="149"/>
      <c r="C608" s="149"/>
      <c r="D608" s="149"/>
      <c r="E608" s="149"/>
      <c r="F608" s="149"/>
      <c r="G608" s="149"/>
      <c r="H608" s="150"/>
      <c r="I608" s="150"/>
      <c r="J608" s="137"/>
      <c r="K608" s="137"/>
      <c r="L608" s="137"/>
      <c r="M608" s="137"/>
      <c r="N608" s="137"/>
      <c r="O608" s="137"/>
      <c r="P608" s="137"/>
      <c r="Q608" s="137"/>
      <c r="R608" s="137"/>
      <c r="S608" s="137"/>
      <c r="T608" s="137"/>
      <c r="U608" s="137"/>
      <c r="V608" s="137"/>
      <c r="W608" s="137"/>
      <c r="X608" s="137"/>
      <c r="Y608" s="137"/>
      <c r="Z608" s="137"/>
    </row>
    <row r="609" ht="13.2" spans="1:26">
      <c r="A609" s="151"/>
      <c r="B609" s="149"/>
      <c r="C609" s="149"/>
      <c r="D609" s="149"/>
      <c r="E609" s="149"/>
      <c r="F609" s="149"/>
      <c r="G609" s="149"/>
      <c r="H609" s="150"/>
      <c r="I609" s="150"/>
      <c r="J609" s="137"/>
      <c r="K609" s="137"/>
      <c r="L609" s="137"/>
      <c r="M609" s="137"/>
      <c r="N609" s="137"/>
      <c r="O609" s="137"/>
      <c r="P609" s="137"/>
      <c r="Q609" s="137"/>
      <c r="R609" s="137"/>
      <c r="S609" s="137"/>
      <c r="T609" s="137"/>
      <c r="U609" s="137"/>
      <c r="V609" s="137"/>
      <c r="W609" s="137"/>
      <c r="X609" s="137"/>
      <c r="Y609" s="137"/>
      <c r="Z609" s="137"/>
    </row>
    <row r="610" ht="13.2" spans="1:26">
      <c r="A610" s="151"/>
      <c r="B610" s="149"/>
      <c r="C610" s="149"/>
      <c r="D610" s="149"/>
      <c r="E610" s="149"/>
      <c r="F610" s="149"/>
      <c r="G610" s="149"/>
      <c r="H610" s="150"/>
      <c r="I610" s="150"/>
      <c r="J610" s="137"/>
      <c r="K610" s="137"/>
      <c r="L610" s="137"/>
      <c r="M610" s="137"/>
      <c r="N610" s="137"/>
      <c r="O610" s="137"/>
      <c r="P610" s="137"/>
      <c r="Q610" s="137"/>
      <c r="R610" s="137"/>
      <c r="S610" s="137"/>
      <c r="T610" s="137"/>
      <c r="U610" s="137"/>
      <c r="V610" s="137"/>
      <c r="W610" s="137"/>
      <c r="X610" s="137"/>
      <c r="Y610" s="137"/>
      <c r="Z610" s="137"/>
    </row>
    <row r="611" ht="13.2" spans="1:26">
      <c r="A611" s="151"/>
      <c r="B611" s="149"/>
      <c r="C611" s="149"/>
      <c r="D611" s="149"/>
      <c r="E611" s="149"/>
      <c r="F611" s="149"/>
      <c r="G611" s="149"/>
      <c r="H611" s="150"/>
      <c r="I611" s="150"/>
      <c r="J611" s="137"/>
      <c r="K611" s="137"/>
      <c r="L611" s="137"/>
      <c r="M611" s="137"/>
      <c r="N611" s="137"/>
      <c r="O611" s="137"/>
      <c r="P611" s="137"/>
      <c r="Q611" s="137"/>
      <c r="R611" s="137"/>
      <c r="S611" s="137"/>
      <c r="T611" s="137"/>
      <c r="U611" s="137"/>
      <c r="V611" s="137"/>
      <c r="W611" s="137"/>
      <c r="X611" s="137"/>
      <c r="Y611" s="137"/>
      <c r="Z611" s="137"/>
    </row>
    <row r="612" ht="13.2" spans="1:26">
      <c r="A612" s="151"/>
      <c r="B612" s="149"/>
      <c r="C612" s="149"/>
      <c r="D612" s="149"/>
      <c r="E612" s="149"/>
      <c r="F612" s="149"/>
      <c r="G612" s="149"/>
      <c r="H612" s="150"/>
      <c r="I612" s="150"/>
      <c r="J612" s="137"/>
      <c r="K612" s="137"/>
      <c r="L612" s="137"/>
      <c r="M612" s="137"/>
      <c r="N612" s="137"/>
      <c r="O612" s="137"/>
      <c r="P612" s="137"/>
      <c r="Q612" s="137"/>
      <c r="R612" s="137"/>
      <c r="S612" s="137"/>
      <c r="T612" s="137"/>
      <c r="U612" s="137"/>
      <c r="V612" s="137"/>
      <c r="W612" s="137"/>
      <c r="X612" s="137"/>
      <c r="Y612" s="137"/>
      <c r="Z612" s="137"/>
    </row>
    <row r="613" ht="13.2" spans="1:26">
      <c r="A613" s="151"/>
      <c r="B613" s="149"/>
      <c r="C613" s="149"/>
      <c r="D613" s="149"/>
      <c r="E613" s="149"/>
      <c r="F613" s="149"/>
      <c r="G613" s="149"/>
      <c r="H613" s="150"/>
      <c r="I613" s="150"/>
      <c r="J613" s="137"/>
      <c r="K613" s="137"/>
      <c r="L613" s="137"/>
      <c r="M613" s="137"/>
      <c r="N613" s="137"/>
      <c r="O613" s="137"/>
      <c r="P613" s="137"/>
      <c r="Q613" s="137"/>
      <c r="R613" s="137"/>
      <c r="S613" s="137"/>
      <c r="T613" s="137"/>
      <c r="U613" s="137"/>
      <c r="V613" s="137"/>
      <c r="W613" s="137"/>
      <c r="X613" s="137"/>
      <c r="Y613" s="137"/>
      <c r="Z613" s="137"/>
    </row>
    <row r="614" ht="13.2" spans="1:26">
      <c r="A614" s="151"/>
      <c r="B614" s="149"/>
      <c r="C614" s="149"/>
      <c r="D614" s="149"/>
      <c r="E614" s="149"/>
      <c r="F614" s="149"/>
      <c r="G614" s="149"/>
      <c r="H614" s="150"/>
      <c r="I614" s="150"/>
      <c r="J614" s="137"/>
      <c r="K614" s="137"/>
      <c r="L614" s="137"/>
      <c r="M614" s="137"/>
      <c r="N614" s="137"/>
      <c r="O614" s="137"/>
      <c r="P614" s="137"/>
      <c r="Q614" s="137"/>
      <c r="R614" s="137"/>
      <c r="S614" s="137"/>
      <c r="T614" s="137"/>
      <c r="U614" s="137"/>
      <c r="V614" s="137"/>
      <c r="W614" s="137"/>
      <c r="X614" s="137"/>
      <c r="Y614" s="137"/>
      <c r="Z614" s="137"/>
    </row>
    <row r="615" ht="13.2" spans="1:26">
      <c r="A615" s="151"/>
      <c r="B615" s="149"/>
      <c r="C615" s="149"/>
      <c r="D615" s="149"/>
      <c r="E615" s="149"/>
      <c r="F615" s="149"/>
      <c r="G615" s="149"/>
      <c r="H615" s="150"/>
      <c r="I615" s="150"/>
      <c r="J615" s="137"/>
      <c r="K615" s="137"/>
      <c r="L615" s="137"/>
      <c r="M615" s="137"/>
      <c r="N615" s="137"/>
      <c r="O615" s="137"/>
      <c r="P615" s="137"/>
      <c r="Q615" s="137"/>
      <c r="R615" s="137"/>
      <c r="S615" s="137"/>
      <c r="T615" s="137"/>
      <c r="U615" s="137"/>
      <c r="V615" s="137"/>
      <c r="W615" s="137"/>
      <c r="X615" s="137"/>
      <c r="Y615" s="137"/>
      <c r="Z615" s="137"/>
    </row>
    <row r="616" ht="13.2" spans="1:26">
      <c r="A616" s="151"/>
      <c r="B616" s="149"/>
      <c r="C616" s="149"/>
      <c r="D616" s="149"/>
      <c r="E616" s="149"/>
      <c r="F616" s="149"/>
      <c r="G616" s="149"/>
      <c r="H616" s="150"/>
      <c r="I616" s="150"/>
      <c r="J616" s="137"/>
      <c r="K616" s="137"/>
      <c r="L616" s="137"/>
      <c r="M616" s="137"/>
      <c r="N616" s="137"/>
      <c r="O616" s="137"/>
      <c r="P616" s="137"/>
      <c r="Q616" s="137"/>
      <c r="R616" s="137"/>
      <c r="S616" s="137"/>
      <c r="T616" s="137"/>
      <c r="U616" s="137"/>
      <c r="V616" s="137"/>
      <c r="W616" s="137"/>
      <c r="X616" s="137"/>
      <c r="Y616" s="137"/>
      <c r="Z616" s="137"/>
    </row>
    <row r="617" ht="13.2" spans="1:26">
      <c r="A617" s="151"/>
      <c r="B617" s="149"/>
      <c r="C617" s="149"/>
      <c r="D617" s="149"/>
      <c r="E617" s="149"/>
      <c r="F617" s="149"/>
      <c r="G617" s="149"/>
      <c r="H617" s="150"/>
      <c r="I617" s="150"/>
      <c r="J617" s="137"/>
      <c r="K617" s="137"/>
      <c r="L617" s="137"/>
      <c r="M617" s="137"/>
      <c r="N617" s="137"/>
      <c r="O617" s="137"/>
      <c r="P617" s="137"/>
      <c r="Q617" s="137"/>
      <c r="R617" s="137"/>
      <c r="S617" s="137"/>
      <c r="T617" s="137"/>
      <c r="U617" s="137"/>
      <c r="V617" s="137"/>
      <c r="W617" s="137"/>
      <c r="X617" s="137"/>
      <c r="Y617" s="137"/>
      <c r="Z617" s="137"/>
    </row>
    <row r="618" ht="13.2" spans="1:26">
      <c r="A618" s="151"/>
      <c r="B618" s="149"/>
      <c r="C618" s="149"/>
      <c r="D618" s="149"/>
      <c r="E618" s="149"/>
      <c r="F618" s="149"/>
      <c r="G618" s="149"/>
      <c r="H618" s="150"/>
      <c r="I618" s="150"/>
      <c r="J618" s="137"/>
      <c r="K618" s="137"/>
      <c r="L618" s="137"/>
      <c r="M618" s="137"/>
      <c r="N618" s="137"/>
      <c r="O618" s="137"/>
      <c r="P618" s="137"/>
      <c r="Q618" s="137"/>
      <c r="R618" s="137"/>
      <c r="S618" s="137"/>
      <c r="T618" s="137"/>
      <c r="U618" s="137"/>
      <c r="V618" s="137"/>
      <c r="W618" s="137"/>
      <c r="X618" s="137"/>
      <c r="Y618" s="137"/>
      <c r="Z618" s="137"/>
    </row>
    <row r="619" ht="13.2" spans="1:26">
      <c r="A619" s="151"/>
      <c r="B619" s="149"/>
      <c r="C619" s="149"/>
      <c r="D619" s="149"/>
      <c r="E619" s="149"/>
      <c r="F619" s="149"/>
      <c r="G619" s="149"/>
      <c r="H619" s="150"/>
      <c r="I619" s="150"/>
      <c r="J619" s="137"/>
      <c r="K619" s="137"/>
      <c r="L619" s="137"/>
      <c r="M619" s="137"/>
      <c r="N619" s="137"/>
      <c r="O619" s="137"/>
      <c r="P619" s="137"/>
      <c r="Q619" s="137"/>
      <c r="R619" s="137"/>
      <c r="S619" s="137"/>
      <c r="T619" s="137"/>
      <c r="U619" s="137"/>
      <c r="V619" s="137"/>
      <c r="W619" s="137"/>
      <c r="X619" s="137"/>
      <c r="Y619" s="137"/>
      <c r="Z619" s="137"/>
    </row>
    <row r="620" ht="13.2" spans="1:26">
      <c r="A620" s="151"/>
      <c r="B620" s="149"/>
      <c r="C620" s="149"/>
      <c r="D620" s="149"/>
      <c r="E620" s="149"/>
      <c r="F620" s="149"/>
      <c r="G620" s="149"/>
      <c r="H620" s="150"/>
      <c r="I620" s="150"/>
      <c r="J620" s="137"/>
      <c r="K620" s="137"/>
      <c r="L620" s="137"/>
      <c r="M620" s="137"/>
      <c r="N620" s="137"/>
      <c r="O620" s="137"/>
      <c r="P620" s="137"/>
      <c r="Q620" s="137"/>
      <c r="R620" s="137"/>
      <c r="S620" s="137"/>
      <c r="T620" s="137"/>
      <c r="U620" s="137"/>
      <c r="V620" s="137"/>
      <c r="W620" s="137"/>
      <c r="X620" s="137"/>
      <c r="Y620" s="137"/>
      <c r="Z620" s="137"/>
    </row>
    <row r="621" ht="13.2" spans="1:26">
      <c r="A621" s="151"/>
      <c r="B621" s="149"/>
      <c r="C621" s="149"/>
      <c r="D621" s="149"/>
      <c r="E621" s="149"/>
      <c r="F621" s="149"/>
      <c r="G621" s="149"/>
      <c r="H621" s="150"/>
      <c r="I621" s="150"/>
      <c r="J621" s="137"/>
      <c r="K621" s="137"/>
      <c r="L621" s="137"/>
      <c r="M621" s="137"/>
      <c r="N621" s="137"/>
      <c r="O621" s="137"/>
      <c r="P621" s="137"/>
      <c r="Q621" s="137"/>
      <c r="R621" s="137"/>
      <c r="S621" s="137"/>
      <c r="T621" s="137"/>
      <c r="U621" s="137"/>
      <c r="V621" s="137"/>
      <c r="W621" s="137"/>
      <c r="X621" s="137"/>
      <c r="Y621" s="137"/>
      <c r="Z621" s="137"/>
    </row>
    <row r="622" ht="13.2" spans="1:26">
      <c r="A622" s="151"/>
      <c r="B622" s="149"/>
      <c r="C622" s="149"/>
      <c r="D622" s="149"/>
      <c r="E622" s="149"/>
      <c r="F622" s="149"/>
      <c r="G622" s="149"/>
      <c r="H622" s="150"/>
      <c r="I622" s="150"/>
      <c r="J622" s="137"/>
      <c r="K622" s="137"/>
      <c r="L622" s="137"/>
      <c r="M622" s="137"/>
      <c r="N622" s="137"/>
      <c r="O622" s="137"/>
      <c r="P622" s="137"/>
      <c r="Q622" s="137"/>
      <c r="R622" s="137"/>
      <c r="S622" s="137"/>
      <c r="T622" s="137"/>
      <c r="U622" s="137"/>
      <c r="V622" s="137"/>
      <c r="W622" s="137"/>
      <c r="X622" s="137"/>
      <c r="Y622" s="137"/>
      <c r="Z622" s="137"/>
    </row>
    <row r="623" ht="13.2" spans="1:26">
      <c r="A623" s="151"/>
      <c r="B623" s="149"/>
      <c r="C623" s="149"/>
      <c r="D623" s="149"/>
      <c r="E623" s="149"/>
      <c r="F623" s="149"/>
      <c r="G623" s="149"/>
      <c r="H623" s="150"/>
      <c r="I623" s="150"/>
      <c r="J623" s="137"/>
      <c r="K623" s="137"/>
      <c r="L623" s="137"/>
      <c r="M623" s="137"/>
      <c r="N623" s="137"/>
      <c r="O623" s="137"/>
      <c r="P623" s="137"/>
      <c r="Q623" s="137"/>
      <c r="R623" s="137"/>
      <c r="S623" s="137"/>
      <c r="T623" s="137"/>
      <c r="U623" s="137"/>
      <c r="V623" s="137"/>
      <c r="W623" s="137"/>
      <c r="X623" s="137"/>
      <c r="Y623" s="137"/>
      <c r="Z623" s="137"/>
    </row>
    <row r="624" ht="13.2" spans="1:26">
      <c r="A624" s="151"/>
      <c r="B624" s="149"/>
      <c r="C624" s="149"/>
      <c r="D624" s="149"/>
      <c r="E624" s="149"/>
      <c r="F624" s="149"/>
      <c r="G624" s="149"/>
      <c r="H624" s="150"/>
      <c r="I624" s="150"/>
      <c r="J624" s="137"/>
      <c r="K624" s="137"/>
      <c r="L624" s="137"/>
      <c r="M624" s="137"/>
      <c r="N624" s="137"/>
      <c r="O624" s="137"/>
      <c r="P624" s="137"/>
      <c r="Q624" s="137"/>
      <c r="R624" s="137"/>
      <c r="S624" s="137"/>
      <c r="T624" s="137"/>
      <c r="U624" s="137"/>
      <c r="V624" s="137"/>
      <c r="W624" s="137"/>
      <c r="X624" s="137"/>
      <c r="Y624" s="137"/>
      <c r="Z624" s="137"/>
    </row>
    <row r="625" ht="13.2" spans="1:26">
      <c r="A625" s="151"/>
      <c r="B625" s="149"/>
      <c r="C625" s="149"/>
      <c r="D625" s="149"/>
      <c r="E625" s="149"/>
      <c r="F625" s="149"/>
      <c r="G625" s="149"/>
      <c r="H625" s="150"/>
      <c r="I625" s="150"/>
      <c r="J625" s="137"/>
      <c r="K625" s="137"/>
      <c r="L625" s="137"/>
      <c r="M625" s="137"/>
      <c r="N625" s="137"/>
      <c r="O625" s="137"/>
      <c r="P625" s="137"/>
      <c r="Q625" s="137"/>
      <c r="R625" s="137"/>
      <c r="S625" s="137"/>
      <c r="T625" s="137"/>
      <c r="U625" s="137"/>
      <c r="V625" s="137"/>
      <c r="W625" s="137"/>
      <c r="X625" s="137"/>
      <c r="Y625" s="137"/>
      <c r="Z625" s="137"/>
    </row>
    <row r="626" ht="13.2" spans="1:26">
      <c r="A626" s="151"/>
      <c r="B626" s="149"/>
      <c r="C626" s="149"/>
      <c r="D626" s="149"/>
      <c r="E626" s="149"/>
      <c r="F626" s="149"/>
      <c r="G626" s="149"/>
      <c r="H626" s="150"/>
      <c r="I626" s="150"/>
      <c r="J626" s="137"/>
      <c r="K626" s="137"/>
      <c r="L626" s="137"/>
      <c r="M626" s="137"/>
      <c r="N626" s="137"/>
      <c r="O626" s="137"/>
      <c r="P626" s="137"/>
      <c r="Q626" s="137"/>
      <c r="R626" s="137"/>
      <c r="S626" s="137"/>
      <c r="T626" s="137"/>
      <c r="U626" s="137"/>
      <c r="V626" s="137"/>
      <c r="W626" s="137"/>
      <c r="X626" s="137"/>
      <c r="Y626" s="137"/>
      <c r="Z626" s="137"/>
    </row>
    <row r="627" ht="13.2" spans="1:26">
      <c r="A627" s="151"/>
      <c r="B627" s="149"/>
      <c r="C627" s="149"/>
      <c r="D627" s="149"/>
      <c r="E627" s="149"/>
      <c r="F627" s="149"/>
      <c r="G627" s="149"/>
      <c r="H627" s="150"/>
      <c r="I627" s="150"/>
      <c r="J627" s="137"/>
      <c r="K627" s="137"/>
      <c r="L627" s="137"/>
      <c r="M627" s="137"/>
      <c r="N627" s="137"/>
      <c r="O627" s="137"/>
      <c r="P627" s="137"/>
      <c r="Q627" s="137"/>
      <c r="R627" s="137"/>
      <c r="S627" s="137"/>
      <c r="T627" s="137"/>
      <c r="U627" s="137"/>
      <c r="V627" s="137"/>
      <c r="W627" s="137"/>
      <c r="X627" s="137"/>
      <c r="Y627" s="137"/>
      <c r="Z627" s="137"/>
    </row>
    <row r="628" ht="13.2" spans="1:26">
      <c r="A628" s="151"/>
      <c r="B628" s="149"/>
      <c r="C628" s="149"/>
      <c r="D628" s="149"/>
      <c r="E628" s="149"/>
      <c r="F628" s="149"/>
      <c r="G628" s="149"/>
      <c r="H628" s="150"/>
      <c r="I628" s="150"/>
      <c r="J628" s="137"/>
      <c r="K628" s="137"/>
      <c r="L628" s="137"/>
      <c r="M628" s="137"/>
      <c r="N628" s="137"/>
      <c r="O628" s="137"/>
      <c r="P628" s="137"/>
      <c r="Q628" s="137"/>
      <c r="R628" s="137"/>
      <c r="S628" s="137"/>
      <c r="T628" s="137"/>
      <c r="U628" s="137"/>
      <c r="V628" s="137"/>
      <c r="W628" s="137"/>
      <c r="X628" s="137"/>
      <c r="Y628" s="137"/>
      <c r="Z628" s="137"/>
    </row>
    <row r="629" ht="13.2" spans="1:26">
      <c r="A629" s="151"/>
      <c r="B629" s="149"/>
      <c r="C629" s="149"/>
      <c r="D629" s="149"/>
      <c r="E629" s="149"/>
      <c r="F629" s="149"/>
      <c r="G629" s="149"/>
      <c r="H629" s="150"/>
      <c r="I629" s="150"/>
      <c r="J629" s="137"/>
      <c r="K629" s="137"/>
      <c r="L629" s="137"/>
      <c r="M629" s="137"/>
      <c r="N629" s="137"/>
      <c r="O629" s="137"/>
      <c r="P629" s="137"/>
      <c r="Q629" s="137"/>
      <c r="R629" s="137"/>
      <c r="S629" s="137"/>
      <c r="T629" s="137"/>
      <c r="U629" s="137"/>
      <c r="V629" s="137"/>
      <c r="W629" s="137"/>
      <c r="X629" s="137"/>
      <c r="Y629" s="137"/>
      <c r="Z629" s="137"/>
    </row>
    <row r="630" ht="13.2" spans="1:26">
      <c r="A630" s="151"/>
      <c r="B630" s="149"/>
      <c r="C630" s="149"/>
      <c r="D630" s="149"/>
      <c r="E630" s="149"/>
      <c r="F630" s="149"/>
      <c r="G630" s="149"/>
      <c r="H630" s="150"/>
      <c r="I630" s="150"/>
      <c r="J630" s="137"/>
      <c r="K630" s="137"/>
      <c r="L630" s="137"/>
      <c r="M630" s="137"/>
      <c r="N630" s="137"/>
      <c r="O630" s="137"/>
      <c r="P630" s="137"/>
      <c r="Q630" s="137"/>
      <c r="R630" s="137"/>
      <c r="S630" s="137"/>
      <c r="T630" s="137"/>
      <c r="U630" s="137"/>
      <c r="V630" s="137"/>
      <c r="W630" s="137"/>
      <c r="X630" s="137"/>
      <c r="Y630" s="137"/>
      <c r="Z630" s="137"/>
    </row>
    <row r="631" ht="13.2" spans="1:26">
      <c r="A631" s="151"/>
      <c r="B631" s="149"/>
      <c r="C631" s="149"/>
      <c r="D631" s="149"/>
      <c r="E631" s="149"/>
      <c r="F631" s="149"/>
      <c r="G631" s="149"/>
      <c r="H631" s="150"/>
      <c r="I631" s="150"/>
      <c r="J631" s="137"/>
      <c r="K631" s="137"/>
      <c r="L631" s="137"/>
      <c r="M631" s="137"/>
      <c r="N631" s="137"/>
      <c r="O631" s="137"/>
      <c r="P631" s="137"/>
      <c r="Q631" s="137"/>
      <c r="R631" s="137"/>
      <c r="S631" s="137"/>
      <c r="T631" s="137"/>
      <c r="U631" s="137"/>
      <c r="V631" s="137"/>
      <c r="W631" s="137"/>
      <c r="X631" s="137"/>
      <c r="Y631" s="137"/>
      <c r="Z631" s="137"/>
    </row>
    <row r="632" ht="13.2" spans="1:26">
      <c r="A632" s="151"/>
      <c r="B632" s="149"/>
      <c r="C632" s="149"/>
      <c r="D632" s="149"/>
      <c r="E632" s="149"/>
      <c r="F632" s="149"/>
      <c r="G632" s="149"/>
      <c r="H632" s="150"/>
      <c r="I632" s="150"/>
      <c r="J632" s="137"/>
      <c r="K632" s="137"/>
      <c r="L632" s="137"/>
      <c r="M632" s="137"/>
      <c r="N632" s="137"/>
      <c r="O632" s="137"/>
      <c r="P632" s="137"/>
      <c r="Q632" s="137"/>
      <c r="R632" s="137"/>
      <c r="S632" s="137"/>
      <c r="T632" s="137"/>
      <c r="U632" s="137"/>
      <c r="V632" s="137"/>
      <c r="W632" s="137"/>
      <c r="X632" s="137"/>
      <c r="Y632" s="137"/>
      <c r="Z632" s="137"/>
    </row>
    <row r="633" ht="13.2" spans="1:26">
      <c r="A633" s="151"/>
      <c r="B633" s="149"/>
      <c r="C633" s="149"/>
      <c r="D633" s="149"/>
      <c r="E633" s="149"/>
      <c r="F633" s="149"/>
      <c r="G633" s="149"/>
      <c r="H633" s="150"/>
      <c r="I633" s="150"/>
      <c r="J633" s="137"/>
      <c r="K633" s="137"/>
      <c r="L633" s="137"/>
      <c r="M633" s="137"/>
      <c r="N633" s="137"/>
      <c r="O633" s="137"/>
      <c r="P633" s="137"/>
      <c r="Q633" s="137"/>
      <c r="R633" s="137"/>
      <c r="S633" s="137"/>
      <c r="T633" s="137"/>
      <c r="U633" s="137"/>
      <c r="V633" s="137"/>
      <c r="W633" s="137"/>
      <c r="X633" s="137"/>
      <c r="Y633" s="137"/>
      <c r="Z633" s="137"/>
    </row>
    <row r="634" ht="13.2" spans="1:26">
      <c r="A634" s="151"/>
      <c r="B634" s="149"/>
      <c r="C634" s="149"/>
      <c r="D634" s="149"/>
      <c r="E634" s="149"/>
      <c r="F634" s="149"/>
      <c r="G634" s="149"/>
      <c r="H634" s="150"/>
      <c r="I634" s="150"/>
      <c r="J634" s="137"/>
      <c r="K634" s="137"/>
      <c r="L634" s="137"/>
      <c r="M634" s="137"/>
      <c r="N634" s="137"/>
      <c r="O634" s="137"/>
      <c r="P634" s="137"/>
      <c r="Q634" s="137"/>
      <c r="R634" s="137"/>
      <c r="S634" s="137"/>
      <c r="T634" s="137"/>
      <c r="U634" s="137"/>
      <c r="V634" s="137"/>
      <c r="W634" s="137"/>
      <c r="X634" s="137"/>
      <c r="Y634" s="137"/>
      <c r="Z634" s="137"/>
    </row>
    <row r="635" ht="13.2" spans="1:26">
      <c r="A635" s="151"/>
      <c r="B635" s="149"/>
      <c r="C635" s="149"/>
      <c r="D635" s="149"/>
      <c r="E635" s="149"/>
      <c r="F635" s="149"/>
      <c r="G635" s="149"/>
      <c r="H635" s="150"/>
      <c r="I635" s="150"/>
      <c r="J635" s="137"/>
      <c r="K635" s="137"/>
      <c r="L635" s="137"/>
      <c r="M635" s="137"/>
      <c r="N635" s="137"/>
      <c r="O635" s="137"/>
      <c r="P635" s="137"/>
      <c r="Q635" s="137"/>
      <c r="R635" s="137"/>
      <c r="S635" s="137"/>
      <c r="T635" s="137"/>
      <c r="U635" s="137"/>
      <c r="V635" s="137"/>
      <c r="W635" s="137"/>
      <c r="X635" s="137"/>
      <c r="Y635" s="137"/>
      <c r="Z635" s="137"/>
    </row>
    <row r="636" ht="13.2" spans="1:26">
      <c r="A636" s="151"/>
      <c r="B636" s="149"/>
      <c r="C636" s="149"/>
      <c r="D636" s="149"/>
      <c r="E636" s="149"/>
      <c r="F636" s="149"/>
      <c r="G636" s="149"/>
      <c r="H636" s="150"/>
      <c r="I636" s="150"/>
      <c r="J636" s="137"/>
      <c r="K636" s="137"/>
      <c r="L636" s="137"/>
      <c r="M636" s="137"/>
      <c r="N636" s="137"/>
      <c r="O636" s="137"/>
      <c r="P636" s="137"/>
      <c r="Q636" s="137"/>
      <c r="R636" s="137"/>
      <c r="S636" s="137"/>
      <c r="T636" s="137"/>
      <c r="U636" s="137"/>
      <c r="V636" s="137"/>
      <c r="W636" s="137"/>
      <c r="X636" s="137"/>
      <c r="Y636" s="137"/>
      <c r="Z636" s="137"/>
    </row>
    <row r="637" ht="13.2" spans="1:26">
      <c r="A637" s="151"/>
      <c r="B637" s="149"/>
      <c r="C637" s="149"/>
      <c r="D637" s="149"/>
      <c r="E637" s="149"/>
      <c r="F637" s="149"/>
      <c r="G637" s="149"/>
      <c r="H637" s="150"/>
      <c r="I637" s="150"/>
      <c r="J637" s="137"/>
      <c r="K637" s="137"/>
      <c r="L637" s="137"/>
      <c r="M637" s="137"/>
      <c r="N637" s="137"/>
      <c r="O637" s="137"/>
      <c r="P637" s="137"/>
      <c r="Q637" s="137"/>
      <c r="R637" s="137"/>
      <c r="S637" s="137"/>
      <c r="T637" s="137"/>
      <c r="U637" s="137"/>
      <c r="V637" s="137"/>
      <c r="W637" s="137"/>
      <c r="X637" s="137"/>
      <c r="Y637" s="137"/>
      <c r="Z637" s="137"/>
    </row>
    <row r="638" ht="13.2" spans="1:26">
      <c r="A638" s="151"/>
      <c r="B638" s="149"/>
      <c r="C638" s="149"/>
      <c r="D638" s="149"/>
      <c r="E638" s="149"/>
      <c r="F638" s="149"/>
      <c r="G638" s="149"/>
      <c r="H638" s="150"/>
      <c r="I638" s="150"/>
      <c r="J638" s="137"/>
      <c r="K638" s="137"/>
      <c r="L638" s="137"/>
      <c r="M638" s="137"/>
      <c r="N638" s="137"/>
      <c r="O638" s="137"/>
      <c r="P638" s="137"/>
      <c r="Q638" s="137"/>
      <c r="R638" s="137"/>
      <c r="S638" s="137"/>
      <c r="T638" s="137"/>
      <c r="U638" s="137"/>
      <c r="V638" s="137"/>
      <c r="W638" s="137"/>
      <c r="X638" s="137"/>
      <c r="Y638" s="137"/>
      <c r="Z638" s="137"/>
    </row>
    <row r="639" ht="13.2" spans="1:26">
      <c r="A639" s="151"/>
      <c r="B639" s="149"/>
      <c r="C639" s="149"/>
      <c r="D639" s="149"/>
      <c r="E639" s="149"/>
      <c r="F639" s="149"/>
      <c r="G639" s="149"/>
      <c r="H639" s="150"/>
      <c r="I639" s="150"/>
      <c r="J639" s="137"/>
      <c r="K639" s="137"/>
      <c r="L639" s="137"/>
      <c r="M639" s="137"/>
      <c r="N639" s="137"/>
      <c r="O639" s="137"/>
      <c r="P639" s="137"/>
      <c r="Q639" s="137"/>
      <c r="R639" s="137"/>
      <c r="S639" s="137"/>
      <c r="T639" s="137"/>
      <c r="U639" s="137"/>
      <c r="V639" s="137"/>
      <c r="W639" s="137"/>
      <c r="X639" s="137"/>
      <c r="Y639" s="137"/>
      <c r="Z639" s="137"/>
    </row>
    <row r="640" ht="13.2" spans="1:26">
      <c r="A640" s="151"/>
      <c r="B640" s="149"/>
      <c r="C640" s="149"/>
      <c r="D640" s="149"/>
      <c r="E640" s="149"/>
      <c r="F640" s="149"/>
      <c r="G640" s="149"/>
      <c r="H640" s="150"/>
      <c r="I640" s="150"/>
      <c r="J640" s="137"/>
      <c r="K640" s="137"/>
      <c r="L640" s="137"/>
      <c r="M640" s="137"/>
      <c r="N640" s="137"/>
      <c r="O640" s="137"/>
      <c r="P640" s="137"/>
      <c r="Q640" s="137"/>
      <c r="R640" s="137"/>
      <c r="S640" s="137"/>
      <c r="T640" s="137"/>
      <c r="U640" s="137"/>
      <c r="V640" s="137"/>
      <c r="W640" s="137"/>
      <c r="X640" s="137"/>
      <c r="Y640" s="137"/>
      <c r="Z640" s="137"/>
    </row>
    <row r="641" ht="13.2" spans="1:26">
      <c r="A641" s="151"/>
      <c r="B641" s="149"/>
      <c r="C641" s="149"/>
      <c r="D641" s="149"/>
      <c r="E641" s="149"/>
      <c r="F641" s="149"/>
      <c r="G641" s="149"/>
      <c r="H641" s="150"/>
      <c r="I641" s="150"/>
      <c r="J641" s="137"/>
      <c r="K641" s="137"/>
      <c r="L641" s="137"/>
      <c r="M641" s="137"/>
      <c r="N641" s="137"/>
      <c r="O641" s="137"/>
      <c r="P641" s="137"/>
      <c r="Q641" s="137"/>
      <c r="R641" s="137"/>
      <c r="S641" s="137"/>
      <c r="T641" s="137"/>
      <c r="U641" s="137"/>
      <c r="V641" s="137"/>
      <c r="W641" s="137"/>
      <c r="X641" s="137"/>
      <c r="Y641" s="137"/>
      <c r="Z641" s="137"/>
    </row>
    <row r="642" ht="13.2" spans="1:26">
      <c r="A642" s="151"/>
      <c r="B642" s="149"/>
      <c r="C642" s="149"/>
      <c r="D642" s="149"/>
      <c r="E642" s="149"/>
      <c r="F642" s="149"/>
      <c r="G642" s="149"/>
      <c r="H642" s="150"/>
      <c r="I642" s="150"/>
      <c r="J642" s="137"/>
      <c r="K642" s="137"/>
      <c r="L642" s="137"/>
      <c r="M642" s="137"/>
      <c r="N642" s="137"/>
      <c r="O642" s="137"/>
      <c r="P642" s="137"/>
      <c r="Q642" s="137"/>
      <c r="R642" s="137"/>
      <c r="S642" s="137"/>
      <c r="T642" s="137"/>
      <c r="U642" s="137"/>
      <c r="V642" s="137"/>
      <c r="W642" s="137"/>
      <c r="X642" s="137"/>
      <c r="Y642" s="137"/>
      <c r="Z642" s="137"/>
    </row>
    <row r="643" ht="13.2" spans="1:26">
      <c r="A643" s="151"/>
      <c r="B643" s="149"/>
      <c r="C643" s="149"/>
      <c r="D643" s="149"/>
      <c r="E643" s="149"/>
      <c r="F643" s="149"/>
      <c r="G643" s="149"/>
      <c r="H643" s="150"/>
      <c r="I643" s="150"/>
      <c r="J643" s="137"/>
      <c r="K643" s="137"/>
      <c r="L643" s="137"/>
      <c r="M643" s="137"/>
      <c r="N643" s="137"/>
      <c r="O643" s="137"/>
      <c r="P643" s="137"/>
      <c r="Q643" s="137"/>
      <c r="R643" s="137"/>
      <c r="S643" s="137"/>
      <c r="T643" s="137"/>
      <c r="U643" s="137"/>
      <c r="V643" s="137"/>
      <c r="W643" s="137"/>
      <c r="X643" s="137"/>
      <c r="Y643" s="137"/>
      <c r="Z643" s="137"/>
    </row>
    <row r="644" ht="13.2" spans="1:26">
      <c r="A644" s="151"/>
      <c r="B644" s="149"/>
      <c r="C644" s="149"/>
      <c r="D644" s="149"/>
      <c r="E644" s="149"/>
      <c r="F644" s="149"/>
      <c r="G644" s="149"/>
      <c r="H644" s="150"/>
      <c r="I644" s="150"/>
      <c r="J644" s="137"/>
      <c r="K644" s="137"/>
      <c r="L644" s="137"/>
      <c r="M644" s="137"/>
      <c r="N644" s="137"/>
      <c r="O644" s="137"/>
      <c r="P644" s="137"/>
      <c r="Q644" s="137"/>
      <c r="R644" s="137"/>
      <c r="S644" s="137"/>
      <c r="T644" s="137"/>
      <c r="U644" s="137"/>
      <c r="V644" s="137"/>
      <c r="W644" s="137"/>
      <c r="X644" s="137"/>
      <c r="Y644" s="137"/>
      <c r="Z644" s="137"/>
    </row>
    <row r="645" ht="13.2" spans="1:26">
      <c r="A645" s="151"/>
      <c r="B645" s="149"/>
      <c r="C645" s="149"/>
      <c r="D645" s="149"/>
      <c r="E645" s="149"/>
      <c r="F645" s="149"/>
      <c r="G645" s="149"/>
      <c r="H645" s="150"/>
      <c r="I645" s="150"/>
      <c r="J645" s="137"/>
      <c r="K645" s="137"/>
      <c r="L645" s="137"/>
      <c r="M645" s="137"/>
      <c r="N645" s="137"/>
      <c r="O645" s="137"/>
      <c r="P645" s="137"/>
      <c r="Q645" s="137"/>
      <c r="R645" s="137"/>
      <c r="S645" s="137"/>
      <c r="T645" s="137"/>
      <c r="U645" s="137"/>
      <c r="V645" s="137"/>
      <c r="W645" s="137"/>
      <c r="X645" s="137"/>
      <c r="Y645" s="137"/>
      <c r="Z645" s="137"/>
    </row>
    <row r="646" ht="13.2" spans="1:26">
      <c r="A646" s="151"/>
      <c r="B646" s="149"/>
      <c r="C646" s="149"/>
      <c r="D646" s="149"/>
      <c r="E646" s="149"/>
      <c r="F646" s="149"/>
      <c r="G646" s="149"/>
      <c r="H646" s="150"/>
      <c r="I646" s="150"/>
      <c r="J646" s="137"/>
      <c r="K646" s="137"/>
      <c r="L646" s="137"/>
      <c r="M646" s="137"/>
      <c r="N646" s="137"/>
      <c r="O646" s="137"/>
      <c r="P646" s="137"/>
      <c r="Q646" s="137"/>
      <c r="R646" s="137"/>
      <c r="S646" s="137"/>
      <c r="T646" s="137"/>
      <c r="U646" s="137"/>
      <c r="V646" s="137"/>
      <c r="W646" s="137"/>
      <c r="X646" s="137"/>
      <c r="Y646" s="137"/>
      <c r="Z646" s="137"/>
    </row>
    <row r="647" ht="13.2" spans="1:26">
      <c r="A647" s="151"/>
      <c r="B647" s="149"/>
      <c r="C647" s="149"/>
      <c r="D647" s="149"/>
      <c r="E647" s="149"/>
      <c r="F647" s="149"/>
      <c r="G647" s="149"/>
      <c r="H647" s="150"/>
      <c r="I647" s="150"/>
      <c r="J647" s="137"/>
      <c r="K647" s="137"/>
      <c r="L647" s="137"/>
      <c r="M647" s="137"/>
      <c r="N647" s="137"/>
      <c r="O647" s="137"/>
      <c r="P647" s="137"/>
      <c r="Q647" s="137"/>
      <c r="R647" s="137"/>
      <c r="S647" s="137"/>
      <c r="T647" s="137"/>
      <c r="U647" s="137"/>
      <c r="V647" s="137"/>
      <c r="W647" s="137"/>
      <c r="X647" s="137"/>
      <c r="Y647" s="137"/>
      <c r="Z647" s="137"/>
    </row>
    <row r="648" ht="13.2" spans="1:26">
      <c r="A648" s="151"/>
      <c r="B648" s="149"/>
      <c r="C648" s="149"/>
      <c r="D648" s="149"/>
      <c r="E648" s="149"/>
      <c r="F648" s="149"/>
      <c r="G648" s="149"/>
      <c r="H648" s="150"/>
      <c r="I648" s="150"/>
      <c r="J648" s="137"/>
      <c r="K648" s="137"/>
      <c r="L648" s="137"/>
      <c r="M648" s="137"/>
      <c r="N648" s="137"/>
      <c r="O648" s="137"/>
      <c r="P648" s="137"/>
      <c r="Q648" s="137"/>
      <c r="R648" s="137"/>
      <c r="S648" s="137"/>
      <c r="T648" s="137"/>
      <c r="U648" s="137"/>
      <c r="V648" s="137"/>
      <c r="W648" s="137"/>
      <c r="X648" s="137"/>
      <c r="Y648" s="137"/>
      <c r="Z648" s="137"/>
    </row>
    <row r="649" ht="13.2" spans="1:26">
      <c r="A649" s="151"/>
      <c r="B649" s="149"/>
      <c r="C649" s="149"/>
      <c r="D649" s="149"/>
      <c r="E649" s="149"/>
      <c r="F649" s="149"/>
      <c r="G649" s="149"/>
      <c r="H649" s="150"/>
      <c r="I649" s="150"/>
      <c r="J649" s="137"/>
      <c r="K649" s="137"/>
      <c r="L649" s="137"/>
      <c r="M649" s="137"/>
      <c r="N649" s="137"/>
      <c r="O649" s="137"/>
      <c r="P649" s="137"/>
      <c r="Q649" s="137"/>
      <c r="R649" s="137"/>
      <c r="S649" s="137"/>
      <c r="T649" s="137"/>
      <c r="U649" s="137"/>
      <c r="V649" s="137"/>
      <c r="W649" s="137"/>
      <c r="X649" s="137"/>
      <c r="Y649" s="137"/>
      <c r="Z649" s="137"/>
    </row>
    <row r="650" ht="13.2" spans="1:26">
      <c r="A650" s="151"/>
      <c r="B650" s="149"/>
      <c r="C650" s="149"/>
      <c r="D650" s="149"/>
      <c r="E650" s="149"/>
      <c r="F650" s="149"/>
      <c r="G650" s="149"/>
      <c r="H650" s="150"/>
      <c r="I650" s="150"/>
      <c r="J650" s="137"/>
      <c r="K650" s="137"/>
      <c r="L650" s="137"/>
      <c r="M650" s="137"/>
      <c r="N650" s="137"/>
      <c r="O650" s="137"/>
      <c r="P650" s="137"/>
      <c r="Q650" s="137"/>
      <c r="R650" s="137"/>
      <c r="S650" s="137"/>
      <c r="T650" s="137"/>
      <c r="U650" s="137"/>
      <c r="V650" s="137"/>
      <c r="W650" s="137"/>
      <c r="X650" s="137"/>
      <c r="Y650" s="137"/>
      <c r="Z650" s="137"/>
    </row>
    <row r="651" ht="13.2" spans="1:26">
      <c r="A651" s="151"/>
      <c r="B651" s="149"/>
      <c r="C651" s="149"/>
      <c r="D651" s="149"/>
      <c r="E651" s="149"/>
      <c r="F651" s="149"/>
      <c r="G651" s="149"/>
      <c r="H651" s="150"/>
      <c r="I651" s="150"/>
      <c r="J651" s="137"/>
      <c r="K651" s="137"/>
      <c r="L651" s="137"/>
      <c r="M651" s="137"/>
      <c r="N651" s="137"/>
      <c r="O651" s="137"/>
      <c r="P651" s="137"/>
      <c r="Q651" s="137"/>
      <c r="R651" s="137"/>
      <c r="S651" s="137"/>
      <c r="T651" s="137"/>
      <c r="U651" s="137"/>
      <c r="V651" s="137"/>
      <c r="W651" s="137"/>
      <c r="X651" s="137"/>
      <c r="Y651" s="137"/>
      <c r="Z651" s="137"/>
    </row>
    <row r="652" ht="13.2" spans="1:26">
      <c r="A652" s="151"/>
      <c r="B652" s="149"/>
      <c r="C652" s="149"/>
      <c r="D652" s="149"/>
      <c r="E652" s="149"/>
      <c r="F652" s="149"/>
      <c r="G652" s="149"/>
      <c r="H652" s="150"/>
      <c r="I652" s="150"/>
      <c r="J652" s="137"/>
      <c r="K652" s="137"/>
      <c r="L652" s="137"/>
      <c r="M652" s="137"/>
      <c r="N652" s="137"/>
      <c r="O652" s="137"/>
      <c r="P652" s="137"/>
      <c r="Q652" s="137"/>
      <c r="R652" s="137"/>
      <c r="S652" s="137"/>
      <c r="T652" s="137"/>
      <c r="U652" s="137"/>
      <c r="V652" s="137"/>
      <c r="W652" s="137"/>
      <c r="X652" s="137"/>
      <c r="Y652" s="137"/>
      <c r="Z652" s="137"/>
    </row>
    <row r="653" ht="13.2" spans="1:26">
      <c r="A653" s="151"/>
      <c r="B653" s="149"/>
      <c r="C653" s="149"/>
      <c r="D653" s="149"/>
      <c r="E653" s="149"/>
      <c r="F653" s="149"/>
      <c r="G653" s="149"/>
      <c r="H653" s="150"/>
      <c r="I653" s="150"/>
      <c r="J653" s="137"/>
      <c r="K653" s="137"/>
      <c r="L653" s="137"/>
      <c r="M653" s="137"/>
      <c r="N653" s="137"/>
      <c r="O653" s="137"/>
      <c r="P653" s="137"/>
      <c r="Q653" s="137"/>
      <c r="R653" s="137"/>
      <c r="S653" s="137"/>
      <c r="T653" s="137"/>
      <c r="U653" s="137"/>
      <c r="V653" s="137"/>
      <c r="W653" s="137"/>
      <c r="X653" s="137"/>
      <c r="Y653" s="137"/>
      <c r="Z653" s="137"/>
    </row>
    <row r="654" ht="13.2" spans="1:26">
      <c r="A654" s="151"/>
      <c r="B654" s="149"/>
      <c r="C654" s="149"/>
      <c r="D654" s="149"/>
      <c r="E654" s="149"/>
      <c r="F654" s="149"/>
      <c r="G654" s="149"/>
      <c r="H654" s="150"/>
      <c r="I654" s="150"/>
      <c r="J654" s="137"/>
      <c r="K654" s="137"/>
      <c r="L654" s="137"/>
      <c r="M654" s="137"/>
      <c r="N654" s="137"/>
      <c r="O654" s="137"/>
      <c r="P654" s="137"/>
      <c r="Q654" s="137"/>
      <c r="R654" s="137"/>
      <c r="S654" s="137"/>
      <c r="T654" s="137"/>
      <c r="U654" s="137"/>
      <c r="V654" s="137"/>
      <c r="W654" s="137"/>
      <c r="X654" s="137"/>
      <c r="Y654" s="137"/>
      <c r="Z654" s="137"/>
    </row>
    <row r="655" ht="13.2" spans="1:26">
      <c r="A655" s="151"/>
      <c r="B655" s="149"/>
      <c r="C655" s="149"/>
      <c r="D655" s="149"/>
      <c r="E655" s="149"/>
      <c r="F655" s="149"/>
      <c r="G655" s="149"/>
      <c r="H655" s="150"/>
      <c r="I655" s="150"/>
      <c r="J655" s="137"/>
      <c r="K655" s="137"/>
      <c r="L655" s="137"/>
      <c r="M655" s="137"/>
      <c r="N655" s="137"/>
      <c r="O655" s="137"/>
      <c r="P655" s="137"/>
      <c r="Q655" s="137"/>
      <c r="R655" s="137"/>
      <c r="S655" s="137"/>
      <c r="T655" s="137"/>
      <c r="U655" s="137"/>
      <c r="V655" s="137"/>
      <c r="W655" s="137"/>
      <c r="X655" s="137"/>
      <c r="Y655" s="137"/>
      <c r="Z655" s="137"/>
    </row>
    <row r="656" ht="13.2" spans="1:26">
      <c r="A656" s="151"/>
      <c r="B656" s="149"/>
      <c r="C656" s="149"/>
      <c r="D656" s="149"/>
      <c r="E656" s="149"/>
      <c r="F656" s="149"/>
      <c r="G656" s="149"/>
      <c r="H656" s="150"/>
      <c r="I656" s="150"/>
      <c r="J656" s="137"/>
      <c r="K656" s="137"/>
      <c r="L656" s="137"/>
      <c r="M656" s="137"/>
      <c r="N656" s="137"/>
      <c r="O656" s="137"/>
      <c r="P656" s="137"/>
      <c r="Q656" s="137"/>
      <c r="R656" s="137"/>
      <c r="S656" s="137"/>
      <c r="T656" s="137"/>
      <c r="U656" s="137"/>
      <c r="V656" s="137"/>
      <c r="W656" s="137"/>
      <c r="X656" s="137"/>
      <c r="Y656" s="137"/>
      <c r="Z656" s="137"/>
    </row>
    <row r="657" ht="13.2" spans="1:26">
      <c r="A657" s="151"/>
      <c r="B657" s="149"/>
      <c r="C657" s="149"/>
      <c r="D657" s="149"/>
      <c r="E657" s="149"/>
      <c r="F657" s="149"/>
      <c r="G657" s="149"/>
      <c r="H657" s="150"/>
      <c r="I657" s="150"/>
      <c r="J657" s="137"/>
      <c r="K657" s="137"/>
      <c r="L657" s="137"/>
      <c r="M657" s="137"/>
      <c r="N657" s="137"/>
      <c r="O657" s="137"/>
      <c r="P657" s="137"/>
      <c r="Q657" s="137"/>
      <c r="R657" s="137"/>
      <c r="S657" s="137"/>
      <c r="T657" s="137"/>
      <c r="U657" s="137"/>
      <c r="V657" s="137"/>
      <c r="W657" s="137"/>
      <c r="X657" s="137"/>
      <c r="Y657" s="137"/>
      <c r="Z657" s="137"/>
    </row>
    <row r="658" ht="13.2" spans="1:26">
      <c r="A658" s="151"/>
      <c r="B658" s="149"/>
      <c r="C658" s="149"/>
      <c r="D658" s="149"/>
      <c r="E658" s="149"/>
      <c r="F658" s="149"/>
      <c r="G658" s="149"/>
      <c r="H658" s="150"/>
      <c r="I658" s="150"/>
      <c r="J658" s="137"/>
      <c r="K658" s="137"/>
      <c r="L658" s="137"/>
      <c r="M658" s="137"/>
      <c r="N658" s="137"/>
      <c r="O658" s="137"/>
      <c r="P658" s="137"/>
      <c r="Q658" s="137"/>
      <c r="R658" s="137"/>
      <c r="S658" s="137"/>
      <c r="T658" s="137"/>
      <c r="U658" s="137"/>
      <c r="V658" s="137"/>
      <c r="W658" s="137"/>
      <c r="X658" s="137"/>
      <c r="Y658" s="137"/>
      <c r="Z658" s="137"/>
    </row>
    <row r="659" ht="13.2" spans="1:26">
      <c r="A659" s="151"/>
      <c r="B659" s="149"/>
      <c r="C659" s="149"/>
      <c r="D659" s="149"/>
      <c r="E659" s="149"/>
      <c r="F659" s="149"/>
      <c r="G659" s="149"/>
      <c r="H659" s="150"/>
      <c r="I659" s="150"/>
      <c r="J659" s="137"/>
      <c r="K659" s="137"/>
      <c r="L659" s="137"/>
      <c r="M659" s="137"/>
      <c r="N659" s="137"/>
      <c r="O659" s="137"/>
      <c r="P659" s="137"/>
      <c r="Q659" s="137"/>
      <c r="R659" s="137"/>
      <c r="S659" s="137"/>
      <c r="T659" s="137"/>
      <c r="U659" s="137"/>
      <c r="V659" s="137"/>
      <c r="W659" s="137"/>
      <c r="X659" s="137"/>
      <c r="Y659" s="137"/>
      <c r="Z659" s="137"/>
    </row>
    <row r="660" ht="13.2" spans="1:26">
      <c r="A660" s="151"/>
      <c r="B660" s="149"/>
      <c r="C660" s="149"/>
      <c r="D660" s="149"/>
      <c r="E660" s="149"/>
      <c r="F660" s="149"/>
      <c r="G660" s="149"/>
      <c r="H660" s="150"/>
      <c r="I660" s="150"/>
      <c r="J660" s="137"/>
      <c r="K660" s="137"/>
      <c r="L660" s="137"/>
      <c r="M660" s="137"/>
      <c r="N660" s="137"/>
      <c r="O660" s="137"/>
      <c r="P660" s="137"/>
      <c r="Q660" s="137"/>
      <c r="R660" s="137"/>
      <c r="S660" s="137"/>
      <c r="T660" s="137"/>
      <c r="U660" s="137"/>
      <c r="V660" s="137"/>
      <c r="W660" s="137"/>
      <c r="X660" s="137"/>
      <c r="Y660" s="137"/>
      <c r="Z660" s="137"/>
    </row>
    <row r="661" ht="13.2" spans="1:26">
      <c r="A661" s="151"/>
      <c r="B661" s="149"/>
      <c r="C661" s="149"/>
      <c r="D661" s="149"/>
      <c r="E661" s="149"/>
      <c r="F661" s="149"/>
      <c r="G661" s="149"/>
      <c r="H661" s="150"/>
      <c r="I661" s="150"/>
      <c r="J661" s="137"/>
      <c r="K661" s="137"/>
      <c r="L661" s="137"/>
      <c r="M661" s="137"/>
      <c r="N661" s="137"/>
      <c r="O661" s="137"/>
      <c r="P661" s="137"/>
      <c r="Q661" s="137"/>
      <c r="R661" s="137"/>
      <c r="S661" s="137"/>
      <c r="T661" s="137"/>
      <c r="U661" s="137"/>
      <c r="V661" s="137"/>
      <c r="W661" s="137"/>
      <c r="X661" s="137"/>
      <c r="Y661" s="137"/>
      <c r="Z661" s="137"/>
    </row>
    <row r="662" ht="13.2" spans="1:26">
      <c r="A662" s="151"/>
      <c r="B662" s="149"/>
      <c r="C662" s="149"/>
      <c r="D662" s="149"/>
      <c r="E662" s="149"/>
      <c r="F662" s="149"/>
      <c r="G662" s="149"/>
      <c r="H662" s="150"/>
      <c r="I662" s="150"/>
      <c r="J662" s="137"/>
      <c r="K662" s="137"/>
      <c r="L662" s="137"/>
      <c r="M662" s="137"/>
      <c r="N662" s="137"/>
      <c r="O662" s="137"/>
      <c r="P662" s="137"/>
      <c r="Q662" s="137"/>
      <c r="R662" s="137"/>
      <c r="S662" s="137"/>
      <c r="T662" s="137"/>
      <c r="U662" s="137"/>
      <c r="V662" s="137"/>
      <c r="W662" s="137"/>
      <c r="X662" s="137"/>
      <c r="Y662" s="137"/>
      <c r="Z662" s="137"/>
    </row>
    <row r="663" ht="13.2" spans="1:26">
      <c r="A663" s="151"/>
      <c r="B663" s="149"/>
      <c r="C663" s="149"/>
      <c r="D663" s="149"/>
      <c r="E663" s="149"/>
      <c r="F663" s="149"/>
      <c r="G663" s="149"/>
      <c r="H663" s="150"/>
      <c r="I663" s="150"/>
      <c r="J663" s="137"/>
      <c r="K663" s="137"/>
      <c r="L663" s="137"/>
      <c r="M663" s="137"/>
      <c r="N663" s="137"/>
      <c r="O663" s="137"/>
      <c r="P663" s="137"/>
      <c r="Q663" s="137"/>
      <c r="R663" s="137"/>
      <c r="S663" s="137"/>
      <c r="T663" s="137"/>
      <c r="U663" s="137"/>
      <c r="V663" s="137"/>
      <c r="W663" s="137"/>
      <c r="X663" s="137"/>
      <c r="Y663" s="137"/>
      <c r="Z663" s="137"/>
    </row>
    <row r="664" ht="13.2" spans="1:26">
      <c r="A664" s="151"/>
      <c r="B664" s="149"/>
      <c r="C664" s="149"/>
      <c r="D664" s="149"/>
      <c r="E664" s="149"/>
      <c r="F664" s="149"/>
      <c r="G664" s="149"/>
      <c r="H664" s="150"/>
      <c r="I664" s="150"/>
      <c r="J664" s="137"/>
      <c r="K664" s="137"/>
      <c r="L664" s="137"/>
      <c r="M664" s="137"/>
      <c r="N664" s="137"/>
      <c r="O664" s="137"/>
      <c r="P664" s="137"/>
      <c r="Q664" s="137"/>
      <c r="R664" s="137"/>
      <c r="S664" s="137"/>
      <c r="T664" s="137"/>
      <c r="U664" s="137"/>
      <c r="V664" s="137"/>
      <c r="W664" s="137"/>
      <c r="X664" s="137"/>
      <c r="Y664" s="137"/>
      <c r="Z664" s="137"/>
    </row>
    <row r="665" ht="13.2" spans="1:26">
      <c r="A665" s="151"/>
      <c r="B665" s="149"/>
      <c r="C665" s="149"/>
      <c r="D665" s="149"/>
      <c r="E665" s="149"/>
      <c r="F665" s="149"/>
      <c r="G665" s="149"/>
      <c r="H665" s="150"/>
      <c r="I665" s="150"/>
      <c r="J665" s="137"/>
      <c r="K665" s="137"/>
      <c r="L665" s="137"/>
      <c r="M665" s="137"/>
      <c r="N665" s="137"/>
      <c r="O665" s="137"/>
      <c r="P665" s="137"/>
      <c r="Q665" s="137"/>
      <c r="R665" s="137"/>
      <c r="S665" s="137"/>
      <c r="T665" s="137"/>
      <c r="U665" s="137"/>
      <c r="V665" s="137"/>
      <c r="W665" s="137"/>
      <c r="X665" s="137"/>
      <c r="Y665" s="137"/>
      <c r="Z665" s="137"/>
    </row>
    <row r="666" ht="13.2" spans="1:26">
      <c r="A666" s="151"/>
      <c r="B666" s="149"/>
      <c r="C666" s="149"/>
      <c r="D666" s="149"/>
      <c r="E666" s="149"/>
      <c r="F666" s="149"/>
      <c r="G666" s="149"/>
      <c r="H666" s="150"/>
      <c r="I666" s="150"/>
      <c r="J666" s="137"/>
      <c r="K666" s="137"/>
      <c r="L666" s="137"/>
      <c r="M666" s="137"/>
      <c r="N666" s="137"/>
      <c r="O666" s="137"/>
      <c r="P666" s="137"/>
      <c r="Q666" s="137"/>
      <c r="R666" s="137"/>
      <c r="S666" s="137"/>
      <c r="T666" s="137"/>
      <c r="U666" s="137"/>
      <c r="V666" s="137"/>
      <c r="W666" s="137"/>
      <c r="X666" s="137"/>
      <c r="Y666" s="137"/>
      <c r="Z666" s="137"/>
    </row>
    <row r="667" ht="13.2" spans="1:26">
      <c r="A667" s="151"/>
      <c r="B667" s="149"/>
      <c r="C667" s="149"/>
      <c r="D667" s="149"/>
      <c r="E667" s="149"/>
      <c r="F667" s="149"/>
      <c r="G667" s="149"/>
      <c r="H667" s="150"/>
      <c r="I667" s="150"/>
      <c r="J667" s="137"/>
      <c r="K667" s="137"/>
      <c r="L667" s="137"/>
      <c r="M667" s="137"/>
      <c r="N667" s="137"/>
      <c r="O667" s="137"/>
      <c r="P667" s="137"/>
      <c r="Q667" s="137"/>
      <c r="R667" s="137"/>
      <c r="S667" s="137"/>
      <c r="T667" s="137"/>
      <c r="U667" s="137"/>
      <c r="V667" s="137"/>
      <c r="W667" s="137"/>
      <c r="X667" s="137"/>
      <c r="Y667" s="137"/>
      <c r="Z667" s="137"/>
    </row>
    <row r="668" ht="13.2" spans="1:26">
      <c r="A668" s="151"/>
      <c r="B668" s="149"/>
      <c r="C668" s="149"/>
      <c r="D668" s="149"/>
      <c r="E668" s="149"/>
      <c r="F668" s="149"/>
      <c r="G668" s="149"/>
      <c r="H668" s="150"/>
      <c r="I668" s="150"/>
      <c r="J668" s="137"/>
      <c r="K668" s="137"/>
      <c r="L668" s="137"/>
      <c r="M668" s="137"/>
      <c r="N668" s="137"/>
      <c r="O668" s="137"/>
      <c r="P668" s="137"/>
      <c r="Q668" s="137"/>
      <c r="R668" s="137"/>
      <c r="S668" s="137"/>
      <c r="T668" s="137"/>
      <c r="U668" s="137"/>
      <c r="V668" s="137"/>
      <c r="W668" s="137"/>
      <c r="X668" s="137"/>
      <c r="Y668" s="137"/>
      <c r="Z668" s="137"/>
    </row>
    <row r="669" ht="13.2" spans="1:26">
      <c r="A669" s="151"/>
      <c r="B669" s="149"/>
      <c r="C669" s="149"/>
      <c r="D669" s="149"/>
      <c r="E669" s="149"/>
      <c r="F669" s="149"/>
      <c r="G669" s="149"/>
      <c r="H669" s="150"/>
      <c r="I669" s="150"/>
      <c r="J669" s="137"/>
      <c r="K669" s="137"/>
      <c r="L669" s="137"/>
      <c r="M669" s="137"/>
      <c r="N669" s="137"/>
      <c r="O669" s="137"/>
      <c r="P669" s="137"/>
      <c r="Q669" s="137"/>
      <c r="R669" s="137"/>
      <c r="S669" s="137"/>
      <c r="T669" s="137"/>
      <c r="U669" s="137"/>
      <c r="V669" s="137"/>
      <c r="W669" s="137"/>
      <c r="X669" s="137"/>
      <c r="Y669" s="137"/>
      <c r="Z669" s="137"/>
    </row>
    <row r="670" ht="13.2" spans="1:26">
      <c r="A670" s="151"/>
      <c r="B670" s="149"/>
      <c r="C670" s="149"/>
      <c r="D670" s="149"/>
      <c r="E670" s="149"/>
      <c r="F670" s="149"/>
      <c r="G670" s="149"/>
      <c r="H670" s="150"/>
      <c r="I670" s="150"/>
      <c r="J670" s="137"/>
      <c r="K670" s="137"/>
      <c r="L670" s="137"/>
      <c r="M670" s="137"/>
      <c r="N670" s="137"/>
      <c r="O670" s="137"/>
      <c r="P670" s="137"/>
      <c r="Q670" s="137"/>
      <c r="R670" s="137"/>
      <c r="S670" s="137"/>
      <c r="T670" s="137"/>
      <c r="U670" s="137"/>
      <c r="V670" s="137"/>
      <c r="W670" s="137"/>
      <c r="X670" s="137"/>
      <c r="Y670" s="137"/>
      <c r="Z670" s="137"/>
    </row>
    <row r="671" ht="13.2" spans="1:26">
      <c r="A671" s="151"/>
      <c r="B671" s="149"/>
      <c r="C671" s="149"/>
      <c r="D671" s="149"/>
      <c r="E671" s="149"/>
      <c r="F671" s="149"/>
      <c r="G671" s="149"/>
      <c r="H671" s="150"/>
      <c r="I671" s="150"/>
      <c r="J671" s="137"/>
      <c r="K671" s="137"/>
      <c r="L671" s="137"/>
      <c r="M671" s="137"/>
      <c r="N671" s="137"/>
      <c r="O671" s="137"/>
      <c r="P671" s="137"/>
      <c r="Q671" s="137"/>
      <c r="R671" s="137"/>
      <c r="S671" s="137"/>
      <c r="T671" s="137"/>
      <c r="U671" s="137"/>
      <c r="V671" s="137"/>
      <c r="W671" s="137"/>
      <c r="X671" s="137"/>
      <c r="Y671" s="137"/>
      <c r="Z671" s="137"/>
    </row>
    <row r="672" ht="13.2" spans="1:26">
      <c r="A672" s="151"/>
      <c r="B672" s="149"/>
      <c r="C672" s="149"/>
      <c r="D672" s="149"/>
      <c r="E672" s="149"/>
      <c r="F672" s="149"/>
      <c r="G672" s="149"/>
      <c r="H672" s="150"/>
      <c r="I672" s="150"/>
      <c r="J672" s="137"/>
      <c r="K672" s="137"/>
      <c r="L672" s="137"/>
      <c r="M672" s="137"/>
      <c r="N672" s="137"/>
      <c r="O672" s="137"/>
      <c r="P672" s="137"/>
      <c r="Q672" s="137"/>
      <c r="R672" s="137"/>
      <c r="S672" s="137"/>
      <c r="T672" s="137"/>
      <c r="U672" s="137"/>
      <c r="V672" s="137"/>
      <c r="W672" s="137"/>
      <c r="X672" s="137"/>
      <c r="Y672" s="137"/>
      <c r="Z672" s="137"/>
    </row>
    <row r="673" ht="13.2" spans="1:26">
      <c r="A673" s="151"/>
      <c r="B673" s="149"/>
      <c r="C673" s="149"/>
      <c r="D673" s="149"/>
      <c r="E673" s="149"/>
      <c r="F673" s="149"/>
      <c r="G673" s="149"/>
      <c r="H673" s="150"/>
      <c r="I673" s="150"/>
      <c r="J673" s="137"/>
      <c r="K673" s="137"/>
      <c r="L673" s="137"/>
      <c r="M673" s="137"/>
      <c r="N673" s="137"/>
      <c r="O673" s="137"/>
      <c r="P673" s="137"/>
      <c r="Q673" s="137"/>
      <c r="R673" s="137"/>
      <c r="S673" s="137"/>
      <c r="T673" s="137"/>
      <c r="U673" s="137"/>
      <c r="V673" s="137"/>
      <c r="W673" s="137"/>
      <c r="X673" s="137"/>
      <c r="Y673" s="137"/>
      <c r="Z673" s="137"/>
    </row>
    <row r="674" ht="13.2" spans="1:26">
      <c r="A674" s="151"/>
      <c r="B674" s="149"/>
      <c r="C674" s="149"/>
      <c r="D674" s="149"/>
      <c r="E674" s="149"/>
      <c r="F674" s="149"/>
      <c r="G674" s="149"/>
      <c r="H674" s="150"/>
      <c r="I674" s="150"/>
      <c r="J674" s="137"/>
      <c r="K674" s="137"/>
      <c r="L674" s="137"/>
      <c r="M674" s="137"/>
      <c r="N674" s="137"/>
      <c r="O674" s="137"/>
      <c r="P674" s="137"/>
      <c r="Q674" s="137"/>
      <c r="R674" s="137"/>
      <c r="S674" s="137"/>
      <c r="T674" s="137"/>
      <c r="U674" s="137"/>
      <c r="V674" s="137"/>
      <c r="W674" s="137"/>
      <c r="X674" s="137"/>
      <c r="Y674" s="137"/>
      <c r="Z674" s="137"/>
    </row>
    <row r="675" ht="13.2" spans="1:26">
      <c r="A675" s="151"/>
      <c r="B675" s="149"/>
      <c r="C675" s="149"/>
      <c r="D675" s="149"/>
      <c r="E675" s="149"/>
      <c r="F675" s="149"/>
      <c r="G675" s="149"/>
      <c r="H675" s="150"/>
      <c r="I675" s="150"/>
      <c r="J675" s="137"/>
      <c r="K675" s="137"/>
      <c r="L675" s="137"/>
      <c r="M675" s="137"/>
      <c r="N675" s="137"/>
      <c r="O675" s="137"/>
      <c r="P675" s="137"/>
      <c r="Q675" s="137"/>
      <c r="R675" s="137"/>
      <c r="S675" s="137"/>
      <c r="T675" s="137"/>
      <c r="U675" s="137"/>
      <c r="V675" s="137"/>
      <c r="W675" s="137"/>
      <c r="X675" s="137"/>
      <c r="Y675" s="137"/>
      <c r="Z675" s="137"/>
    </row>
    <row r="676" ht="13.2" spans="1:26">
      <c r="A676" s="151"/>
      <c r="B676" s="149"/>
      <c r="C676" s="149"/>
      <c r="D676" s="149"/>
      <c r="E676" s="149"/>
      <c r="F676" s="149"/>
      <c r="G676" s="149"/>
      <c r="H676" s="150"/>
      <c r="I676" s="150"/>
      <c r="J676" s="137"/>
      <c r="K676" s="137"/>
      <c r="L676" s="137"/>
      <c r="M676" s="137"/>
      <c r="N676" s="137"/>
      <c r="O676" s="137"/>
      <c r="P676" s="137"/>
      <c r="Q676" s="137"/>
      <c r="R676" s="137"/>
      <c r="S676" s="137"/>
      <c r="T676" s="137"/>
      <c r="U676" s="137"/>
      <c r="V676" s="137"/>
      <c r="W676" s="137"/>
      <c r="X676" s="137"/>
      <c r="Y676" s="137"/>
      <c r="Z676" s="137"/>
    </row>
    <row r="677" ht="13.2" spans="1:26">
      <c r="A677" s="151"/>
      <c r="B677" s="149"/>
      <c r="C677" s="149"/>
      <c r="D677" s="149"/>
      <c r="E677" s="149"/>
      <c r="F677" s="149"/>
      <c r="G677" s="149"/>
      <c r="H677" s="150"/>
      <c r="I677" s="150"/>
      <c r="J677" s="137"/>
      <c r="K677" s="137"/>
      <c r="L677" s="137"/>
      <c r="M677" s="137"/>
      <c r="N677" s="137"/>
      <c r="O677" s="137"/>
      <c r="P677" s="137"/>
      <c r="Q677" s="137"/>
      <c r="R677" s="137"/>
      <c r="S677" s="137"/>
      <c r="T677" s="137"/>
      <c r="U677" s="137"/>
      <c r="V677" s="137"/>
      <c r="W677" s="137"/>
      <c r="X677" s="137"/>
      <c r="Y677" s="137"/>
      <c r="Z677" s="137"/>
    </row>
    <row r="678" ht="13.2" spans="1:26">
      <c r="A678" s="151"/>
      <c r="B678" s="149"/>
      <c r="C678" s="149"/>
      <c r="D678" s="149"/>
      <c r="E678" s="149"/>
      <c r="F678" s="149"/>
      <c r="G678" s="149"/>
      <c r="H678" s="150"/>
      <c r="I678" s="150"/>
      <c r="J678" s="137"/>
      <c r="K678" s="137"/>
      <c r="L678" s="137"/>
      <c r="M678" s="137"/>
      <c r="N678" s="137"/>
      <c r="O678" s="137"/>
      <c r="P678" s="137"/>
      <c r="Q678" s="137"/>
      <c r="R678" s="137"/>
      <c r="S678" s="137"/>
      <c r="T678" s="137"/>
      <c r="U678" s="137"/>
      <c r="V678" s="137"/>
      <c r="W678" s="137"/>
      <c r="X678" s="137"/>
      <c r="Y678" s="137"/>
      <c r="Z678" s="137"/>
    </row>
    <row r="679" ht="13.2" spans="1:26">
      <c r="A679" s="151"/>
      <c r="B679" s="149"/>
      <c r="C679" s="149"/>
      <c r="D679" s="149"/>
      <c r="E679" s="149"/>
      <c r="F679" s="149"/>
      <c r="G679" s="149"/>
      <c r="H679" s="150"/>
      <c r="I679" s="150"/>
      <c r="J679" s="137"/>
      <c r="K679" s="137"/>
      <c r="L679" s="137"/>
      <c r="M679" s="137"/>
      <c r="N679" s="137"/>
      <c r="O679" s="137"/>
      <c r="P679" s="137"/>
      <c r="Q679" s="137"/>
      <c r="R679" s="137"/>
      <c r="S679" s="137"/>
      <c r="T679" s="137"/>
      <c r="U679" s="137"/>
      <c r="V679" s="137"/>
      <c r="W679" s="137"/>
      <c r="X679" s="137"/>
      <c r="Y679" s="137"/>
      <c r="Z679" s="137"/>
    </row>
    <row r="680" ht="13.2" spans="1:26">
      <c r="A680" s="151"/>
      <c r="B680" s="149"/>
      <c r="C680" s="149"/>
      <c r="D680" s="149"/>
      <c r="E680" s="149"/>
      <c r="F680" s="149"/>
      <c r="G680" s="149"/>
      <c r="H680" s="150"/>
      <c r="I680" s="150"/>
      <c r="J680" s="137"/>
      <c r="K680" s="137"/>
      <c r="L680" s="137"/>
      <c r="M680" s="137"/>
      <c r="N680" s="137"/>
      <c r="O680" s="137"/>
      <c r="P680" s="137"/>
      <c r="Q680" s="137"/>
      <c r="R680" s="137"/>
      <c r="S680" s="137"/>
      <c r="T680" s="137"/>
      <c r="U680" s="137"/>
      <c r="V680" s="137"/>
      <c r="W680" s="137"/>
      <c r="X680" s="137"/>
      <c r="Y680" s="137"/>
      <c r="Z680" s="137"/>
    </row>
    <row r="681" ht="13.2" spans="1:26">
      <c r="A681" s="151"/>
      <c r="B681" s="149"/>
      <c r="C681" s="149"/>
      <c r="D681" s="149"/>
      <c r="E681" s="149"/>
      <c r="F681" s="149"/>
      <c r="G681" s="149"/>
      <c r="H681" s="150"/>
      <c r="I681" s="150"/>
      <c r="J681" s="137"/>
      <c r="K681" s="137"/>
      <c r="L681" s="137"/>
      <c r="M681" s="137"/>
      <c r="N681" s="137"/>
      <c r="O681" s="137"/>
      <c r="P681" s="137"/>
      <c r="Q681" s="137"/>
      <c r="R681" s="137"/>
      <c r="S681" s="137"/>
      <c r="T681" s="137"/>
      <c r="U681" s="137"/>
      <c r="V681" s="137"/>
      <c r="W681" s="137"/>
      <c r="X681" s="137"/>
      <c r="Y681" s="137"/>
      <c r="Z681" s="137"/>
    </row>
    <row r="682" ht="13.2" spans="1:26">
      <c r="A682" s="151"/>
      <c r="B682" s="149"/>
      <c r="C682" s="149"/>
      <c r="D682" s="149"/>
      <c r="E682" s="149"/>
      <c r="F682" s="149"/>
      <c r="G682" s="149"/>
      <c r="H682" s="150"/>
      <c r="I682" s="150"/>
      <c r="J682" s="137"/>
      <c r="K682" s="137"/>
      <c r="L682" s="137"/>
      <c r="M682" s="137"/>
      <c r="N682" s="137"/>
      <c r="O682" s="137"/>
      <c r="P682" s="137"/>
      <c r="Q682" s="137"/>
      <c r="R682" s="137"/>
      <c r="S682" s="137"/>
      <c r="T682" s="137"/>
      <c r="U682" s="137"/>
      <c r="V682" s="137"/>
      <c r="W682" s="137"/>
      <c r="X682" s="137"/>
      <c r="Y682" s="137"/>
      <c r="Z682" s="137"/>
    </row>
    <row r="683" ht="13.2" spans="1:26">
      <c r="A683" s="151"/>
      <c r="B683" s="149"/>
      <c r="C683" s="149"/>
      <c r="D683" s="149"/>
      <c r="E683" s="149"/>
      <c r="F683" s="149"/>
      <c r="G683" s="149"/>
      <c r="H683" s="150"/>
      <c r="I683" s="150"/>
      <c r="J683" s="137"/>
      <c r="K683" s="137"/>
      <c r="L683" s="137"/>
      <c r="M683" s="137"/>
      <c r="N683" s="137"/>
      <c r="O683" s="137"/>
      <c r="P683" s="137"/>
      <c r="Q683" s="137"/>
      <c r="R683" s="137"/>
      <c r="S683" s="137"/>
      <c r="T683" s="137"/>
      <c r="U683" s="137"/>
      <c r="V683" s="137"/>
      <c r="W683" s="137"/>
      <c r="X683" s="137"/>
      <c r="Y683" s="137"/>
      <c r="Z683" s="137"/>
    </row>
    <row r="684" ht="13.2" spans="1:26">
      <c r="A684" s="151"/>
      <c r="B684" s="149"/>
      <c r="C684" s="149"/>
      <c r="D684" s="149"/>
      <c r="E684" s="149"/>
      <c r="F684" s="149"/>
      <c r="G684" s="149"/>
      <c r="H684" s="150"/>
      <c r="I684" s="150"/>
      <c r="J684" s="137"/>
      <c r="K684" s="137"/>
      <c r="L684" s="137"/>
      <c r="M684" s="137"/>
      <c r="N684" s="137"/>
      <c r="O684" s="137"/>
      <c r="P684" s="137"/>
      <c r="Q684" s="137"/>
      <c r="R684" s="137"/>
      <c r="S684" s="137"/>
      <c r="T684" s="137"/>
      <c r="U684" s="137"/>
      <c r="V684" s="137"/>
      <c r="W684" s="137"/>
      <c r="X684" s="137"/>
      <c r="Y684" s="137"/>
      <c r="Z684" s="137"/>
    </row>
    <row r="685" ht="13.2" spans="1:26">
      <c r="A685" s="151"/>
      <c r="B685" s="149"/>
      <c r="C685" s="149"/>
      <c r="D685" s="149"/>
      <c r="E685" s="149"/>
      <c r="F685" s="149"/>
      <c r="G685" s="149"/>
      <c r="H685" s="150"/>
      <c r="I685" s="150"/>
      <c r="J685" s="137"/>
      <c r="K685" s="137"/>
      <c r="L685" s="137"/>
      <c r="M685" s="137"/>
      <c r="N685" s="137"/>
      <c r="O685" s="137"/>
      <c r="P685" s="137"/>
      <c r="Q685" s="137"/>
      <c r="R685" s="137"/>
      <c r="S685" s="137"/>
      <c r="T685" s="137"/>
      <c r="U685" s="137"/>
      <c r="V685" s="137"/>
      <c r="W685" s="137"/>
      <c r="X685" s="137"/>
      <c r="Y685" s="137"/>
      <c r="Z685" s="137"/>
    </row>
    <row r="686" ht="13.2" spans="1:26">
      <c r="A686" s="151"/>
      <c r="B686" s="149"/>
      <c r="C686" s="149"/>
      <c r="D686" s="149"/>
      <c r="E686" s="149"/>
      <c r="F686" s="149"/>
      <c r="G686" s="149"/>
      <c r="H686" s="150"/>
      <c r="I686" s="150"/>
      <c r="J686" s="137"/>
      <c r="K686" s="137"/>
      <c r="L686" s="137"/>
      <c r="M686" s="137"/>
      <c r="N686" s="137"/>
      <c r="O686" s="137"/>
      <c r="P686" s="137"/>
      <c r="Q686" s="137"/>
      <c r="R686" s="137"/>
      <c r="S686" s="137"/>
      <c r="T686" s="137"/>
      <c r="U686" s="137"/>
      <c r="V686" s="137"/>
      <c r="W686" s="137"/>
      <c r="X686" s="137"/>
      <c r="Y686" s="137"/>
      <c r="Z686" s="137"/>
    </row>
    <row r="687" ht="13.2" spans="1:26">
      <c r="A687" s="151"/>
      <c r="B687" s="149"/>
      <c r="C687" s="149"/>
      <c r="D687" s="149"/>
      <c r="E687" s="149"/>
      <c r="F687" s="149"/>
      <c r="G687" s="149"/>
      <c r="H687" s="150"/>
      <c r="I687" s="150"/>
      <c r="J687" s="137"/>
      <c r="K687" s="137"/>
      <c r="L687" s="137"/>
      <c r="M687" s="137"/>
      <c r="N687" s="137"/>
      <c r="O687" s="137"/>
      <c r="P687" s="137"/>
      <c r="Q687" s="137"/>
      <c r="R687" s="137"/>
      <c r="S687" s="137"/>
      <c r="T687" s="137"/>
      <c r="U687" s="137"/>
      <c r="V687" s="137"/>
      <c r="W687" s="137"/>
      <c r="X687" s="137"/>
      <c r="Y687" s="137"/>
      <c r="Z687" s="137"/>
    </row>
    <row r="688" ht="13.2" spans="1:26">
      <c r="A688" s="151"/>
      <c r="B688" s="149"/>
      <c r="C688" s="149"/>
      <c r="D688" s="149"/>
      <c r="E688" s="149"/>
      <c r="F688" s="149"/>
      <c r="G688" s="149"/>
      <c r="H688" s="150"/>
      <c r="I688" s="150"/>
      <c r="J688" s="137"/>
      <c r="K688" s="137"/>
      <c r="L688" s="137"/>
      <c r="M688" s="137"/>
      <c r="N688" s="137"/>
      <c r="O688" s="137"/>
      <c r="P688" s="137"/>
      <c r="Q688" s="137"/>
      <c r="R688" s="137"/>
      <c r="S688" s="137"/>
      <c r="T688" s="137"/>
      <c r="U688" s="137"/>
      <c r="V688" s="137"/>
      <c r="W688" s="137"/>
      <c r="X688" s="137"/>
      <c r="Y688" s="137"/>
      <c r="Z688" s="137"/>
    </row>
    <row r="689" ht="13.2" spans="1:26">
      <c r="A689" s="151"/>
      <c r="B689" s="149"/>
      <c r="C689" s="149"/>
      <c r="D689" s="149"/>
      <c r="E689" s="149"/>
      <c r="F689" s="149"/>
      <c r="G689" s="149"/>
      <c r="H689" s="150"/>
      <c r="I689" s="150"/>
      <c r="J689" s="137"/>
      <c r="K689" s="137"/>
      <c r="L689" s="137"/>
      <c r="M689" s="137"/>
      <c r="N689" s="137"/>
      <c r="O689" s="137"/>
      <c r="P689" s="137"/>
      <c r="Q689" s="137"/>
      <c r="R689" s="137"/>
      <c r="S689" s="137"/>
      <c r="T689" s="137"/>
      <c r="U689" s="137"/>
      <c r="V689" s="137"/>
      <c r="W689" s="137"/>
      <c r="X689" s="137"/>
      <c r="Y689" s="137"/>
      <c r="Z689" s="137"/>
    </row>
    <row r="690" ht="13.2" spans="1:26">
      <c r="A690" s="151"/>
      <c r="B690" s="149"/>
      <c r="C690" s="149"/>
      <c r="D690" s="149"/>
      <c r="E690" s="149"/>
      <c r="F690" s="149"/>
      <c r="G690" s="149"/>
      <c r="H690" s="150"/>
      <c r="I690" s="150"/>
      <c r="J690" s="137"/>
      <c r="K690" s="137"/>
      <c r="L690" s="137"/>
      <c r="M690" s="137"/>
      <c r="N690" s="137"/>
      <c r="O690" s="137"/>
      <c r="P690" s="137"/>
      <c r="Q690" s="137"/>
      <c r="R690" s="137"/>
      <c r="S690" s="137"/>
      <c r="T690" s="137"/>
      <c r="U690" s="137"/>
      <c r="V690" s="137"/>
      <c r="W690" s="137"/>
      <c r="X690" s="137"/>
      <c r="Y690" s="137"/>
      <c r="Z690" s="137"/>
    </row>
    <row r="691" ht="13.2" spans="1:26">
      <c r="A691" s="151"/>
      <c r="B691" s="149"/>
      <c r="C691" s="149"/>
      <c r="D691" s="149"/>
      <c r="E691" s="149"/>
      <c r="F691" s="149"/>
      <c r="G691" s="149"/>
      <c r="H691" s="150"/>
      <c r="I691" s="150"/>
      <c r="J691" s="137"/>
      <c r="K691" s="137"/>
      <c r="L691" s="137"/>
      <c r="M691" s="137"/>
      <c r="N691" s="137"/>
      <c r="O691" s="137"/>
      <c r="P691" s="137"/>
      <c r="Q691" s="137"/>
      <c r="R691" s="137"/>
      <c r="S691" s="137"/>
      <c r="T691" s="137"/>
      <c r="U691" s="137"/>
      <c r="V691" s="137"/>
      <c r="W691" s="137"/>
      <c r="X691" s="137"/>
      <c r="Y691" s="137"/>
      <c r="Z691" s="137"/>
    </row>
    <row r="692" ht="13.2" spans="1:26">
      <c r="A692" s="151"/>
      <c r="B692" s="149"/>
      <c r="C692" s="149"/>
      <c r="D692" s="149"/>
      <c r="E692" s="149"/>
      <c r="F692" s="149"/>
      <c r="G692" s="149"/>
      <c r="H692" s="150"/>
      <c r="I692" s="150"/>
      <c r="J692" s="137"/>
      <c r="K692" s="137"/>
      <c r="L692" s="137"/>
      <c r="M692" s="137"/>
      <c r="N692" s="137"/>
      <c r="O692" s="137"/>
      <c r="P692" s="137"/>
      <c r="Q692" s="137"/>
      <c r="R692" s="137"/>
      <c r="S692" s="137"/>
      <c r="T692" s="137"/>
      <c r="U692" s="137"/>
      <c r="V692" s="137"/>
      <c r="W692" s="137"/>
      <c r="X692" s="137"/>
      <c r="Y692" s="137"/>
      <c r="Z692" s="137"/>
    </row>
    <row r="693" ht="13.2" spans="1:26">
      <c r="A693" s="151"/>
      <c r="B693" s="149"/>
      <c r="C693" s="149"/>
      <c r="D693" s="149"/>
      <c r="E693" s="149"/>
      <c r="F693" s="149"/>
      <c r="G693" s="149"/>
      <c r="H693" s="150"/>
      <c r="I693" s="150"/>
      <c r="J693" s="137"/>
      <c r="K693" s="137"/>
      <c r="L693" s="137"/>
      <c r="M693" s="137"/>
      <c r="N693" s="137"/>
      <c r="O693" s="137"/>
      <c r="P693" s="137"/>
      <c r="Q693" s="137"/>
      <c r="R693" s="137"/>
      <c r="S693" s="137"/>
      <c r="T693" s="137"/>
      <c r="U693" s="137"/>
      <c r="V693" s="137"/>
      <c r="W693" s="137"/>
      <c r="X693" s="137"/>
      <c r="Y693" s="137"/>
      <c r="Z693" s="137"/>
    </row>
    <row r="694" ht="13.2" spans="1:26">
      <c r="A694" s="151"/>
      <c r="B694" s="149"/>
      <c r="C694" s="149"/>
      <c r="D694" s="149"/>
      <c r="E694" s="149"/>
      <c r="F694" s="149"/>
      <c r="G694" s="149"/>
      <c r="H694" s="150"/>
      <c r="I694" s="150"/>
      <c r="J694" s="137"/>
      <c r="K694" s="137"/>
      <c r="L694" s="137"/>
      <c r="M694" s="137"/>
      <c r="N694" s="137"/>
      <c r="O694" s="137"/>
      <c r="P694" s="137"/>
      <c r="Q694" s="137"/>
      <c r="R694" s="137"/>
      <c r="S694" s="137"/>
      <c r="T694" s="137"/>
      <c r="U694" s="137"/>
      <c r="V694" s="137"/>
      <c r="W694" s="137"/>
      <c r="X694" s="137"/>
      <c r="Y694" s="137"/>
      <c r="Z694" s="137"/>
    </row>
    <row r="695" ht="13.2" spans="1:26">
      <c r="A695" s="151"/>
      <c r="B695" s="149"/>
      <c r="C695" s="149"/>
      <c r="D695" s="149"/>
      <c r="E695" s="149"/>
      <c r="F695" s="149"/>
      <c r="G695" s="149"/>
      <c r="H695" s="150"/>
      <c r="I695" s="150"/>
      <c r="J695" s="137"/>
      <c r="K695" s="137"/>
      <c r="L695" s="137"/>
      <c r="M695" s="137"/>
      <c r="N695" s="137"/>
      <c r="O695" s="137"/>
      <c r="P695" s="137"/>
      <c r="Q695" s="137"/>
      <c r="R695" s="137"/>
      <c r="S695" s="137"/>
      <c r="T695" s="137"/>
      <c r="U695" s="137"/>
      <c r="V695" s="137"/>
      <c r="W695" s="137"/>
      <c r="X695" s="137"/>
      <c r="Y695" s="137"/>
      <c r="Z695" s="137"/>
    </row>
    <row r="696" ht="13.2" spans="1:26">
      <c r="A696" s="151"/>
      <c r="B696" s="149"/>
      <c r="C696" s="149"/>
      <c r="D696" s="149"/>
      <c r="E696" s="149"/>
      <c r="F696" s="149"/>
      <c r="G696" s="149"/>
      <c r="H696" s="150"/>
      <c r="I696" s="150"/>
      <c r="J696" s="137"/>
      <c r="K696" s="137"/>
      <c r="L696" s="137"/>
      <c r="M696" s="137"/>
      <c r="N696" s="137"/>
      <c r="O696" s="137"/>
      <c r="P696" s="137"/>
      <c r="Q696" s="137"/>
      <c r="R696" s="137"/>
      <c r="S696" s="137"/>
      <c r="T696" s="137"/>
      <c r="U696" s="137"/>
      <c r="V696" s="137"/>
      <c r="W696" s="137"/>
      <c r="X696" s="137"/>
      <c r="Y696" s="137"/>
      <c r="Z696" s="137"/>
    </row>
    <row r="697" ht="13.2" spans="1:26">
      <c r="A697" s="151"/>
      <c r="B697" s="149"/>
      <c r="C697" s="149"/>
      <c r="D697" s="149"/>
      <c r="E697" s="149"/>
      <c r="F697" s="149"/>
      <c r="G697" s="149"/>
      <c r="H697" s="150"/>
      <c r="I697" s="150"/>
      <c r="J697" s="137"/>
      <c r="K697" s="137"/>
      <c r="L697" s="137"/>
      <c r="M697" s="137"/>
      <c r="N697" s="137"/>
      <c r="O697" s="137"/>
      <c r="P697" s="137"/>
      <c r="Q697" s="137"/>
      <c r="R697" s="137"/>
      <c r="S697" s="137"/>
      <c r="T697" s="137"/>
      <c r="U697" s="137"/>
      <c r="V697" s="137"/>
      <c r="W697" s="137"/>
      <c r="X697" s="137"/>
      <c r="Y697" s="137"/>
      <c r="Z697" s="137"/>
    </row>
    <row r="698" ht="13.2" spans="1:26">
      <c r="A698" s="151"/>
      <c r="B698" s="149"/>
      <c r="C698" s="149"/>
      <c r="D698" s="149"/>
      <c r="E698" s="149"/>
      <c r="F698" s="149"/>
      <c r="G698" s="149"/>
      <c r="H698" s="150"/>
      <c r="I698" s="150"/>
      <c r="J698" s="137"/>
      <c r="K698" s="137"/>
      <c r="L698" s="137"/>
      <c r="M698" s="137"/>
      <c r="N698" s="137"/>
      <c r="O698" s="137"/>
      <c r="P698" s="137"/>
      <c r="Q698" s="137"/>
      <c r="R698" s="137"/>
      <c r="S698" s="137"/>
      <c r="T698" s="137"/>
      <c r="U698" s="137"/>
      <c r="V698" s="137"/>
      <c r="W698" s="137"/>
      <c r="X698" s="137"/>
      <c r="Y698" s="137"/>
      <c r="Z698" s="137"/>
    </row>
    <row r="699" ht="13.2" spans="1:26">
      <c r="A699" s="151"/>
      <c r="B699" s="149"/>
      <c r="C699" s="149"/>
      <c r="D699" s="149"/>
      <c r="E699" s="149"/>
      <c r="F699" s="149"/>
      <c r="G699" s="149"/>
      <c r="H699" s="150"/>
      <c r="I699" s="150"/>
      <c r="J699" s="137"/>
      <c r="K699" s="137"/>
      <c r="L699" s="137"/>
      <c r="M699" s="137"/>
      <c r="N699" s="137"/>
      <c r="O699" s="137"/>
      <c r="P699" s="137"/>
      <c r="Q699" s="137"/>
      <c r="R699" s="137"/>
      <c r="S699" s="137"/>
      <c r="T699" s="137"/>
      <c r="U699" s="137"/>
      <c r="V699" s="137"/>
      <c r="W699" s="137"/>
      <c r="X699" s="137"/>
      <c r="Y699" s="137"/>
      <c r="Z699" s="137"/>
    </row>
    <row r="700" ht="13.2" spans="1:26">
      <c r="A700" s="151"/>
      <c r="B700" s="149"/>
      <c r="C700" s="149"/>
      <c r="D700" s="149"/>
      <c r="E700" s="149"/>
      <c r="F700" s="149"/>
      <c r="G700" s="149"/>
      <c r="H700" s="150"/>
      <c r="I700" s="150"/>
      <c r="J700" s="137"/>
      <c r="K700" s="137"/>
      <c r="L700" s="137"/>
      <c r="M700" s="137"/>
      <c r="N700" s="137"/>
      <c r="O700" s="137"/>
      <c r="P700" s="137"/>
      <c r="Q700" s="137"/>
      <c r="R700" s="137"/>
      <c r="S700" s="137"/>
      <c r="T700" s="137"/>
      <c r="U700" s="137"/>
      <c r="V700" s="137"/>
      <c r="W700" s="137"/>
      <c r="X700" s="137"/>
      <c r="Y700" s="137"/>
      <c r="Z700" s="137"/>
    </row>
    <row r="701" ht="13.2" spans="1:26">
      <c r="A701" s="151"/>
      <c r="B701" s="149"/>
      <c r="C701" s="149"/>
      <c r="D701" s="149"/>
      <c r="E701" s="149"/>
      <c r="F701" s="149"/>
      <c r="G701" s="149"/>
      <c r="H701" s="150"/>
      <c r="I701" s="150"/>
      <c r="J701" s="137"/>
      <c r="K701" s="137"/>
      <c r="L701" s="137"/>
      <c r="M701" s="137"/>
      <c r="N701" s="137"/>
      <c r="O701" s="137"/>
      <c r="P701" s="137"/>
      <c r="Q701" s="137"/>
      <c r="R701" s="137"/>
      <c r="S701" s="137"/>
      <c r="T701" s="137"/>
      <c r="U701" s="137"/>
      <c r="V701" s="137"/>
      <c r="W701" s="137"/>
      <c r="X701" s="137"/>
      <c r="Y701" s="137"/>
      <c r="Z701" s="137"/>
    </row>
    <row r="702" ht="13.2" spans="1:26">
      <c r="A702" s="151"/>
      <c r="B702" s="149"/>
      <c r="C702" s="149"/>
      <c r="D702" s="149"/>
      <c r="E702" s="149"/>
      <c r="F702" s="149"/>
      <c r="G702" s="149"/>
      <c r="H702" s="150"/>
      <c r="I702" s="150"/>
      <c r="J702" s="137"/>
      <c r="K702" s="137"/>
      <c r="L702" s="137"/>
      <c r="M702" s="137"/>
      <c r="N702" s="137"/>
      <c r="O702" s="137"/>
      <c r="P702" s="137"/>
      <c r="Q702" s="137"/>
      <c r="R702" s="137"/>
      <c r="S702" s="137"/>
      <c r="T702" s="137"/>
      <c r="U702" s="137"/>
      <c r="V702" s="137"/>
      <c r="W702" s="137"/>
      <c r="X702" s="137"/>
      <c r="Y702" s="137"/>
      <c r="Z702" s="137"/>
    </row>
    <row r="703" ht="13.2" spans="1:26">
      <c r="A703" s="151"/>
      <c r="B703" s="149"/>
      <c r="C703" s="149"/>
      <c r="D703" s="149"/>
      <c r="E703" s="149"/>
      <c r="F703" s="149"/>
      <c r="G703" s="149"/>
      <c r="H703" s="150"/>
      <c r="I703" s="150"/>
      <c r="J703" s="137"/>
      <c r="K703" s="137"/>
      <c r="L703" s="137"/>
      <c r="M703" s="137"/>
      <c r="N703" s="137"/>
      <c r="O703" s="137"/>
      <c r="P703" s="137"/>
      <c r="Q703" s="137"/>
      <c r="R703" s="137"/>
      <c r="S703" s="137"/>
      <c r="T703" s="137"/>
      <c r="U703" s="137"/>
      <c r="V703" s="137"/>
      <c r="W703" s="137"/>
      <c r="X703" s="137"/>
      <c r="Y703" s="137"/>
      <c r="Z703" s="137"/>
    </row>
    <row r="704" ht="13.2" spans="1:26">
      <c r="A704" s="151"/>
      <c r="B704" s="149"/>
      <c r="C704" s="149"/>
      <c r="D704" s="149"/>
      <c r="E704" s="149"/>
      <c r="F704" s="149"/>
      <c r="G704" s="149"/>
      <c r="H704" s="150"/>
      <c r="I704" s="150"/>
      <c r="J704" s="137"/>
      <c r="K704" s="137"/>
      <c r="L704" s="137"/>
      <c r="M704" s="137"/>
      <c r="N704" s="137"/>
      <c r="O704" s="137"/>
      <c r="P704" s="137"/>
      <c r="Q704" s="137"/>
      <c r="R704" s="137"/>
      <c r="S704" s="137"/>
      <c r="T704" s="137"/>
      <c r="U704" s="137"/>
      <c r="V704" s="137"/>
      <c r="W704" s="137"/>
      <c r="X704" s="137"/>
      <c r="Y704" s="137"/>
      <c r="Z704" s="137"/>
    </row>
    <row r="705" ht="13.2" spans="1:26">
      <c r="A705" s="151"/>
      <c r="B705" s="149"/>
      <c r="C705" s="149"/>
      <c r="D705" s="149"/>
      <c r="E705" s="149"/>
      <c r="F705" s="149"/>
      <c r="G705" s="149"/>
      <c r="H705" s="150"/>
      <c r="I705" s="150"/>
      <c r="J705" s="137"/>
      <c r="K705" s="137"/>
      <c r="L705" s="137"/>
      <c r="M705" s="137"/>
      <c r="N705" s="137"/>
      <c r="O705" s="137"/>
      <c r="P705" s="137"/>
      <c r="Q705" s="137"/>
      <c r="R705" s="137"/>
      <c r="S705" s="137"/>
      <c r="T705" s="137"/>
      <c r="U705" s="137"/>
      <c r="V705" s="137"/>
      <c r="W705" s="137"/>
      <c r="X705" s="137"/>
      <c r="Y705" s="137"/>
      <c r="Z705" s="137"/>
    </row>
    <row r="706" ht="13.2" spans="1:26">
      <c r="A706" s="151"/>
      <c r="B706" s="149"/>
      <c r="C706" s="149"/>
      <c r="D706" s="149"/>
      <c r="E706" s="149"/>
      <c r="F706" s="149"/>
      <c r="G706" s="149"/>
      <c r="H706" s="150"/>
      <c r="I706" s="150"/>
      <c r="J706" s="137"/>
      <c r="K706" s="137"/>
      <c r="L706" s="137"/>
      <c r="M706" s="137"/>
      <c r="N706" s="137"/>
      <c r="O706" s="137"/>
      <c r="P706" s="137"/>
      <c r="Q706" s="137"/>
      <c r="R706" s="137"/>
      <c r="S706" s="137"/>
      <c r="T706" s="137"/>
      <c r="U706" s="137"/>
      <c r="V706" s="137"/>
      <c r="W706" s="137"/>
      <c r="X706" s="137"/>
      <c r="Y706" s="137"/>
      <c r="Z706" s="137"/>
    </row>
    <row r="707" ht="13.2" spans="1:26">
      <c r="A707" s="151"/>
      <c r="B707" s="149"/>
      <c r="C707" s="149"/>
      <c r="D707" s="149"/>
      <c r="E707" s="149"/>
      <c r="F707" s="149"/>
      <c r="G707" s="149"/>
      <c r="H707" s="150"/>
      <c r="I707" s="150"/>
      <c r="J707" s="137"/>
      <c r="K707" s="137"/>
      <c r="L707" s="137"/>
      <c r="M707" s="137"/>
      <c r="N707" s="137"/>
      <c r="O707" s="137"/>
      <c r="P707" s="137"/>
      <c r="Q707" s="137"/>
      <c r="R707" s="137"/>
      <c r="S707" s="137"/>
      <c r="T707" s="137"/>
      <c r="U707" s="137"/>
      <c r="V707" s="137"/>
      <c r="W707" s="137"/>
      <c r="X707" s="137"/>
      <c r="Y707" s="137"/>
      <c r="Z707" s="137"/>
    </row>
    <row r="708" ht="13.2" spans="1:26">
      <c r="A708" s="151"/>
      <c r="B708" s="149"/>
      <c r="C708" s="149"/>
      <c r="D708" s="149"/>
      <c r="E708" s="149"/>
      <c r="F708" s="149"/>
      <c r="G708" s="149"/>
      <c r="H708" s="150"/>
      <c r="I708" s="150"/>
      <c r="J708" s="137"/>
      <c r="K708" s="137"/>
      <c r="L708" s="137"/>
      <c r="M708" s="137"/>
      <c r="N708" s="137"/>
      <c r="O708" s="137"/>
      <c r="P708" s="137"/>
      <c r="Q708" s="137"/>
      <c r="R708" s="137"/>
      <c r="S708" s="137"/>
      <c r="T708" s="137"/>
      <c r="U708" s="137"/>
      <c r="V708" s="137"/>
      <c r="W708" s="137"/>
      <c r="X708" s="137"/>
      <c r="Y708" s="137"/>
      <c r="Z708" s="137"/>
    </row>
    <row r="709" ht="13.2" spans="1:26">
      <c r="A709" s="151"/>
      <c r="B709" s="149"/>
      <c r="C709" s="149"/>
      <c r="D709" s="149"/>
      <c r="E709" s="149"/>
      <c r="F709" s="149"/>
      <c r="G709" s="149"/>
      <c r="H709" s="150"/>
      <c r="I709" s="150"/>
      <c r="J709" s="137"/>
      <c r="K709" s="137"/>
      <c r="L709" s="137"/>
      <c r="M709" s="137"/>
      <c r="N709" s="137"/>
      <c r="O709" s="137"/>
      <c r="P709" s="137"/>
      <c r="Q709" s="137"/>
      <c r="R709" s="137"/>
      <c r="S709" s="137"/>
      <c r="T709" s="137"/>
      <c r="U709" s="137"/>
      <c r="V709" s="137"/>
      <c r="W709" s="137"/>
      <c r="X709" s="137"/>
      <c r="Y709" s="137"/>
      <c r="Z709" s="137"/>
    </row>
    <row r="710" ht="13.2" spans="1:26">
      <c r="A710" s="151"/>
      <c r="B710" s="149"/>
      <c r="C710" s="149"/>
      <c r="D710" s="149"/>
      <c r="E710" s="149"/>
      <c r="F710" s="149"/>
      <c r="G710" s="149"/>
      <c r="H710" s="150"/>
      <c r="I710" s="150"/>
      <c r="J710" s="137"/>
      <c r="K710" s="137"/>
      <c r="L710" s="137"/>
      <c r="M710" s="137"/>
      <c r="N710" s="137"/>
      <c r="O710" s="137"/>
      <c r="P710" s="137"/>
      <c r="Q710" s="137"/>
      <c r="R710" s="137"/>
      <c r="S710" s="137"/>
      <c r="T710" s="137"/>
      <c r="U710" s="137"/>
      <c r="V710" s="137"/>
      <c r="W710" s="137"/>
      <c r="X710" s="137"/>
      <c r="Y710" s="137"/>
      <c r="Z710" s="137"/>
    </row>
    <row r="711" ht="13.2" spans="1:26">
      <c r="A711" s="151"/>
      <c r="B711" s="149"/>
      <c r="C711" s="149"/>
      <c r="D711" s="149"/>
      <c r="E711" s="149"/>
      <c r="F711" s="149"/>
      <c r="G711" s="149"/>
      <c r="H711" s="150"/>
      <c r="I711" s="150"/>
      <c r="J711" s="137"/>
      <c r="K711" s="137"/>
      <c r="L711" s="137"/>
      <c r="M711" s="137"/>
      <c r="N711" s="137"/>
      <c r="O711" s="137"/>
      <c r="P711" s="137"/>
      <c r="Q711" s="137"/>
      <c r="R711" s="137"/>
      <c r="S711" s="137"/>
      <c r="T711" s="137"/>
      <c r="U711" s="137"/>
      <c r="V711" s="137"/>
      <c r="W711" s="137"/>
      <c r="X711" s="137"/>
      <c r="Y711" s="137"/>
      <c r="Z711" s="137"/>
    </row>
    <row r="712" ht="13.2" spans="1:26">
      <c r="A712" s="151"/>
      <c r="B712" s="149"/>
      <c r="C712" s="149"/>
      <c r="D712" s="149"/>
      <c r="E712" s="149"/>
      <c r="F712" s="149"/>
      <c r="G712" s="149"/>
      <c r="H712" s="150"/>
      <c r="I712" s="150"/>
      <c r="J712" s="137"/>
      <c r="K712" s="137"/>
      <c r="L712" s="137"/>
      <c r="M712" s="137"/>
      <c r="N712" s="137"/>
      <c r="O712" s="137"/>
      <c r="P712" s="137"/>
      <c r="Q712" s="137"/>
      <c r="R712" s="137"/>
      <c r="S712" s="137"/>
      <c r="T712" s="137"/>
      <c r="U712" s="137"/>
      <c r="V712" s="137"/>
      <c r="W712" s="137"/>
      <c r="X712" s="137"/>
      <c r="Y712" s="137"/>
      <c r="Z712" s="137"/>
    </row>
    <row r="713" ht="13.2" spans="1:26">
      <c r="A713" s="151"/>
      <c r="B713" s="149"/>
      <c r="C713" s="149"/>
      <c r="D713" s="149"/>
      <c r="E713" s="149"/>
      <c r="F713" s="149"/>
      <c r="G713" s="149"/>
      <c r="H713" s="150"/>
      <c r="I713" s="150"/>
      <c r="J713" s="137"/>
      <c r="K713" s="137"/>
      <c r="L713" s="137"/>
      <c r="M713" s="137"/>
      <c r="N713" s="137"/>
      <c r="O713" s="137"/>
      <c r="P713" s="137"/>
      <c r="Q713" s="137"/>
      <c r="R713" s="137"/>
      <c r="S713" s="137"/>
      <c r="T713" s="137"/>
      <c r="U713" s="137"/>
      <c r="V713" s="137"/>
      <c r="W713" s="137"/>
      <c r="X713" s="137"/>
      <c r="Y713" s="137"/>
      <c r="Z713" s="137"/>
    </row>
    <row r="714" ht="13.2" spans="1:26">
      <c r="A714" s="151"/>
      <c r="B714" s="149"/>
      <c r="C714" s="149"/>
      <c r="D714" s="149"/>
      <c r="E714" s="149"/>
      <c r="F714" s="149"/>
      <c r="G714" s="149"/>
      <c r="H714" s="150"/>
      <c r="I714" s="150"/>
      <c r="J714" s="137"/>
      <c r="K714" s="137"/>
      <c r="L714" s="137"/>
      <c r="M714" s="137"/>
      <c r="N714" s="137"/>
      <c r="O714" s="137"/>
      <c r="P714" s="137"/>
      <c r="Q714" s="137"/>
      <c r="R714" s="137"/>
      <c r="S714" s="137"/>
      <c r="T714" s="137"/>
      <c r="U714" s="137"/>
      <c r="V714" s="137"/>
      <c r="W714" s="137"/>
      <c r="X714" s="137"/>
      <c r="Y714" s="137"/>
      <c r="Z714" s="137"/>
    </row>
    <row r="715" ht="13.2" spans="1:26">
      <c r="A715" s="151"/>
      <c r="B715" s="149"/>
      <c r="C715" s="149"/>
      <c r="D715" s="149"/>
      <c r="E715" s="149"/>
      <c r="F715" s="149"/>
      <c r="G715" s="149"/>
      <c r="H715" s="150"/>
      <c r="I715" s="150"/>
      <c r="J715" s="137"/>
      <c r="K715" s="137"/>
      <c r="L715" s="137"/>
      <c r="M715" s="137"/>
      <c r="N715" s="137"/>
      <c r="O715" s="137"/>
      <c r="P715" s="137"/>
      <c r="Q715" s="137"/>
      <c r="R715" s="137"/>
      <c r="S715" s="137"/>
      <c r="T715" s="137"/>
      <c r="U715" s="137"/>
      <c r="V715" s="137"/>
      <c r="W715" s="137"/>
      <c r="X715" s="137"/>
      <c r="Y715" s="137"/>
      <c r="Z715" s="137"/>
    </row>
    <row r="716" ht="13.2" spans="1:26">
      <c r="A716" s="151"/>
      <c r="B716" s="149"/>
      <c r="C716" s="149"/>
      <c r="D716" s="149"/>
      <c r="E716" s="149"/>
      <c r="F716" s="149"/>
      <c r="G716" s="149"/>
      <c r="H716" s="150"/>
      <c r="I716" s="150"/>
      <c r="J716" s="137"/>
      <c r="K716" s="137"/>
      <c r="L716" s="137"/>
      <c r="M716" s="137"/>
      <c r="N716" s="137"/>
      <c r="O716" s="137"/>
      <c r="P716" s="137"/>
      <c r="Q716" s="137"/>
      <c r="R716" s="137"/>
      <c r="S716" s="137"/>
      <c r="T716" s="137"/>
      <c r="U716" s="137"/>
      <c r="V716" s="137"/>
      <c r="W716" s="137"/>
      <c r="X716" s="137"/>
      <c r="Y716" s="137"/>
      <c r="Z716" s="137"/>
    </row>
    <row r="717" ht="13.2" spans="1:26">
      <c r="A717" s="151"/>
      <c r="B717" s="149"/>
      <c r="C717" s="149"/>
      <c r="D717" s="149"/>
      <c r="E717" s="149"/>
      <c r="F717" s="149"/>
      <c r="G717" s="149"/>
      <c r="H717" s="150"/>
      <c r="I717" s="150"/>
      <c r="J717" s="137"/>
      <c r="K717" s="137"/>
      <c r="L717" s="137"/>
      <c r="M717" s="137"/>
      <c r="N717" s="137"/>
      <c r="O717" s="137"/>
      <c r="P717" s="137"/>
      <c r="Q717" s="137"/>
      <c r="R717" s="137"/>
      <c r="S717" s="137"/>
      <c r="T717" s="137"/>
      <c r="U717" s="137"/>
      <c r="V717" s="137"/>
      <c r="W717" s="137"/>
      <c r="X717" s="137"/>
      <c r="Y717" s="137"/>
      <c r="Z717" s="137"/>
    </row>
    <row r="718" ht="13.2" spans="1:26">
      <c r="A718" s="151"/>
      <c r="B718" s="149"/>
      <c r="C718" s="149"/>
      <c r="D718" s="149"/>
      <c r="E718" s="149"/>
      <c r="F718" s="149"/>
      <c r="G718" s="149"/>
      <c r="H718" s="150"/>
      <c r="I718" s="150"/>
      <c r="J718" s="137"/>
      <c r="K718" s="137"/>
      <c r="L718" s="137"/>
      <c r="M718" s="137"/>
      <c r="N718" s="137"/>
      <c r="O718" s="137"/>
      <c r="P718" s="137"/>
      <c r="Q718" s="137"/>
      <c r="R718" s="137"/>
      <c r="S718" s="137"/>
      <c r="T718" s="137"/>
      <c r="U718" s="137"/>
      <c r="V718" s="137"/>
      <c r="W718" s="137"/>
      <c r="X718" s="137"/>
      <c r="Y718" s="137"/>
      <c r="Z718" s="137"/>
    </row>
    <row r="719" ht="13.2" spans="1:26">
      <c r="A719" s="151"/>
      <c r="B719" s="149"/>
      <c r="C719" s="149"/>
      <c r="D719" s="149"/>
      <c r="E719" s="149"/>
      <c r="F719" s="149"/>
      <c r="G719" s="149"/>
      <c r="H719" s="150"/>
      <c r="I719" s="150"/>
      <c r="J719" s="137"/>
      <c r="K719" s="137"/>
      <c r="L719" s="137"/>
      <c r="M719" s="137"/>
      <c r="N719" s="137"/>
      <c r="O719" s="137"/>
      <c r="P719" s="137"/>
      <c r="Q719" s="137"/>
      <c r="R719" s="137"/>
      <c r="S719" s="137"/>
      <c r="T719" s="137"/>
      <c r="U719" s="137"/>
      <c r="V719" s="137"/>
      <c r="W719" s="137"/>
      <c r="X719" s="137"/>
      <c r="Y719" s="137"/>
      <c r="Z719" s="137"/>
    </row>
    <row r="720" ht="13.2" spans="1:26">
      <c r="A720" s="151"/>
      <c r="B720" s="149"/>
      <c r="C720" s="149"/>
      <c r="D720" s="149"/>
      <c r="E720" s="149"/>
      <c r="F720" s="149"/>
      <c r="G720" s="149"/>
      <c r="H720" s="150"/>
      <c r="I720" s="150"/>
      <c r="J720" s="137"/>
      <c r="K720" s="137"/>
      <c r="L720" s="137"/>
      <c r="M720" s="137"/>
      <c r="N720" s="137"/>
      <c r="O720" s="137"/>
      <c r="P720" s="137"/>
      <c r="Q720" s="137"/>
      <c r="R720" s="137"/>
      <c r="S720" s="137"/>
      <c r="T720" s="137"/>
      <c r="U720" s="137"/>
      <c r="V720" s="137"/>
      <c r="W720" s="137"/>
      <c r="X720" s="137"/>
      <c r="Y720" s="137"/>
      <c r="Z720" s="137"/>
    </row>
    <row r="721" ht="13.2" spans="1:26">
      <c r="A721" s="151"/>
      <c r="B721" s="149"/>
      <c r="C721" s="149"/>
      <c r="D721" s="149"/>
      <c r="E721" s="149"/>
      <c r="F721" s="149"/>
      <c r="G721" s="149"/>
      <c r="H721" s="150"/>
      <c r="I721" s="150"/>
      <c r="J721" s="137"/>
      <c r="K721" s="137"/>
      <c r="L721" s="137"/>
      <c r="M721" s="137"/>
      <c r="N721" s="137"/>
      <c r="O721" s="137"/>
      <c r="P721" s="137"/>
      <c r="Q721" s="137"/>
      <c r="R721" s="137"/>
      <c r="S721" s="137"/>
      <c r="T721" s="137"/>
      <c r="U721" s="137"/>
      <c r="V721" s="137"/>
      <c r="W721" s="137"/>
      <c r="X721" s="137"/>
      <c r="Y721" s="137"/>
      <c r="Z721" s="137"/>
    </row>
    <row r="722" ht="13.2" spans="1:26">
      <c r="A722" s="151"/>
      <c r="B722" s="149"/>
      <c r="C722" s="149"/>
      <c r="D722" s="149"/>
      <c r="E722" s="149"/>
      <c r="F722" s="149"/>
      <c r="G722" s="149"/>
      <c r="H722" s="150"/>
      <c r="I722" s="150"/>
      <c r="J722" s="137"/>
      <c r="K722" s="137"/>
      <c r="L722" s="137"/>
      <c r="M722" s="137"/>
      <c r="N722" s="137"/>
      <c r="O722" s="137"/>
      <c r="P722" s="137"/>
      <c r="Q722" s="137"/>
      <c r="R722" s="137"/>
      <c r="S722" s="137"/>
      <c r="T722" s="137"/>
      <c r="U722" s="137"/>
      <c r="V722" s="137"/>
      <c r="W722" s="137"/>
      <c r="X722" s="137"/>
      <c r="Y722" s="137"/>
      <c r="Z722" s="137"/>
    </row>
    <row r="723" ht="13.2" spans="1:26">
      <c r="A723" s="151"/>
      <c r="B723" s="149"/>
      <c r="C723" s="149"/>
      <c r="D723" s="149"/>
      <c r="E723" s="149"/>
      <c r="F723" s="149"/>
      <c r="G723" s="149"/>
      <c r="H723" s="150"/>
      <c r="I723" s="150"/>
      <c r="J723" s="137"/>
      <c r="K723" s="137"/>
      <c r="L723" s="137"/>
      <c r="M723" s="137"/>
      <c r="N723" s="137"/>
      <c r="O723" s="137"/>
      <c r="P723" s="137"/>
      <c r="Q723" s="137"/>
      <c r="R723" s="137"/>
      <c r="S723" s="137"/>
      <c r="T723" s="137"/>
      <c r="U723" s="137"/>
      <c r="V723" s="137"/>
      <c r="W723" s="137"/>
      <c r="X723" s="137"/>
      <c r="Y723" s="137"/>
      <c r="Z723" s="137"/>
    </row>
    <row r="724" ht="13.2" spans="1:26">
      <c r="A724" s="151"/>
      <c r="B724" s="149"/>
      <c r="C724" s="149"/>
      <c r="D724" s="149"/>
      <c r="E724" s="149"/>
      <c r="F724" s="149"/>
      <c r="G724" s="149"/>
      <c r="H724" s="150"/>
      <c r="I724" s="150"/>
      <c r="J724" s="137"/>
      <c r="K724" s="137"/>
      <c r="L724" s="137"/>
      <c r="M724" s="137"/>
      <c r="N724" s="137"/>
      <c r="O724" s="137"/>
      <c r="P724" s="137"/>
      <c r="Q724" s="137"/>
      <c r="R724" s="137"/>
      <c r="S724" s="137"/>
      <c r="T724" s="137"/>
      <c r="U724" s="137"/>
      <c r="V724" s="137"/>
      <c r="W724" s="137"/>
      <c r="X724" s="137"/>
      <c r="Y724" s="137"/>
      <c r="Z724" s="137"/>
    </row>
    <row r="725" ht="13.2" spans="1:26">
      <c r="A725" s="151"/>
      <c r="B725" s="149"/>
      <c r="C725" s="149"/>
      <c r="D725" s="149"/>
      <c r="E725" s="149"/>
      <c r="F725" s="149"/>
      <c r="G725" s="149"/>
      <c r="H725" s="150"/>
      <c r="I725" s="150"/>
      <c r="J725" s="137"/>
      <c r="K725" s="137"/>
      <c r="L725" s="137"/>
      <c r="M725" s="137"/>
      <c r="N725" s="137"/>
      <c r="O725" s="137"/>
      <c r="P725" s="137"/>
      <c r="Q725" s="137"/>
      <c r="R725" s="137"/>
      <c r="S725" s="137"/>
      <c r="T725" s="137"/>
      <c r="U725" s="137"/>
      <c r="V725" s="137"/>
      <c r="W725" s="137"/>
      <c r="X725" s="137"/>
      <c r="Y725" s="137"/>
      <c r="Z725" s="137"/>
    </row>
    <row r="726" ht="13.2" spans="1:26">
      <c r="A726" s="151"/>
      <c r="B726" s="149"/>
      <c r="C726" s="149"/>
      <c r="D726" s="149"/>
      <c r="E726" s="149"/>
      <c r="F726" s="149"/>
      <c r="G726" s="149"/>
      <c r="H726" s="150"/>
      <c r="I726" s="150"/>
      <c r="J726" s="137"/>
      <c r="K726" s="137"/>
      <c r="L726" s="137"/>
      <c r="M726" s="137"/>
      <c r="N726" s="137"/>
      <c r="O726" s="137"/>
      <c r="P726" s="137"/>
      <c r="Q726" s="137"/>
      <c r="R726" s="137"/>
      <c r="S726" s="137"/>
      <c r="T726" s="137"/>
      <c r="U726" s="137"/>
      <c r="V726" s="137"/>
      <c r="W726" s="137"/>
      <c r="X726" s="137"/>
      <c r="Y726" s="137"/>
      <c r="Z726" s="137"/>
    </row>
    <row r="727" ht="13.2" spans="1:26">
      <c r="A727" s="151"/>
      <c r="B727" s="149"/>
      <c r="C727" s="149"/>
      <c r="D727" s="149"/>
      <c r="E727" s="149"/>
      <c r="F727" s="149"/>
      <c r="G727" s="149"/>
      <c r="H727" s="150"/>
      <c r="I727" s="150"/>
      <c r="J727" s="137"/>
      <c r="K727" s="137"/>
      <c r="L727" s="137"/>
      <c r="M727" s="137"/>
      <c r="N727" s="137"/>
      <c r="O727" s="137"/>
      <c r="P727" s="137"/>
      <c r="Q727" s="137"/>
      <c r="R727" s="137"/>
      <c r="S727" s="137"/>
      <c r="T727" s="137"/>
      <c r="U727" s="137"/>
      <c r="V727" s="137"/>
      <c r="W727" s="137"/>
      <c r="X727" s="137"/>
      <c r="Y727" s="137"/>
      <c r="Z727" s="137"/>
    </row>
    <row r="728" ht="13.2" spans="1:26">
      <c r="A728" s="151"/>
      <c r="B728" s="149"/>
      <c r="C728" s="149"/>
      <c r="D728" s="149"/>
      <c r="E728" s="149"/>
      <c r="F728" s="149"/>
      <c r="G728" s="149"/>
      <c r="H728" s="150"/>
      <c r="I728" s="150"/>
      <c r="J728" s="137"/>
      <c r="K728" s="137"/>
      <c r="L728" s="137"/>
      <c r="M728" s="137"/>
      <c r="N728" s="137"/>
      <c r="O728" s="137"/>
      <c r="P728" s="137"/>
      <c r="Q728" s="137"/>
      <c r="R728" s="137"/>
      <c r="S728" s="137"/>
      <c r="T728" s="137"/>
      <c r="U728" s="137"/>
      <c r="V728" s="137"/>
      <c r="W728" s="137"/>
      <c r="X728" s="137"/>
      <c r="Y728" s="137"/>
      <c r="Z728" s="137"/>
    </row>
    <row r="729" ht="13.2" spans="1:26">
      <c r="A729" s="151"/>
      <c r="B729" s="149"/>
      <c r="C729" s="149"/>
      <c r="D729" s="149"/>
      <c r="E729" s="149"/>
      <c r="F729" s="149"/>
      <c r="G729" s="149"/>
      <c r="H729" s="150"/>
      <c r="I729" s="150"/>
      <c r="J729" s="137"/>
      <c r="K729" s="137"/>
      <c r="L729" s="137"/>
      <c r="M729" s="137"/>
      <c r="N729" s="137"/>
      <c r="O729" s="137"/>
      <c r="P729" s="137"/>
      <c r="Q729" s="137"/>
      <c r="R729" s="137"/>
      <c r="S729" s="137"/>
      <c r="T729" s="137"/>
      <c r="U729" s="137"/>
      <c r="V729" s="137"/>
      <c r="W729" s="137"/>
      <c r="X729" s="137"/>
      <c r="Y729" s="137"/>
      <c r="Z729" s="137"/>
    </row>
    <row r="730" ht="13.2" spans="1:26">
      <c r="A730" s="151"/>
      <c r="B730" s="149"/>
      <c r="C730" s="149"/>
      <c r="D730" s="149"/>
      <c r="E730" s="149"/>
      <c r="F730" s="149"/>
      <c r="G730" s="149"/>
      <c r="H730" s="150"/>
      <c r="I730" s="150"/>
      <c r="J730" s="137"/>
      <c r="K730" s="137"/>
      <c r="L730" s="137"/>
      <c r="M730" s="137"/>
      <c r="N730" s="137"/>
      <c r="O730" s="137"/>
      <c r="P730" s="137"/>
      <c r="Q730" s="137"/>
      <c r="R730" s="137"/>
      <c r="S730" s="137"/>
      <c r="T730" s="137"/>
      <c r="U730" s="137"/>
      <c r="V730" s="137"/>
      <c r="W730" s="137"/>
      <c r="X730" s="137"/>
      <c r="Y730" s="137"/>
      <c r="Z730" s="137"/>
    </row>
    <row r="731" ht="13.2" spans="1:26">
      <c r="A731" s="151"/>
      <c r="B731" s="149"/>
      <c r="C731" s="149"/>
      <c r="D731" s="149"/>
      <c r="E731" s="149"/>
      <c r="F731" s="149"/>
      <c r="G731" s="149"/>
      <c r="H731" s="150"/>
      <c r="I731" s="150"/>
      <c r="J731" s="137"/>
      <c r="K731" s="137"/>
      <c r="L731" s="137"/>
      <c r="M731" s="137"/>
      <c r="N731" s="137"/>
      <c r="O731" s="137"/>
      <c r="P731" s="137"/>
      <c r="Q731" s="137"/>
      <c r="R731" s="137"/>
      <c r="S731" s="137"/>
      <c r="T731" s="137"/>
      <c r="U731" s="137"/>
      <c r="V731" s="137"/>
      <c r="W731" s="137"/>
      <c r="X731" s="137"/>
      <c r="Y731" s="137"/>
      <c r="Z731" s="137"/>
    </row>
    <row r="732" ht="13.2" spans="1:26">
      <c r="A732" s="151"/>
      <c r="B732" s="149"/>
      <c r="C732" s="149"/>
      <c r="D732" s="149"/>
      <c r="E732" s="149"/>
      <c r="F732" s="149"/>
      <c r="G732" s="149"/>
      <c r="H732" s="150"/>
      <c r="I732" s="150"/>
      <c r="J732" s="137"/>
      <c r="K732" s="137"/>
      <c r="L732" s="137"/>
      <c r="M732" s="137"/>
      <c r="N732" s="137"/>
      <c r="O732" s="137"/>
      <c r="P732" s="137"/>
      <c r="Q732" s="137"/>
      <c r="R732" s="137"/>
      <c r="S732" s="137"/>
      <c r="T732" s="137"/>
      <c r="U732" s="137"/>
      <c r="V732" s="137"/>
      <c r="W732" s="137"/>
      <c r="X732" s="137"/>
      <c r="Y732" s="137"/>
      <c r="Z732" s="137"/>
    </row>
    <row r="733" ht="13.2" spans="1:26">
      <c r="A733" s="151"/>
      <c r="B733" s="149"/>
      <c r="C733" s="149"/>
      <c r="D733" s="149"/>
      <c r="E733" s="149"/>
      <c r="F733" s="149"/>
      <c r="G733" s="149"/>
      <c r="H733" s="150"/>
      <c r="I733" s="150"/>
      <c r="J733" s="137"/>
      <c r="K733" s="137"/>
      <c r="L733" s="137"/>
      <c r="M733" s="137"/>
      <c r="N733" s="137"/>
      <c r="O733" s="137"/>
      <c r="P733" s="137"/>
      <c r="Q733" s="137"/>
      <c r="R733" s="137"/>
      <c r="S733" s="137"/>
      <c r="T733" s="137"/>
      <c r="U733" s="137"/>
      <c r="V733" s="137"/>
      <c r="W733" s="137"/>
      <c r="X733" s="137"/>
      <c r="Y733" s="137"/>
      <c r="Z733" s="137"/>
    </row>
    <row r="734" ht="13.2" spans="1:26">
      <c r="A734" s="151"/>
      <c r="B734" s="149"/>
      <c r="C734" s="149"/>
      <c r="D734" s="149"/>
      <c r="E734" s="149"/>
      <c r="F734" s="149"/>
      <c r="G734" s="149"/>
      <c r="H734" s="150"/>
      <c r="I734" s="150"/>
      <c r="J734" s="137"/>
      <c r="K734" s="137"/>
      <c r="L734" s="137"/>
      <c r="M734" s="137"/>
      <c r="N734" s="137"/>
      <c r="O734" s="137"/>
      <c r="P734" s="137"/>
      <c r="Q734" s="137"/>
      <c r="R734" s="137"/>
      <c r="S734" s="137"/>
      <c r="T734" s="137"/>
      <c r="U734" s="137"/>
      <c r="V734" s="137"/>
      <c r="W734" s="137"/>
      <c r="X734" s="137"/>
      <c r="Y734" s="137"/>
      <c r="Z734" s="137"/>
    </row>
    <row r="735" ht="13.2" spans="1:26">
      <c r="A735" s="151"/>
      <c r="B735" s="149"/>
      <c r="C735" s="149"/>
      <c r="D735" s="149"/>
      <c r="E735" s="149"/>
      <c r="F735" s="149"/>
      <c r="G735" s="149"/>
      <c r="H735" s="150"/>
      <c r="I735" s="150"/>
      <c r="J735" s="137"/>
      <c r="K735" s="137"/>
      <c r="L735" s="137"/>
      <c r="M735" s="137"/>
      <c r="N735" s="137"/>
      <c r="O735" s="137"/>
      <c r="P735" s="137"/>
      <c r="Q735" s="137"/>
      <c r="R735" s="137"/>
      <c r="S735" s="137"/>
      <c r="T735" s="137"/>
      <c r="U735" s="137"/>
      <c r="V735" s="137"/>
      <c r="W735" s="137"/>
      <c r="X735" s="137"/>
      <c r="Y735" s="137"/>
      <c r="Z735" s="137"/>
    </row>
    <row r="736" ht="13.2" spans="1:26">
      <c r="A736" s="151"/>
      <c r="B736" s="149"/>
      <c r="C736" s="149"/>
      <c r="D736" s="149"/>
      <c r="E736" s="149"/>
      <c r="F736" s="149"/>
      <c r="G736" s="149"/>
      <c r="H736" s="150"/>
      <c r="I736" s="150"/>
      <c r="J736" s="137"/>
      <c r="K736" s="137"/>
      <c r="L736" s="137"/>
      <c r="M736" s="137"/>
      <c r="N736" s="137"/>
      <c r="O736" s="137"/>
      <c r="P736" s="137"/>
      <c r="Q736" s="137"/>
      <c r="R736" s="137"/>
      <c r="S736" s="137"/>
      <c r="T736" s="137"/>
      <c r="U736" s="137"/>
      <c r="V736" s="137"/>
      <c r="W736" s="137"/>
      <c r="X736" s="137"/>
      <c r="Y736" s="137"/>
      <c r="Z736" s="137"/>
    </row>
    <row r="737" ht="13.2" spans="1:26">
      <c r="A737" s="151"/>
      <c r="B737" s="149"/>
      <c r="C737" s="149"/>
      <c r="D737" s="149"/>
      <c r="E737" s="149"/>
      <c r="F737" s="149"/>
      <c r="G737" s="149"/>
      <c r="H737" s="150"/>
      <c r="I737" s="150"/>
      <c r="J737" s="137"/>
      <c r="K737" s="137"/>
      <c r="L737" s="137"/>
      <c r="M737" s="137"/>
      <c r="N737" s="137"/>
      <c r="O737" s="137"/>
      <c r="P737" s="137"/>
      <c r="Q737" s="137"/>
      <c r="R737" s="137"/>
      <c r="S737" s="137"/>
      <c r="T737" s="137"/>
      <c r="U737" s="137"/>
      <c r="V737" s="137"/>
      <c r="W737" s="137"/>
      <c r="X737" s="137"/>
      <c r="Y737" s="137"/>
      <c r="Z737" s="137"/>
    </row>
    <row r="738" ht="13.2" spans="1:26">
      <c r="A738" s="151"/>
      <c r="B738" s="149"/>
      <c r="C738" s="149"/>
      <c r="D738" s="149"/>
      <c r="E738" s="149"/>
      <c r="F738" s="149"/>
      <c r="G738" s="149"/>
      <c r="H738" s="150"/>
      <c r="I738" s="150"/>
      <c r="J738" s="137"/>
      <c r="K738" s="137"/>
      <c r="L738" s="137"/>
      <c r="M738" s="137"/>
      <c r="N738" s="137"/>
      <c r="O738" s="137"/>
      <c r="P738" s="137"/>
      <c r="Q738" s="137"/>
      <c r="R738" s="137"/>
      <c r="S738" s="137"/>
      <c r="T738" s="137"/>
      <c r="U738" s="137"/>
      <c r="V738" s="137"/>
      <c r="W738" s="137"/>
      <c r="X738" s="137"/>
      <c r="Y738" s="137"/>
      <c r="Z738" s="137"/>
    </row>
    <row r="739" ht="13.2" spans="1:26">
      <c r="A739" s="151"/>
      <c r="B739" s="149"/>
      <c r="C739" s="149"/>
      <c r="D739" s="149"/>
      <c r="E739" s="149"/>
      <c r="F739" s="149"/>
      <c r="G739" s="149"/>
      <c r="H739" s="150"/>
      <c r="I739" s="150"/>
      <c r="J739" s="137"/>
      <c r="K739" s="137"/>
      <c r="L739" s="137"/>
      <c r="M739" s="137"/>
      <c r="N739" s="137"/>
      <c r="O739" s="137"/>
      <c r="P739" s="137"/>
      <c r="Q739" s="137"/>
      <c r="R739" s="137"/>
      <c r="S739" s="137"/>
      <c r="T739" s="137"/>
      <c r="U739" s="137"/>
      <c r="V739" s="137"/>
      <c r="W739" s="137"/>
      <c r="X739" s="137"/>
      <c r="Y739" s="137"/>
      <c r="Z739" s="137"/>
    </row>
    <row r="740" ht="13.2" spans="1:26">
      <c r="A740" s="151"/>
      <c r="B740" s="149"/>
      <c r="C740" s="149"/>
      <c r="D740" s="149"/>
      <c r="E740" s="149"/>
      <c r="F740" s="149"/>
      <c r="G740" s="149"/>
      <c r="H740" s="150"/>
      <c r="I740" s="150"/>
      <c r="J740" s="137"/>
      <c r="K740" s="137"/>
      <c r="L740" s="137"/>
      <c r="M740" s="137"/>
      <c r="N740" s="137"/>
      <c r="O740" s="137"/>
      <c r="P740" s="137"/>
      <c r="Q740" s="137"/>
      <c r="R740" s="137"/>
      <c r="S740" s="137"/>
      <c r="T740" s="137"/>
      <c r="U740" s="137"/>
      <c r="V740" s="137"/>
      <c r="W740" s="137"/>
      <c r="X740" s="137"/>
      <c r="Y740" s="137"/>
      <c r="Z740" s="137"/>
    </row>
    <row r="741" ht="13.2" spans="1:26">
      <c r="A741" s="151"/>
      <c r="B741" s="149"/>
      <c r="C741" s="149"/>
      <c r="D741" s="149"/>
      <c r="E741" s="149"/>
      <c r="F741" s="149"/>
      <c r="G741" s="149"/>
      <c r="H741" s="150"/>
      <c r="I741" s="150"/>
      <c r="J741" s="137"/>
      <c r="K741" s="137"/>
      <c r="L741" s="137"/>
      <c r="M741" s="137"/>
      <c r="N741" s="137"/>
      <c r="O741" s="137"/>
      <c r="P741" s="137"/>
      <c r="Q741" s="137"/>
      <c r="R741" s="137"/>
      <c r="S741" s="137"/>
      <c r="T741" s="137"/>
      <c r="U741" s="137"/>
      <c r="V741" s="137"/>
      <c r="W741" s="137"/>
      <c r="X741" s="137"/>
      <c r="Y741" s="137"/>
      <c r="Z741" s="137"/>
    </row>
    <row r="742" ht="13.2" spans="1:26">
      <c r="A742" s="151"/>
      <c r="B742" s="149"/>
      <c r="C742" s="149"/>
      <c r="D742" s="149"/>
      <c r="E742" s="149"/>
      <c r="F742" s="149"/>
      <c r="G742" s="149"/>
      <c r="H742" s="150"/>
      <c r="I742" s="150"/>
      <c r="J742" s="137"/>
      <c r="K742" s="137"/>
      <c r="L742" s="137"/>
      <c r="M742" s="137"/>
      <c r="N742" s="137"/>
      <c r="O742" s="137"/>
      <c r="P742" s="137"/>
      <c r="Q742" s="137"/>
      <c r="R742" s="137"/>
      <c r="S742" s="137"/>
      <c r="T742" s="137"/>
      <c r="U742" s="137"/>
      <c r="V742" s="137"/>
      <c r="W742" s="137"/>
      <c r="X742" s="137"/>
      <c r="Y742" s="137"/>
      <c r="Z742" s="137"/>
    </row>
    <row r="743" ht="13.2" spans="1:26">
      <c r="A743" s="151"/>
      <c r="B743" s="149"/>
      <c r="C743" s="149"/>
      <c r="D743" s="149"/>
      <c r="E743" s="149"/>
      <c r="F743" s="149"/>
      <c r="G743" s="149"/>
      <c r="H743" s="150"/>
      <c r="I743" s="150"/>
      <c r="J743" s="137"/>
      <c r="K743" s="137"/>
      <c r="L743" s="137"/>
      <c r="M743" s="137"/>
      <c r="N743" s="137"/>
      <c r="O743" s="137"/>
      <c r="P743" s="137"/>
      <c r="Q743" s="137"/>
      <c r="R743" s="137"/>
      <c r="S743" s="137"/>
      <c r="T743" s="137"/>
      <c r="U743" s="137"/>
      <c r="V743" s="137"/>
      <c r="W743" s="137"/>
      <c r="X743" s="137"/>
      <c r="Y743" s="137"/>
      <c r="Z743" s="137"/>
    </row>
    <row r="744" ht="13.2" spans="1:26">
      <c r="A744" s="151"/>
      <c r="B744" s="149"/>
      <c r="C744" s="149"/>
      <c r="D744" s="149"/>
      <c r="E744" s="149"/>
      <c r="F744" s="149"/>
      <c r="G744" s="149"/>
      <c r="H744" s="150"/>
      <c r="I744" s="150"/>
      <c r="J744" s="137"/>
      <c r="K744" s="137"/>
      <c r="L744" s="137"/>
      <c r="M744" s="137"/>
      <c r="N744" s="137"/>
      <c r="O744" s="137"/>
      <c r="P744" s="137"/>
      <c r="Q744" s="137"/>
      <c r="R744" s="137"/>
      <c r="S744" s="137"/>
      <c r="T744" s="137"/>
      <c r="U744" s="137"/>
      <c r="V744" s="137"/>
      <c r="W744" s="137"/>
      <c r="X744" s="137"/>
      <c r="Y744" s="137"/>
      <c r="Z744" s="137"/>
    </row>
    <row r="745" ht="13.2" spans="1:26">
      <c r="A745" s="151"/>
      <c r="B745" s="149"/>
      <c r="C745" s="149"/>
      <c r="D745" s="149"/>
      <c r="E745" s="149"/>
      <c r="F745" s="149"/>
      <c r="G745" s="149"/>
      <c r="H745" s="150"/>
      <c r="I745" s="150"/>
      <c r="J745" s="137"/>
      <c r="K745" s="137"/>
      <c r="L745" s="137"/>
      <c r="M745" s="137"/>
      <c r="N745" s="137"/>
      <c r="O745" s="137"/>
      <c r="P745" s="137"/>
      <c r="Q745" s="137"/>
      <c r="R745" s="137"/>
      <c r="S745" s="137"/>
      <c r="T745" s="137"/>
      <c r="U745" s="137"/>
      <c r="V745" s="137"/>
      <c r="W745" s="137"/>
      <c r="X745" s="137"/>
      <c r="Y745" s="137"/>
      <c r="Z745" s="137"/>
    </row>
    <row r="746" ht="13.2" spans="1:26">
      <c r="A746" s="151"/>
      <c r="B746" s="149"/>
      <c r="C746" s="149"/>
      <c r="D746" s="149"/>
      <c r="E746" s="149"/>
      <c r="F746" s="149"/>
      <c r="G746" s="149"/>
      <c r="H746" s="150"/>
      <c r="I746" s="150"/>
      <c r="J746" s="137"/>
      <c r="K746" s="137"/>
      <c r="L746" s="137"/>
      <c r="M746" s="137"/>
      <c r="N746" s="137"/>
      <c r="O746" s="137"/>
      <c r="P746" s="137"/>
      <c r="Q746" s="137"/>
      <c r="R746" s="137"/>
      <c r="S746" s="137"/>
      <c r="T746" s="137"/>
      <c r="U746" s="137"/>
      <c r="V746" s="137"/>
      <c r="W746" s="137"/>
      <c r="X746" s="137"/>
      <c r="Y746" s="137"/>
      <c r="Z746" s="137"/>
    </row>
    <row r="747" ht="13.2" spans="1:26">
      <c r="A747" s="151"/>
      <c r="B747" s="149"/>
      <c r="C747" s="149"/>
      <c r="D747" s="149"/>
      <c r="E747" s="149"/>
      <c r="F747" s="149"/>
      <c r="G747" s="149"/>
      <c r="H747" s="150"/>
      <c r="I747" s="150"/>
      <c r="J747" s="137"/>
      <c r="K747" s="137"/>
      <c r="L747" s="137"/>
      <c r="M747" s="137"/>
      <c r="N747" s="137"/>
      <c r="O747" s="137"/>
      <c r="P747" s="137"/>
      <c r="Q747" s="137"/>
      <c r="R747" s="137"/>
      <c r="S747" s="137"/>
      <c r="T747" s="137"/>
      <c r="U747" s="137"/>
      <c r="V747" s="137"/>
      <c r="W747" s="137"/>
      <c r="X747" s="137"/>
      <c r="Y747" s="137"/>
      <c r="Z747" s="137"/>
    </row>
    <row r="748" ht="13.2" spans="1:26">
      <c r="A748" s="151"/>
      <c r="B748" s="149"/>
      <c r="C748" s="149"/>
      <c r="D748" s="149"/>
      <c r="E748" s="149"/>
      <c r="F748" s="149"/>
      <c r="G748" s="149"/>
      <c r="H748" s="150"/>
      <c r="I748" s="150"/>
      <c r="J748" s="137"/>
      <c r="K748" s="137"/>
      <c r="L748" s="137"/>
      <c r="M748" s="137"/>
      <c r="N748" s="137"/>
      <c r="O748" s="137"/>
      <c r="P748" s="137"/>
      <c r="Q748" s="137"/>
      <c r="R748" s="137"/>
      <c r="S748" s="137"/>
      <c r="T748" s="137"/>
      <c r="U748" s="137"/>
      <c r="V748" s="137"/>
      <c r="W748" s="137"/>
      <c r="X748" s="137"/>
      <c r="Y748" s="137"/>
      <c r="Z748" s="137"/>
    </row>
    <row r="749" ht="13.2" spans="1:26">
      <c r="A749" s="151"/>
      <c r="B749" s="149"/>
      <c r="C749" s="149"/>
      <c r="D749" s="149"/>
      <c r="E749" s="149"/>
      <c r="F749" s="149"/>
      <c r="G749" s="149"/>
      <c r="H749" s="150"/>
      <c r="I749" s="150"/>
      <c r="J749" s="137"/>
      <c r="K749" s="137"/>
      <c r="L749" s="137"/>
      <c r="M749" s="137"/>
      <c r="N749" s="137"/>
      <c r="O749" s="137"/>
      <c r="P749" s="137"/>
      <c r="Q749" s="137"/>
      <c r="R749" s="137"/>
      <c r="S749" s="137"/>
      <c r="T749" s="137"/>
      <c r="U749" s="137"/>
      <c r="V749" s="137"/>
      <c r="W749" s="137"/>
      <c r="X749" s="137"/>
      <c r="Y749" s="137"/>
      <c r="Z749" s="137"/>
    </row>
    <row r="750" ht="13.2" spans="1:26">
      <c r="A750" s="151"/>
      <c r="B750" s="149"/>
      <c r="C750" s="149"/>
      <c r="D750" s="149"/>
      <c r="E750" s="149"/>
      <c r="F750" s="149"/>
      <c r="G750" s="149"/>
      <c r="H750" s="150"/>
      <c r="I750" s="150"/>
      <c r="J750" s="137"/>
      <c r="K750" s="137"/>
      <c r="L750" s="137"/>
      <c r="M750" s="137"/>
      <c r="N750" s="137"/>
      <c r="O750" s="137"/>
      <c r="P750" s="137"/>
      <c r="Q750" s="137"/>
      <c r="R750" s="137"/>
      <c r="S750" s="137"/>
      <c r="T750" s="137"/>
      <c r="U750" s="137"/>
      <c r="V750" s="137"/>
      <c r="W750" s="137"/>
      <c r="X750" s="137"/>
      <c r="Y750" s="137"/>
      <c r="Z750" s="137"/>
    </row>
    <row r="751" ht="13.2" spans="1:26">
      <c r="A751" s="151"/>
      <c r="B751" s="149"/>
      <c r="C751" s="149"/>
      <c r="D751" s="149"/>
      <c r="E751" s="149"/>
      <c r="F751" s="149"/>
      <c r="G751" s="149"/>
      <c r="H751" s="150"/>
      <c r="I751" s="150"/>
      <c r="J751" s="137"/>
      <c r="K751" s="137"/>
      <c r="L751" s="137"/>
      <c r="M751" s="137"/>
      <c r="N751" s="137"/>
      <c r="O751" s="137"/>
      <c r="P751" s="137"/>
      <c r="Q751" s="137"/>
      <c r="R751" s="137"/>
      <c r="S751" s="137"/>
      <c r="T751" s="137"/>
      <c r="U751" s="137"/>
      <c r="V751" s="137"/>
      <c r="W751" s="137"/>
      <c r="X751" s="137"/>
      <c r="Y751" s="137"/>
      <c r="Z751" s="137"/>
    </row>
    <row r="752" ht="13.2" spans="1:26">
      <c r="A752" s="151"/>
      <c r="B752" s="149"/>
      <c r="C752" s="149"/>
      <c r="D752" s="149"/>
      <c r="E752" s="149"/>
      <c r="F752" s="149"/>
      <c r="G752" s="149"/>
      <c r="H752" s="150"/>
      <c r="I752" s="150"/>
      <c r="J752" s="137"/>
      <c r="K752" s="137"/>
      <c r="L752" s="137"/>
      <c r="M752" s="137"/>
      <c r="N752" s="137"/>
      <c r="O752" s="137"/>
      <c r="P752" s="137"/>
      <c r="Q752" s="137"/>
      <c r="R752" s="137"/>
      <c r="S752" s="137"/>
      <c r="T752" s="137"/>
      <c r="U752" s="137"/>
      <c r="V752" s="137"/>
      <c r="W752" s="137"/>
      <c r="X752" s="137"/>
      <c r="Y752" s="137"/>
      <c r="Z752" s="137"/>
    </row>
    <row r="753" ht="13.2" spans="1:26">
      <c r="A753" s="151"/>
      <c r="B753" s="149"/>
      <c r="C753" s="149"/>
      <c r="D753" s="149"/>
      <c r="E753" s="149"/>
      <c r="F753" s="149"/>
      <c r="G753" s="149"/>
      <c r="H753" s="150"/>
      <c r="I753" s="150"/>
      <c r="J753" s="137"/>
      <c r="K753" s="137"/>
      <c r="L753" s="137"/>
      <c r="M753" s="137"/>
      <c r="N753" s="137"/>
      <c r="O753" s="137"/>
      <c r="P753" s="137"/>
      <c r="Q753" s="137"/>
      <c r="R753" s="137"/>
      <c r="S753" s="137"/>
      <c r="T753" s="137"/>
      <c r="U753" s="137"/>
      <c r="V753" s="137"/>
      <c r="W753" s="137"/>
      <c r="X753" s="137"/>
      <c r="Y753" s="137"/>
      <c r="Z753" s="137"/>
    </row>
    <row r="754" ht="13.2" spans="1:26">
      <c r="A754" s="151"/>
      <c r="B754" s="149"/>
      <c r="C754" s="149"/>
      <c r="D754" s="149"/>
      <c r="E754" s="149"/>
      <c r="F754" s="149"/>
      <c r="G754" s="149"/>
      <c r="H754" s="150"/>
      <c r="I754" s="150"/>
      <c r="J754" s="137"/>
      <c r="K754" s="137"/>
      <c r="L754" s="137"/>
      <c r="M754" s="137"/>
      <c r="N754" s="137"/>
      <c r="O754" s="137"/>
      <c r="P754" s="137"/>
      <c r="Q754" s="137"/>
      <c r="R754" s="137"/>
      <c r="S754" s="137"/>
      <c r="T754" s="137"/>
      <c r="U754" s="137"/>
      <c r="V754" s="137"/>
      <c r="W754" s="137"/>
      <c r="X754" s="137"/>
      <c r="Y754" s="137"/>
      <c r="Z754" s="137"/>
    </row>
    <row r="755" ht="13.2" spans="1:26">
      <c r="A755" s="151"/>
      <c r="B755" s="149"/>
      <c r="C755" s="149"/>
      <c r="D755" s="149"/>
      <c r="E755" s="149"/>
      <c r="F755" s="149"/>
      <c r="G755" s="149"/>
      <c r="H755" s="150"/>
      <c r="I755" s="150"/>
      <c r="J755" s="137"/>
      <c r="K755" s="137"/>
      <c r="L755" s="137"/>
      <c r="M755" s="137"/>
      <c r="N755" s="137"/>
      <c r="O755" s="137"/>
      <c r="P755" s="137"/>
      <c r="Q755" s="137"/>
      <c r="R755" s="137"/>
      <c r="S755" s="137"/>
      <c r="T755" s="137"/>
      <c r="U755" s="137"/>
      <c r="V755" s="137"/>
      <c r="W755" s="137"/>
      <c r="X755" s="137"/>
      <c r="Y755" s="137"/>
      <c r="Z755" s="137"/>
    </row>
    <row r="756" ht="13.2" spans="1:26">
      <c r="A756" s="151"/>
      <c r="B756" s="149"/>
      <c r="C756" s="149"/>
      <c r="D756" s="149"/>
      <c r="E756" s="149"/>
      <c r="F756" s="149"/>
      <c r="G756" s="149"/>
      <c r="H756" s="150"/>
      <c r="I756" s="150"/>
      <c r="J756" s="137"/>
      <c r="K756" s="137"/>
      <c r="L756" s="137"/>
      <c r="M756" s="137"/>
      <c r="N756" s="137"/>
      <c r="O756" s="137"/>
      <c r="P756" s="137"/>
      <c r="Q756" s="137"/>
      <c r="R756" s="137"/>
      <c r="S756" s="137"/>
      <c r="T756" s="137"/>
      <c r="U756" s="137"/>
      <c r="V756" s="137"/>
      <c r="W756" s="137"/>
      <c r="X756" s="137"/>
      <c r="Y756" s="137"/>
      <c r="Z756" s="137"/>
    </row>
    <row r="757" ht="13.2" spans="1:26">
      <c r="A757" s="151"/>
      <c r="B757" s="149"/>
      <c r="C757" s="149"/>
      <c r="D757" s="149"/>
      <c r="E757" s="149"/>
      <c r="F757" s="149"/>
      <c r="G757" s="149"/>
      <c r="H757" s="150"/>
      <c r="I757" s="150"/>
      <c r="J757" s="137"/>
      <c r="K757" s="137"/>
      <c r="L757" s="137"/>
      <c r="M757" s="137"/>
      <c r="N757" s="137"/>
      <c r="O757" s="137"/>
      <c r="P757" s="137"/>
      <c r="Q757" s="137"/>
      <c r="R757" s="137"/>
      <c r="S757" s="137"/>
      <c r="T757" s="137"/>
      <c r="U757" s="137"/>
      <c r="V757" s="137"/>
      <c r="W757" s="137"/>
      <c r="X757" s="137"/>
      <c r="Y757" s="137"/>
      <c r="Z757" s="137"/>
    </row>
    <row r="758" ht="13.2" spans="1:26">
      <c r="A758" s="151"/>
      <c r="B758" s="149"/>
      <c r="C758" s="149"/>
      <c r="D758" s="149"/>
      <c r="E758" s="149"/>
      <c r="F758" s="149"/>
      <c r="G758" s="149"/>
      <c r="H758" s="150"/>
      <c r="I758" s="150"/>
      <c r="J758" s="137"/>
      <c r="K758" s="137"/>
      <c r="L758" s="137"/>
      <c r="M758" s="137"/>
      <c r="N758" s="137"/>
      <c r="O758" s="137"/>
      <c r="P758" s="137"/>
      <c r="Q758" s="137"/>
      <c r="R758" s="137"/>
      <c r="S758" s="137"/>
      <c r="T758" s="137"/>
      <c r="U758" s="137"/>
      <c r="V758" s="137"/>
      <c r="W758" s="137"/>
      <c r="X758" s="137"/>
      <c r="Y758" s="137"/>
      <c r="Z758" s="137"/>
    </row>
    <row r="759" ht="13.2" spans="1:26">
      <c r="A759" s="151"/>
      <c r="B759" s="149"/>
      <c r="C759" s="149"/>
      <c r="D759" s="149"/>
      <c r="E759" s="149"/>
      <c r="F759" s="149"/>
      <c r="G759" s="149"/>
      <c r="H759" s="150"/>
      <c r="I759" s="150"/>
      <c r="J759" s="137"/>
      <c r="K759" s="137"/>
      <c r="L759" s="137"/>
      <c r="M759" s="137"/>
      <c r="N759" s="137"/>
      <c r="O759" s="137"/>
      <c r="P759" s="137"/>
      <c r="Q759" s="137"/>
      <c r="R759" s="137"/>
      <c r="S759" s="137"/>
      <c r="T759" s="137"/>
      <c r="U759" s="137"/>
      <c r="V759" s="137"/>
      <c r="W759" s="137"/>
      <c r="X759" s="137"/>
      <c r="Y759" s="137"/>
      <c r="Z759" s="137"/>
    </row>
    <row r="760" ht="13.2" spans="1:26">
      <c r="A760" s="151"/>
      <c r="B760" s="149"/>
      <c r="C760" s="149"/>
      <c r="D760" s="149"/>
      <c r="E760" s="149"/>
      <c r="F760" s="149"/>
      <c r="G760" s="149"/>
      <c r="H760" s="150"/>
      <c r="I760" s="150"/>
      <c r="J760" s="137"/>
      <c r="K760" s="137"/>
      <c r="L760" s="137"/>
      <c r="M760" s="137"/>
      <c r="N760" s="137"/>
      <c r="O760" s="137"/>
      <c r="P760" s="137"/>
      <c r="Q760" s="137"/>
      <c r="R760" s="137"/>
      <c r="S760" s="137"/>
      <c r="T760" s="137"/>
      <c r="U760" s="137"/>
      <c r="V760" s="137"/>
      <c r="W760" s="137"/>
      <c r="X760" s="137"/>
      <c r="Y760" s="137"/>
      <c r="Z760" s="137"/>
    </row>
    <row r="761" ht="13.2" spans="1:26">
      <c r="A761" s="151"/>
      <c r="B761" s="149"/>
      <c r="C761" s="149"/>
      <c r="D761" s="149"/>
      <c r="E761" s="149"/>
      <c r="F761" s="149"/>
      <c r="G761" s="149"/>
      <c r="H761" s="150"/>
      <c r="I761" s="150"/>
      <c r="J761" s="137"/>
      <c r="K761" s="137"/>
      <c r="L761" s="137"/>
      <c r="M761" s="137"/>
      <c r="N761" s="137"/>
      <c r="O761" s="137"/>
      <c r="P761" s="137"/>
      <c r="Q761" s="137"/>
      <c r="R761" s="137"/>
      <c r="S761" s="137"/>
      <c r="T761" s="137"/>
      <c r="U761" s="137"/>
      <c r="V761" s="137"/>
      <c r="W761" s="137"/>
      <c r="X761" s="137"/>
      <c r="Y761" s="137"/>
      <c r="Z761" s="137"/>
    </row>
    <row r="762" ht="13.2" spans="1:26">
      <c r="A762" s="151"/>
      <c r="B762" s="149"/>
      <c r="C762" s="149"/>
      <c r="D762" s="149"/>
      <c r="E762" s="149"/>
      <c r="F762" s="149"/>
      <c r="G762" s="149"/>
      <c r="H762" s="150"/>
      <c r="I762" s="150"/>
      <c r="J762" s="137"/>
      <c r="K762" s="137"/>
      <c r="L762" s="137"/>
      <c r="M762" s="137"/>
      <c r="N762" s="137"/>
      <c r="O762" s="137"/>
      <c r="P762" s="137"/>
      <c r="Q762" s="137"/>
      <c r="R762" s="137"/>
      <c r="S762" s="137"/>
      <c r="T762" s="137"/>
      <c r="U762" s="137"/>
      <c r="V762" s="137"/>
      <c r="W762" s="137"/>
      <c r="X762" s="137"/>
      <c r="Y762" s="137"/>
      <c r="Z762" s="137"/>
    </row>
    <row r="763" ht="13.2" spans="1:26">
      <c r="A763" s="151"/>
      <c r="B763" s="149"/>
      <c r="C763" s="149"/>
      <c r="D763" s="149"/>
      <c r="E763" s="149"/>
      <c r="F763" s="149"/>
      <c r="G763" s="149"/>
      <c r="H763" s="150"/>
      <c r="I763" s="150"/>
      <c r="J763" s="137"/>
      <c r="K763" s="137"/>
      <c r="L763" s="137"/>
      <c r="M763" s="137"/>
      <c r="N763" s="137"/>
      <c r="O763" s="137"/>
      <c r="P763" s="137"/>
      <c r="Q763" s="137"/>
      <c r="R763" s="137"/>
      <c r="S763" s="137"/>
      <c r="T763" s="137"/>
      <c r="U763" s="137"/>
      <c r="V763" s="137"/>
      <c r="W763" s="137"/>
      <c r="X763" s="137"/>
      <c r="Y763" s="137"/>
      <c r="Z763" s="137"/>
    </row>
    <row r="764" ht="13.2" spans="1:26">
      <c r="A764" s="151"/>
      <c r="B764" s="149"/>
      <c r="C764" s="149"/>
      <c r="D764" s="149"/>
      <c r="E764" s="149"/>
      <c r="F764" s="149"/>
      <c r="G764" s="149"/>
      <c r="H764" s="150"/>
      <c r="I764" s="150"/>
      <c r="J764" s="137"/>
      <c r="K764" s="137"/>
      <c r="L764" s="137"/>
      <c r="M764" s="137"/>
      <c r="N764" s="137"/>
      <c r="O764" s="137"/>
      <c r="P764" s="137"/>
      <c r="Q764" s="137"/>
      <c r="R764" s="137"/>
      <c r="S764" s="137"/>
      <c r="T764" s="137"/>
      <c r="U764" s="137"/>
      <c r="V764" s="137"/>
      <c r="W764" s="137"/>
      <c r="X764" s="137"/>
      <c r="Y764" s="137"/>
      <c r="Z764" s="137"/>
    </row>
    <row r="765" ht="13.2" spans="1:26">
      <c r="A765" s="151"/>
      <c r="B765" s="149"/>
      <c r="C765" s="149"/>
      <c r="D765" s="149"/>
      <c r="E765" s="149"/>
      <c r="F765" s="149"/>
      <c r="G765" s="149"/>
      <c r="H765" s="150"/>
      <c r="I765" s="150"/>
      <c r="J765" s="137"/>
      <c r="K765" s="137"/>
      <c r="L765" s="137"/>
      <c r="M765" s="137"/>
      <c r="N765" s="137"/>
      <c r="O765" s="137"/>
      <c r="P765" s="137"/>
      <c r="Q765" s="137"/>
      <c r="R765" s="137"/>
      <c r="S765" s="137"/>
      <c r="T765" s="137"/>
      <c r="U765" s="137"/>
      <c r="V765" s="137"/>
      <c r="W765" s="137"/>
      <c r="X765" s="137"/>
      <c r="Y765" s="137"/>
      <c r="Z765" s="137"/>
    </row>
    <row r="766" ht="13.2" spans="1:26">
      <c r="A766" s="151"/>
      <c r="B766" s="149"/>
      <c r="C766" s="149"/>
      <c r="D766" s="149"/>
      <c r="E766" s="149"/>
      <c r="F766" s="149"/>
      <c r="G766" s="149"/>
      <c r="H766" s="150"/>
      <c r="I766" s="150"/>
      <c r="J766" s="137"/>
      <c r="K766" s="137"/>
      <c r="L766" s="137"/>
      <c r="M766" s="137"/>
      <c r="N766" s="137"/>
      <c r="O766" s="137"/>
      <c r="P766" s="137"/>
      <c r="Q766" s="137"/>
      <c r="R766" s="137"/>
      <c r="S766" s="137"/>
      <c r="T766" s="137"/>
      <c r="U766" s="137"/>
      <c r="V766" s="137"/>
      <c r="W766" s="137"/>
      <c r="X766" s="137"/>
      <c r="Y766" s="137"/>
      <c r="Z766" s="137"/>
    </row>
    <row r="767" ht="13.2" spans="1:26">
      <c r="A767" s="151"/>
      <c r="B767" s="149"/>
      <c r="C767" s="149"/>
      <c r="D767" s="149"/>
      <c r="E767" s="149"/>
      <c r="F767" s="149"/>
      <c r="G767" s="149"/>
      <c r="H767" s="150"/>
      <c r="I767" s="150"/>
      <c r="J767" s="137"/>
      <c r="K767" s="137"/>
      <c r="L767" s="137"/>
      <c r="M767" s="137"/>
      <c r="N767" s="137"/>
      <c r="O767" s="137"/>
      <c r="P767" s="137"/>
      <c r="Q767" s="137"/>
      <c r="R767" s="137"/>
      <c r="S767" s="137"/>
      <c r="T767" s="137"/>
      <c r="U767" s="137"/>
      <c r="V767" s="137"/>
      <c r="W767" s="137"/>
      <c r="X767" s="137"/>
      <c r="Y767" s="137"/>
      <c r="Z767" s="137"/>
    </row>
    <row r="768" ht="13.2" spans="1:26">
      <c r="A768" s="151"/>
      <c r="B768" s="149"/>
      <c r="C768" s="149"/>
      <c r="D768" s="149"/>
      <c r="E768" s="149"/>
      <c r="F768" s="149"/>
      <c r="G768" s="149"/>
      <c r="H768" s="150"/>
      <c r="I768" s="150"/>
      <c r="J768" s="137"/>
      <c r="K768" s="137"/>
      <c r="L768" s="137"/>
      <c r="M768" s="137"/>
      <c r="N768" s="137"/>
      <c r="O768" s="137"/>
      <c r="P768" s="137"/>
      <c r="Q768" s="137"/>
      <c r="R768" s="137"/>
      <c r="S768" s="137"/>
      <c r="T768" s="137"/>
      <c r="U768" s="137"/>
      <c r="V768" s="137"/>
      <c r="W768" s="137"/>
      <c r="X768" s="137"/>
      <c r="Y768" s="137"/>
      <c r="Z768" s="137"/>
    </row>
    <row r="769" ht="13.2" spans="1:26">
      <c r="A769" s="151"/>
      <c r="B769" s="149"/>
      <c r="C769" s="149"/>
      <c r="D769" s="149"/>
      <c r="E769" s="149"/>
      <c r="F769" s="149"/>
      <c r="G769" s="149"/>
      <c r="H769" s="150"/>
      <c r="I769" s="150"/>
      <c r="J769" s="137"/>
      <c r="K769" s="137"/>
      <c r="L769" s="137"/>
      <c r="M769" s="137"/>
      <c r="N769" s="137"/>
      <c r="O769" s="137"/>
      <c r="P769" s="137"/>
      <c r="Q769" s="137"/>
      <c r="R769" s="137"/>
      <c r="S769" s="137"/>
      <c r="T769" s="137"/>
      <c r="U769" s="137"/>
      <c r="V769" s="137"/>
      <c r="W769" s="137"/>
      <c r="X769" s="137"/>
      <c r="Y769" s="137"/>
      <c r="Z769" s="137"/>
    </row>
    <row r="770" ht="13.2" spans="1:26">
      <c r="A770" s="151"/>
      <c r="B770" s="149"/>
      <c r="C770" s="149"/>
      <c r="D770" s="149"/>
      <c r="E770" s="149"/>
      <c r="F770" s="149"/>
      <c r="G770" s="149"/>
      <c r="H770" s="150"/>
      <c r="I770" s="150"/>
      <c r="J770" s="137"/>
      <c r="K770" s="137"/>
      <c r="L770" s="137"/>
      <c r="M770" s="137"/>
      <c r="N770" s="137"/>
      <c r="O770" s="137"/>
      <c r="P770" s="137"/>
      <c r="Q770" s="137"/>
      <c r="R770" s="137"/>
      <c r="S770" s="137"/>
      <c r="T770" s="137"/>
      <c r="U770" s="137"/>
      <c r="V770" s="137"/>
      <c r="W770" s="137"/>
      <c r="X770" s="137"/>
      <c r="Y770" s="137"/>
      <c r="Z770" s="137"/>
    </row>
    <row r="771" ht="13.2" spans="1:26">
      <c r="A771" s="151"/>
      <c r="B771" s="149"/>
      <c r="C771" s="149"/>
      <c r="D771" s="149"/>
      <c r="E771" s="149"/>
      <c r="F771" s="149"/>
      <c r="G771" s="149"/>
      <c r="H771" s="150"/>
      <c r="I771" s="150"/>
      <c r="J771" s="137"/>
      <c r="K771" s="137"/>
      <c r="L771" s="137"/>
      <c r="M771" s="137"/>
      <c r="N771" s="137"/>
      <c r="O771" s="137"/>
      <c r="P771" s="137"/>
      <c r="Q771" s="137"/>
      <c r="R771" s="137"/>
      <c r="S771" s="137"/>
      <c r="T771" s="137"/>
      <c r="U771" s="137"/>
      <c r="V771" s="137"/>
      <c r="W771" s="137"/>
      <c r="X771" s="137"/>
      <c r="Y771" s="137"/>
      <c r="Z771" s="137"/>
    </row>
    <row r="772" ht="13.2" spans="1:26">
      <c r="A772" s="151"/>
      <c r="B772" s="149"/>
      <c r="C772" s="149"/>
      <c r="D772" s="149"/>
      <c r="E772" s="149"/>
      <c r="F772" s="149"/>
      <c r="G772" s="149"/>
      <c r="H772" s="150"/>
      <c r="I772" s="150"/>
      <c r="J772" s="137"/>
      <c r="K772" s="137"/>
      <c r="L772" s="137"/>
      <c r="M772" s="137"/>
      <c r="N772" s="137"/>
      <c r="O772" s="137"/>
      <c r="P772" s="137"/>
      <c r="Q772" s="137"/>
      <c r="R772" s="137"/>
      <c r="S772" s="137"/>
      <c r="T772" s="137"/>
      <c r="U772" s="137"/>
      <c r="V772" s="137"/>
      <c r="W772" s="137"/>
      <c r="X772" s="137"/>
      <c r="Y772" s="137"/>
      <c r="Z772" s="137"/>
    </row>
    <row r="773" ht="13.2" spans="1:26">
      <c r="A773" s="151"/>
      <c r="B773" s="149"/>
      <c r="C773" s="149"/>
      <c r="D773" s="149"/>
      <c r="E773" s="149"/>
      <c r="F773" s="149"/>
      <c r="G773" s="149"/>
      <c r="H773" s="150"/>
      <c r="I773" s="150"/>
      <c r="J773" s="137"/>
      <c r="K773" s="137"/>
      <c r="L773" s="137"/>
      <c r="M773" s="137"/>
      <c r="N773" s="137"/>
      <c r="O773" s="137"/>
      <c r="P773" s="137"/>
      <c r="Q773" s="137"/>
      <c r="R773" s="137"/>
      <c r="S773" s="137"/>
      <c r="T773" s="137"/>
      <c r="U773" s="137"/>
      <c r="V773" s="137"/>
      <c r="W773" s="137"/>
      <c r="X773" s="137"/>
      <c r="Y773" s="137"/>
      <c r="Z773" s="137"/>
    </row>
    <row r="774" ht="13.2" spans="1:26">
      <c r="A774" s="151"/>
      <c r="B774" s="149"/>
      <c r="C774" s="149"/>
      <c r="D774" s="149"/>
      <c r="E774" s="149"/>
      <c r="F774" s="149"/>
      <c r="G774" s="149"/>
      <c r="H774" s="150"/>
      <c r="I774" s="150"/>
      <c r="J774" s="137"/>
      <c r="K774" s="137"/>
      <c r="L774" s="137"/>
      <c r="M774" s="137"/>
      <c r="N774" s="137"/>
      <c r="O774" s="137"/>
      <c r="P774" s="137"/>
      <c r="Q774" s="137"/>
      <c r="R774" s="137"/>
      <c r="S774" s="137"/>
      <c r="T774" s="137"/>
      <c r="U774" s="137"/>
      <c r="V774" s="137"/>
      <c r="W774" s="137"/>
      <c r="X774" s="137"/>
      <c r="Y774" s="137"/>
      <c r="Z774" s="137"/>
    </row>
    <row r="775" ht="13.2" spans="1:26">
      <c r="A775" s="151"/>
      <c r="B775" s="149"/>
      <c r="C775" s="149"/>
      <c r="D775" s="149"/>
      <c r="E775" s="149"/>
      <c r="F775" s="149"/>
      <c r="G775" s="149"/>
      <c r="H775" s="150"/>
      <c r="I775" s="150"/>
      <c r="J775" s="137"/>
      <c r="K775" s="137"/>
      <c r="L775" s="137"/>
      <c r="M775" s="137"/>
      <c r="N775" s="137"/>
      <c r="O775" s="137"/>
      <c r="P775" s="137"/>
      <c r="Q775" s="137"/>
      <c r="R775" s="137"/>
      <c r="S775" s="137"/>
      <c r="T775" s="137"/>
      <c r="U775" s="137"/>
      <c r="V775" s="137"/>
      <c r="W775" s="137"/>
      <c r="X775" s="137"/>
      <c r="Y775" s="137"/>
      <c r="Z775" s="137"/>
    </row>
    <row r="776" ht="13.2" spans="1:26">
      <c r="A776" s="151"/>
      <c r="B776" s="149"/>
      <c r="C776" s="149"/>
      <c r="D776" s="149"/>
      <c r="E776" s="149"/>
      <c r="F776" s="149"/>
      <c r="G776" s="149"/>
      <c r="H776" s="150"/>
      <c r="I776" s="150"/>
      <c r="J776" s="137"/>
      <c r="K776" s="137"/>
      <c r="L776" s="137"/>
      <c r="M776" s="137"/>
      <c r="N776" s="137"/>
      <c r="O776" s="137"/>
      <c r="P776" s="137"/>
      <c r="Q776" s="137"/>
      <c r="R776" s="137"/>
      <c r="S776" s="137"/>
      <c r="T776" s="137"/>
      <c r="U776" s="137"/>
      <c r="V776" s="137"/>
      <c r="W776" s="137"/>
      <c r="X776" s="137"/>
      <c r="Y776" s="137"/>
      <c r="Z776" s="137"/>
    </row>
    <row r="777" ht="13.2" spans="1:26">
      <c r="A777" s="151"/>
      <c r="B777" s="149"/>
      <c r="C777" s="149"/>
      <c r="D777" s="149"/>
      <c r="E777" s="149"/>
      <c r="F777" s="149"/>
      <c r="G777" s="149"/>
      <c r="H777" s="150"/>
      <c r="I777" s="150"/>
      <c r="J777" s="137"/>
      <c r="K777" s="137"/>
      <c r="L777" s="137"/>
      <c r="M777" s="137"/>
      <c r="N777" s="137"/>
      <c r="O777" s="137"/>
      <c r="P777" s="137"/>
      <c r="Q777" s="137"/>
      <c r="R777" s="137"/>
      <c r="S777" s="137"/>
      <c r="T777" s="137"/>
      <c r="U777" s="137"/>
      <c r="V777" s="137"/>
      <c r="W777" s="137"/>
      <c r="X777" s="137"/>
      <c r="Y777" s="137"/>
      <c r="Z777" s="137"/>
    </row>
    <row r="778" ht="13.2" spans="1:26">
      <c r="A778" s="151"/>
      <c r="B778" s="149"/>
      <c r="C778" s="149"/>
      <c r="D778" s="149"/>
      <c r="E778" s="149"/>
      <c r="F778" s="149"/>
      <c r="G778" s="149"/>
      <c r="H778" s="150"/>
      <c r="I778" s="150"/>
      <c r="J778" s="137"/>
      <c r="K778" s="137"/>
      <c r="L778" s="137"/>
      <c r="M778" s="137"/>
      <c r="N778" s="137"/>
      <c r="O778" s="137"/>
      <c r="P778" s="137"/>
      <c r="Q778" s="137"/>
      <c r="R778" s="137"/>
      <c r="S778" s="137"/>
      <c r="T778" s="137"/>
      <c r="U778" s="137"/>
      <c r="V778" s="137"/>
      <c r="W778" s="137"/>
      <c r="X778" s="137"/>
      <c r="Y778" s="137"/>
      <c r="Z778" s="137"/>
    </row>
    <row r="779" ht="13.2" spans="1:26">
      <c r="A779" s="151"/>
      <c r="B779" s="149"/>
      <c r="C779" s="149"/>
      <c r="D779" s="149"/>
      <c r="E779" s="149"/>
      <c r="F779" s="149"/>
      <c r="G779" s="149"/>
      <c r="H779" s="150"/>
      <c r="I779" s="150"/>
      <c r="J779" s="137"/>
      <c r="K779" s="137"/>
      <c r="L779" s="137"/>
      <c r="M779" s="137"/>
      <c r="N779" s="137"/>
      <c r="O779" s="137"/>
      <c r="P779" s="137"/>
      <c r="Q779" s="137"/>
      <c r="R779" s="137"/>
      <c r="S779" s="137"/>
      <c r="T779" s="137"/>
      <c r="U779" s="137"/>
      <c r="V779" s="137"/>
      <c r="W779" s="137"/>
      <c r="X779" s="137"/>
      <c r="Y779" s="137"/>
      <c r="Z779" s="137"/>
    </row>
    <row r="780" ht="13.2" spans="1:26">
      <c r="A780" s="151"/>
      <c r="B780" s="149"/>
      <c r="C780" s="149"/>
      <c r="D780" s="149"/>
      <c r="E780" s="149"/>
      <c r="F780" s="149"/>
      <c r="G780" s="149"/>
      <c r="H780" s="150"/>
      <c r="I780" s="150"/>
      <c r="J780" s="137"/>
      <c r="K780" s="137"/>
      <c r="L780" s="137"/>
      <c r="M780" s="137"/>
      <c r="N780" s="137"/>
      <c r="O780" s="137"/>
      <c r="P780" s="137"/>
      <c r="Q780" s="137"/>
      <c r="R780" s="137"/>
      <c r="S780" s="137"/>
      <c r="T780" s="137"/>
      <c r="U780" s="137"/>
      <c r="V780" s="137"/>
      <c r="W780" s="137"/>
      <c r="X780" s="137"/>
      <c r="Y780" s="137"/>
      <c r="Z780" s="137"/>
    </row>
    <row r="781" ht="13.2" spans="1:26">
      <c r="A781" s="151"/>
      <c r="B781" s="149"/>
      <c r="C781" s="149"/>
      <c r="D781" s="149"/>
      <c r="E781" s="149"/>
      <c r="F781" s="149"/>
      <c r="G781" s="149"/>
      <c r="H781" s="150"/>
      <c r="I781" s="150"/>
      <c r="J781" s="137"/>
      <c r="K781" s="137"/>
      <c r="L781" s="137"/>
      <c r="M781" s="137"/>
      <c r="N781" s="137"/>
      <c r="O781" s="137"/>
      <c r="P781" s="137"/>
      <c r="Q781" s="137"/>
      <c r="R781" s="137"/>
      <c r="S781" s="137"/>
      <c r="T781" s="137"/>
      <c r="U781" s="137"/>
      <c r="V781" s="137"/>
      <c r="W781" s="137"/>
      <c r="X781" s="137"/>
      <c r="Y781" s="137"/>
      <c r="Z781" s="137"/>
    </row>
    <row r="782" ht="13.2" spans="1:26">
      <c r="A782" s="151"/>
      <c r="B782" s="149"/>
      <c r="C782" s="149"/>
      <c r="D782" s="149"/>
      <c r="E782" s="149"/>
      <c r="F782" s="149"/>
      <c r="G782" s="149"/>
      <c r="H782" s="150"/>
      <c r="I782" s="150"/>
      <c r="J782" s="137"/>
      <c r="K782" s="137"/>
      <c r="L782" s="137"/>
      <c r="M782" s="137"/>
      <c r="N782" s="137"/>
      <c r="O782" s="137"/>
      <c r="P782" s="137"/>
      <c r="Q782" s="137"/>
      <c r="R782" s="137"/>
      <c r="S782" s="137"/>
      <c r="T782" s="137"/>
      <c r="U782" s="137"/>
      <c r="V782" s="137"/>
      <c r="W782" s="137"/>
      <c r="X782" s="137"/>
      <c r="Y782" s="137"/>
      <c r="Z782" s="137"/>
    </row>
    <row r="783" ht="13.2" spans="1:26">
      <c r="A783" s="151"/>
      <c r="B783" s="149"/>
      <c r="C783" s="149"/>
      <c r="D783" s="149"/>
      <c r="E783" s="149"/>
      <c r="F783" s="149"/>
      <c r="G783" s="149"/>
      <c r="H783" s="150"/>
      <c r="I783" s="150"/>
      <c r="J783" s="137"/>
      <c r="K783" s="137"/>
      <c r="L783" s="137"/>
      <c r="M783" s="137"/>
      <c r="N783" s="137"/>
      <c r="O783" s="137"/>
      <c r="P783" s="137"/>
      <c r="Q783" s="137"/>
      <c r="R783" s="137"/>
      <c r="S783" s="137"/>
      <c r="T783" s="137"/>
      <c r="U783" s="137"/>
      <c r="V783" s="137"/>
      <c r="W783" s="137"/>
      <c r="X783" s="137"/>
      <c r="Y783" s="137"/>
      <c r="Z783" s="137"/>
    </row>
    <row r="784" ht="13.2" spans="1:26">
      <c r="A784" s="151"/>
      <c r="B784" s="149"/>
      <c r="C784" s="149"/>
      <c r="D784" s="149"/>
      <c r="E784" s="149"/>
      <c r="F784" s="149"/>
      <c r="G784" s="149"/>
      <c r="H784" s="150"/>
      <c r="I784" s="150"/>
      <c r="J784" s="137"/>
      <c r="K784" s="137"/>
      <c r="L784" s="137"/>
      <c r="M784" s="137"/>
      <c r="N784" s="137"/>
      <c r="O784" s="137"/>
      <c r="P784" s="137"/>
      <c r="Q784" s="137"/>
      <c r="R784" s="137"/>
      <c r="S784" s="137"/>
      <c r="T784" s="137"/>
      <c r="U784" s="137"/>
      <c r="V784" s="137"/>
      <c r="W784" s="137"/>
      <c r="X784" s="137"/>
      <c r="Y784" s="137"/>
      <c r="Z784" s="137"/>
    </row>
    <row r="785" ht="13.2" spans="1:26">
      <c r="A785" s="151"/>
      <c r="B785" s="149"/>
      <c r="C785" s="149"/>
      <c r="D785" s="149"/>
      <c r="E785" s="149"/>
      <c r="F785" s="149"/>
      <c r="G785" s="149"/>
      <c r="H785" s="150"/>
      <c r="I785" s="150"/>
      <c r="J785" s="137"/>
      <c r="K785" s="137"/>
      <c r="L785" s="137"/>
      <c r="M785" s="137"/>
      <c r="N785" s="137"/>
      <c r="O785" s="137"/>
      <c r="P785" s="137"/>
      <c r="Q785" s="137"/>
      <c r="R785" s="137"/>
      <c r="S785" s="137"/>
      <c r="T785" s="137"/>
      <c r="U785" s="137"/>
      <c r="V785" s="137"/>
      <c r="W785" s="137"/>
      <c r="X785" s="137"/>
      <c r="Y785" s="137"/>
      <c r="Z785" s="137"/>
    </row>
    <row r="786" ht="13.2" spans="1:26">
      <c r="A786" s="151"/>
      <c r="B786" s="149"/>
      <c r="C786" s="149"/>
      <c r="D786" s="149"/>
      <c r="E786" s="149"/>
      <c r="F786" s="149"/>
      <c r="G786" s="149"/>
      <c r="H786" s="150"/>
      <c r="I786" s="150"/>
      <c r="J786" s="137"/>
      <c r="K786" s="137"/>
      <c r="L786" s="137"/>
      <c r="M786" s="137"/>
      <c r="N786" s="137"/>
      <c r="O786" s="137"/>
      <c r="P786" s="137"/>
      <c r="Q786" s="137"/>
      <c r="R786" s="137"/>
      <c r="S786" s="137"/>
      <c r="T786" s="137"/>
      <c r="U786" s="137"/>
      <c r="V786" s="137"/>
      <c r="W786" s="137"/>
      <c r="X786" s="137"/>
      <c r="Y786" s="137"/>
      <c r="Z786" s="137"/>
    </row>
    <row r="787" ht="13.2" spans="1:26">
      <c r="A787" s="151"/>
      <c r="B787" s="149"/>
      <c r="C787" s="149"/>
      <c r="D787" s="149"/>
      <c r="E787" s="149"/>
      <c r="F787" s="149"/>
      <c r="G787" s="149"/>
      <c r="H787" s="150"/>
      <c r="I787" s="150"/>
      <c r="J787" s="137"/>
      <c r="K787" s="137"/>
      <c r="L787" s="137"/>
      <c r="M787" s="137"/>
      <c r="N787" s="137"/>
      <c r="O787" s="137"/>
      <c r="P787" s="137"/>
      <c r="Q787" s="137"/>
      <c r="R787" s="137"/>
      <c r="S787" s="137"/>
      <c r="T787" s="137"/>
      <c r="U787" s="137"/>
      <c r="V787" s="137"/>
      <c r="W787" s="137"/>
      <c r="X787" s="137"/>
      <c r="Y787" s="137"/>
      <c r="Z787" s="137"/>
    </row>
    <row r="788" ht="13.2" spans="1:26">
      <c r="A788" s="151"/>
      <c r="B788" s="149"/>
      <c r="C788" s="149"/>
      <c r="D788" s="149"/>
      <c r="E788" s="149"/>
      <c r="F788" s="149"/>
      <c r="G788" s="149"/>
      <c r="H788" s="150"/>
      <c r="I788" s="150"/>
      <c r="J788" s="137"/>
      <c r="K788" s="137"/>
      <c r="L788" s="137"/>
      <c r="M788" s="137"/>
      <c r="N788" s="137"/>
      <c r="O788" s="137"/>
      <c r="P788" s="137"/>
      <c r="Q788" s="137"/>
      <c r="R788" s="137"/>
      <c r="S788" s="137"/>
      <c r="T788" s="137"/>
      <c r="U788" s="137"/>
      <c r="V788" s="137"/>
      <c r="W788" s="137"/>
      <c r="X788" s="137"/>
      <c r="Y788" s="137"/>
      <c r="Z788" s="137"/>
    </row>
    <row r="789" ht="13.2" spans="1:26">
      <c r="A789" s="151"/>
      <c r="B789" s="149"/>
      <c r="C789" s="149"/>
      <c r="D789" s="149"/>
      <c r="E789" s="149"/>
      <c r="F789" s="149"/>
      <c r="G789" s="149"/>
      <c r="H789" s="150"/>
      <c r="I789" s="150"/>
      <c r="J789" s="137"/>
      <c r="K789" s="137"/>
      <c r="L789" s="137"/>
      <c r="M789" s="137"/>
      <c r="N789" s="137"/>
      <c r="O789" s="137"/>
      <c r="P789" s="137"/>
      <c r="Q789" s="137"/>
      <c r="R789" s="137"/>
      <c r="S789" s="137"/>
      <c r="T789" s="137"/>
      <c r="U789" s="137"/>
      <c r="V789" s="137"/>
      <c r="W789" s="137"/>
      <c r="X789" s="137"/>
      <c r="Y789" s="137"/>
      <c r="Z789" s="137"/>
    </row>
    <row r="790" ht="13.2" spans="1:26">
      <c r="A790" s="151"/>
      <c r="B790" s="149"/>
      <c r="C790" s="149"/>
      <c r="D790" s="149"/>
      <c r="E790" s="149"/>
      <c r="F790" s="149"/>
      <c r="G790" s="149"/>
      <c r="H790" s="150"/>
      <c r="I790" s="150"/>
      <c r="J790" s="137"/>
      <c r="K790" s="137"/>
      <c r="L790" s="137"/>
      <c r="M790" s="137"/>
      <c r="N790" s="137"/>
      <c r="O790" s="137"/>
      <c r="P790" s="137"/>
      <c r="Q790" s="137"/>
      <c r="R790" s="137"/>
      <c r="S790" s="137"/>
      <c r="T790" s="137"/>
      <c r="U790" s="137"/>
      <c r="V790" s="137"/>
      <c r="W790" s="137"/>
      <c r="X790" s="137"/>
      <c r="Y790" s="137"/>
      <c r="Z790" s="137"/>
    </row>
    <row r="791" ht="13.2" spans="1:26">
      <c r="A791" s="151"/>
      <c r="B791" s="149"/>
      <c r="C791" s="149"/>
      <c r="D791" s="149"/>
      <c r="E791" s="149"/>
      <c r="F791" s="149"/>
      <c r="G791" s="149"/>
      <c r="H791" s="150"/>
      <c r="I791" s="150"/>
      <c r="J791" s="137"/>
      <c r="K791" s="137"/>
      <c r="L791" s="137"/>
      <c r="M791" s="137"/>
      <c r="N791" s="137"/>
      <c r="O791" s="137"/>
      <c r="P791" s="137"/>
      <c r="Q791" s="137"/>
      <c r="R791" s="137"/>
      <c r="S791" s="137"/>
      <c r="T791" s="137"/>
      <c r="U791" s="137"/>
      <c r="V791" s="137"/>
      <c r="W791" s="137"/>
      <c r="X791" s="137"/>
      <c r="Y791" s="137"/>
      <c r="Z791" s="137"/>
    </row>
    <row r="792" ht="13.2" spans="1:26">
      <c r="A792" s="151"/>
      <c r="B792" s="149"/>
      <c r="C792" s="149"/>
      <c r="D792" s="149"/>
      <c r="E792" s="149"/>
      <c r="F792" s="149"/>
      <c r="G792" s="149"/>
      <c r="H792" s="150"/>
      <c r="I792" s="150"/>
      <c r="J792" s="137"/>
      <c r="K792" s="137"/>
      <c r="L792" s="137"/>
      <c r="M792" s="137"/>
      <c r="N792" s="137"/>
      <c r="O792" s="137"/>
      <c r="P792" s="137"/>
      <c r="Q792" s="137"/>
      <c r="R792" s="137"/>
      <c r="S792" s="137"/>
      <c r="T792" s="137"/>
      <c r="U792" s="137"/>
      <c r="V792" s="137"/>
      <c r="W792" s="137"/>
      <c r="X792" s="137"/>
      <c r="Y792" s="137"/>
      <c r="Z792" s="137"/>
    </row>
    <row r="793" ht="13.2" spans="1:26">
      <c r="A793" s="151"/>
      <c r="B793" s="149"/>
      <c r="C793" s="149"/>
      <c r="D793" s="149"/>
      <c r="E793" s="149"/>
      <c r="F793" s="149"/>
      <c r="G793" s="149"/>
      <c r="H793" s="150"/>
      <c r="I793" s="150"/>
      <c r="J793" s="137"/>
      <c r="K793" s="137"/>
      <c r="L793" s="137"/>
      <c r="M793" s="137"/>
      <c r="N793" s="137"/>
      <c r="O793" s="137"/>
      <c r="P793" s="137"/>
      <c r="Q793" s="137"/>
      <c r="R793" s="137"/>
      <c r="S793" s="137"/>
      <c r="T793" s="137"/>
      <c r="U793" s="137"/>
      <c r="V793" s="137"/>
      <c r="W793" s="137"/>
      <c r="X793" s="137"/>
      <c r="Y793" s="137"/>
      <c r="Z793" s="137"/>
    </row>
    <row r="794" ht="13.2" spans="1:26">
      <c r="A794" s="151"/>
      <c r="B794" s="149"/>
      <c r="C794" s="149"/>
      <c r="D794" s="149"/>
      <c r="E794" s="149"/>
      <c r="F794" s="149"/>
      <c r="G794" s="149"/>
      <c r="H794" s="150"/>
      <c r="I794" s="150"/>
      <c r="J794" s="137"/>
      <c r="K794" s="137"/>
      <c r="L794" s="137"/>
      <c r="M794" s="137"/>
      <c r="N794" s="137"/>
      <c r="O794" s="137"/>
      <c r="P794" s="137"/>
      <c r="Q794" s="137"/>
      <c r="R794" s="137"/>
      <c r="S794" s="137"/>
      <c r="T794" s="137"/>
      <c r="U794" s="137"/>
      <c r="V794" s="137"/>
      <c r="W794" s="137"/>
      <c r="X794" s="137"/>
      <c r="Y794" s="137"/>
      <c r="Z794" s="137"/>
    </row>
    <row r="795" ht="13.2" spans="1:26">
      <c r="A795" s="151"/>
      <c r="B795" s="149"/>
      <c r="C795" s="149"/>
      <c r="D795" s="149"/>
      <c r="E795" s="149"/>
      <c r="F795" s="149"/>
      <c r="G795" s="149"/>
      <c r="H795" s="150"/>
      <c r="I795" s="150"/>
      <c r="J795" s="137"/>
      <c r="K795" s="137"/>
      <c r="L795" s="137"/>
      <c r="M795" s="137"/>
      <c r="N795" s="137"/>
      <c r="O795" s="137"/>
      <c r="P795" s="137"/>
      <c r="Q795" s="137"/>
      <c r="R795" s="137"/>
      <c r="S795" s="137"/>
      <c r="T795" s="137"/>
      <c r="U795" s="137"/>
      <c r="V795" s="137"/>
      <c r="W795" s="137"/>
      <c r="X795" s="137"/>
      <c r="Y795" s="137"/>
      <c r="Z795" s="137"/>
    </row>
    <row r="796" ht="13.2" spans="1:26">
      <c r="A796" s="151"/>
      <c r="B796" s="149"/>
      <c r="C796" s="149"/>
      <c r="D796" s="149"/>
      <c r="E796" s="149"/>
      <c r="F796" s="149"/>
      <c r="G796" s="149"/>
      <c r="H796" s="150"/>
      <c r="I796" s="150"/>
      <c r="J796" s="137"/>
      <c r="K796" s="137"/>
      <c r="L796" s="137"/>
      <c r="M796" s="137"/>
      <c r="N796" s="137"/>
      <c r="O796" s="137"/>
      <c r="P796" s="137"/>
      <c r="Q796" s="137"/>
      <c r="R796" s="137"/>
      <c r="S796" s="137"/>
      <c r="T796" s="137"/>
      <c r="U796" s="137"/>
      <c r="V796" s="137"/>
      <c r="W796" s="137"/>
      <c r="X796" s="137"/>
      <c r="Y796" s="137"/>
      <c r="Z796" s="137"/>
    </row>
    <row r="797" ht="13.2" spans="1:26">
      <c r="A797" s="151"/>
      <c r="B797" s="149"/>
      <c r="C797" s="149"/>
      <c r="D797" s="149"/>
      <c r="E797" s="149"/>
      <c r="F797" s="149"/>
      <c r="G797" s="149"/>
      <c r="H797" s="150"/>
      <c r="I797" s="150"/>
      <c r="J797" s="137"/>
      <c r="K797" s="137"/>
      <c r="L797" s="137"/>
      <c r="M797" s="137"/>
      <c r="N797" s="137"/>
      <c r="O797" s="137"/>
      <c r="P797" s="137"/>
      <c r="Q797" s="137"/>
      <c r="R797" s="137"/>
      <c r="S797" s="137"/>
      <c r="T797" s="137"/>
      <c r="U797" s="137"/>
      <c r="V797" s="137"/>
      <c r="W797" s="137"/>
      <c r="X797" s="137"/>
      <c r="Y797" s="137"/>
      <c r="Z797" s="137"/>
    </row>
    <row r="798" ht="13.2" spans="1:26">
      <c r="A798" s="151"/>
      <c r="B798" s="149"/>
      <c r="C798" s="149"/>
      <c r="D798" s="149"/>
      <c r="E798" s="149"/>
      <c r="F798" s="149"/>
      <c r="G798" s="149"/>
      <c r="H798" s="150"/>
      <c r="I798" s="150"/>
      <c r="J798" s="137"/>
      <c r="K798" s="137"/>
      <c r="L798" s="137"/>
      <c r="M798" s="137"/>
      <c r="N798" s="137"/>
      <c r="O798" s="137"/>
      <c r="P798" s="137"/>
      <c r="Q798" s="137"/>
      <c r="R798" s="137"/>
      <c r="S798" s="137"/>
      <c r="T798" s="137"/>
      <c r="U798" s="137"/>
      <c r="V798" s="137"/>
      <c r="W798" s="137"/>
      <c r="X798" s="137"/>
      <c r="Y798" s="137"/>
      <c r="Z798" s="137"/>
    </row>
    <row r="799" ht="13.2" spans="1:26">
      <c r="A799" s="151"/>
      <c r="B799" s="149"/>
      <c r="C799" s="149"/>
      <c r="D799" s="149"/>
      <c r="E799" s="149"/>
      <c r="F799" s="149"/>
      <c r="G799" s="149"/>
      <c r="H799" s="150"/>
      <c r="I799" s="150"/>
      <c r="J799" s="137"/>
      <c r="K799" s="137"/>
      <c r="L799" s="137"/>
      <c r="M799" s="137"/>
      <c r="N799" s="137"/>
      <c r="O799" s="137"/>
      <c r="P799" s="137"/>
      <c r="Q799" s="137"/>
      <c r="R799" s="137"/>
      <c r="S799" s="137"/>
      <c r="T799" s="137"/>
      <c r="U799" s="137"/>
      <c r="V799" s="137"/>
      <c r="W799" s="137"/>
      <c r="X799" s="137"/>
      <c r="Y799" s="137"/>
      <c r="Z799" s="137"/>
    </row>
    <row r="800" ht="13.2" spans="1:26">
      <c r="A800" s="151"/>
      <c r="B800" s="149"/>
      <c r="C800" s="149"/>
      <c r="D800" s="149"/>
      <c r="E800" s="149"/>
      <c r="F800" s="149"/>
      <c r="G800" s="149"/>
      <c r="H800" s="150"/>
      <c r="I800" s="150"/>
      <c r="J800" s="137"/>
      <c r="K800" s="137"/>
      <c r="L800" s="137"/>
      <c r="M800" s="137"/>
      <c r="N800" s="137"/>
      <c r="O800" s="137"/>
      <c r="P800" s="137"/>
      <c r="Q800" s="137"/>
      <c r="R800" s="137"/>
      <c r="S800" s="137"/>
      <c r="T800" s="137"/>
      <c r="U800" s="137"/>
      <c r="V800" s="137"/>
      <c r="W800" s="137"/>
      <c r="X800" s="137"/>
      <c r="Y800" s="137"/>
      <c r="Z800" s="137"/>
    </row>
    <row r="801" ht="13.2" spans="1:26">
      <c r="A801" s="151"/>
      <c r="B801" s="149"/>
      <c r="C801" s="149"/>
      <c r="D801" s="149"/>
      <c r="E801" s="149"/>
      <c r="F801" s="149"/>
      <c r="G801" s="149"/>
      <c r="H801" s="150"/>
      <c r="I801" s="150"/>
      <c r="J801" s="137"/>
      <c r="K801" s="137"/>
      <c r="L801" s="137"/>
      <c r="M801" s="137"/>
      <c r="N801" s="137"/>
      <c r="O801" s="137"/>
      <c r="P801" s="137"/>
      <c r="Q801" s="137"/>
      <c r="R801" s="137"/>
      <c r="S801" s="137"/>
      <c r="T801" s="137"/>
      <c r="U801" s="137"/>
      <c r="V801" s="137"/>
      <c r="W801" s="137"/>
      <c r="X801" s="137"/>
      <c r="Y801" s="137"/>
      <c r="Z801" s="137"/>
    </row>
    <row r="802" ht="13.2" spans="1:26">
      <c r="A802" s="151"/>
      <c r="B802" s="149"/>
      <c r="C802" s="149"/>
      <c r="D802" s="149"/>
      <c r="E802" s="149"/>
      <c r="F802" s="149"/>
      <c r="G802" s="149"/>
      <c r="H802" s="150"/>
      <c r="I802" s="150"/>
      <c r="J802" s="137"/>
      <c r="K802" s="137"/>
      <c r="L802" s="137"/>
      <c r="M802" s="137"/>
      <c r="N802" s="137"/>
      <c r="O802" s="137"/>
      <c r="P802" s="137"/>
      <c r="Q802" s="137"/>
      <c r="R802" s="137"/>
      <c r="S802" s="137"/>
      <c r="T802" s="137"/>
      <c r="U802" s="137"/>
      <c r="V802" s="137"/>
      <c r="W802" s="137"/>
      <c r="X802" s="137"/>
      <c r="Y802" s="137"/>
      <c r="Z802" s="137"/>
    </row>
    <row r="803" ht="13.2" spans="1:26">
      <c r="A803" s="151"/>
      <c r="B803" s="149"/>
      <c r="C803" s="149"/>
      <c r="D803" s="149"/>
      <c r="E803" s="149"/>
      <c r="F803" s="149"/>
      <c r="G803" s="149"/>
      <c r="H803" s="150"/>
      <c r="I803" s="150"/>
      <c r="J803" s="137"/>
      <c r="K803" s="137"/>
      <c r="L803" s="137"/>
      <c r="M803" s="137"/>
      <c r="N803" s="137"/>
      <c r="O803" s="137"/>
      <c r="P803" s="137"/>
      <c r="Q803" s="137"/>
      <c r="R803" s="137"/>
      <c r="S803" s="137"/>
      <c r="T803" s="137"/>
      <c r="U803" s="137"/>
      <c r="V803" s="137"/>
      <c r="W803" s="137"/>
      <c r="X803" s="137"/>
      <c r="Y803" s="137"/>
      <c r="Z803" s="137"/>
    </row>
    <row r="804" ht="13.2" spans="1:26">
      <c r="A804" s="151"/>
      <c r="B804" s="149"/>
      <c r="C804" s="149"/>
      <c r="D804" s="149"/>
      <c r="E804" s="149"/>
      <c r="F804" s="149"/>
      <c r="G804" s="149"/>
      <c r="H804" s="150"/>
      <c r="I804" s="150"/>
      <c r="J804" s="137"/>
      <c r="K804" s="137"/>
      <c r="L804" s="137"/>
      <c r="M804" s="137"/>
      <c r="N804" s="137"/>
      <c r="O804" s="137"/>
      <c r="P804" s="137"/>
      <c r="Q804" s="137"/>
      <c r="R804" s="137"/>
      <c r="S804" s="137"/>
      <c r="T804" s="137"/>
      <c r="U804" s="137"/>
      <c r="V804" s="137"/>
      <c r="W804" s="137"/>
      <c r="X804" s="137"/>
      <c r="Y804" s="137"/>
      <c r="Z804" s="137"/>
    </row>
    <row r="805" ht="13.2" spans="1:26">
      <c r="A805" s="151"/>
      <c r="B805" s="149"/>
      <c r="C805" s="149"/>
      <c r="D805" s="149"/>
      <c r="E805" s="149"/>
      <c r="F805" s="149"/>
      <c r="G805" s="149"/>
      <c r="H805" s="150"/>
      <c r="I805" s="150"/>
      <c r="J805" s="137"/>
      <c r="K805" s="137"/>
      <c r="L805" s="137"/>
      <c r="M805" s="137"/>
      <c r="N805" s="137"/>
      <c r="O805" s="137"/>
      <c r="P805" s="137"/>
      <c r="Q805" s="137"/>
      <c r="R805" s="137"/>
      <c r="S805" s="137"/>
      <c r="T805" s="137"/>
      <c r="U805" s="137"/>
      <c r="V805" s="137"/>
      <c r="W805" s="137"/>
      <c r="X805" s="137"/>
      <c r="Y805" s="137"/>
      <c r="Z805" s="137"/>
    </row>
    <row r="806" ht="13.2" spans="1:26">
      <c r="A806" s="151"/>
      <c r="B806" s="149"/>
      <c r="C806" s="149"/>
      <c r="D806" s="149"/>
      <c r="E806" s="149"/>
      <c r="F806" s="149"/>
      <c r="G806" s="149"/>
      <c r="H806" s="150"/>
      <c r="I806" s="150"/>
      <c r="J806" s="137"/>
      <c r="K806" s="137"/>
      <c r="L806" s="137"/>
      <c r="M806" s="137"/>
      <c r="N806" s="137"/>
      <c r="O806" s="137"/>
      <c r="P806" s="137"/>
      <c r="Q806" s="137"/>
      <c r="R806" s="137"/>
      <c r="S806" s="137"/>
      <c r="T806" s="137"/>
      <c r="U806" s="137"/>
      <c r="V806" s="137"/>
      <c r="W806" s="137"/>
      <c r="X806" s="137"/>
      <c r="Y806" s="137"/>
      <c r="Z806" s="137"/>
    </row>
    <row r="807" ht="13.2" spans="1:26">
      <c r="A807" s="151"/>
      <c r="B807" s="149"/>
      <c r="C807" s="149"/>
      <c r="D807" s="149"/>
      <c r="E807" s="149"/>
      <c r="F807" s="149"/>
      <c r="G807" s="149"/>
      <c r="H807" s="150"/>
      <c r="I807" s="150"/>
      <c r="J807" s="137"/>
      <c r="K807" s="137"/>
      <c r="L807" s="137"/>
      <c r="M807" s="137"/>
      <c r="N807" s="137"/>
      <c r="O807" s="137"/>
      <c r="P807" s="137"/>
      <c r="Q807" s="137"/>
      <c r="R807" s="137"/>
      <c r="S807" s="137"/>
      <c r="T807" s="137"/>
      <c r="U807" s="137"/>
      <c r="V807" s="137"/>
      <c r="W807" s="137"/>
      <c r="X807" s="137"/>
      <c r="Y807" s="137"/>
      <c r="Z807" s="137"/>
    </row>
    <row r="808" ht="13.2" spans="1:26">
      <c r="A808" s="151"/>
      <c r="B808" s="149"/>
      <c r="C808" s="149"/>
      <c r="D808" s="149"/>
      <c r="E808" s="149"/>
      <c r="F808" s="149"/>
      <c r="G808" s="149"/>
      <c r="H808" s="150"/>
      <c r="I808" s="150"/>
      <c r="J808" s="137"/>
      <c r="K808" s="137"/>
      <c r="L808" s="137"/>
      <c r="M808" s="137"/>
      <c r="N808" s="137"/>
      <c r="O808" s="137"/>
      <c r="P808" s="137"/>
      <c r="Q808" s="137"/>
      <c r="R808" s="137"/>
      <c r="S808" s="137"/>
      <c r="T808" s="137"/>
      <c r="U808" s="137"/>
      <c r="V808" s="137"/>
      <c r="W808" s="137"/>
      <c r="X808" s="137"/>
      <c r="Y808" s="137"/>
      <c r="Z808" s="137"/>
    </row>
    <row r="809" ht="13.2" spans="1:26">
      <c r="A809" s="151"/>
      <c r="B809" s="149"/>
      <c r="C809" s="149"/>
      <c r="D809" s="149"/>
      <c r="E809" s="149"/>
      <c r="F809" s="149"/>
      <c r="G809" s="149"/>
      <c r="H809" s="150"/>
      <c r="I809" s="150"/>
      <c r="J809" s="137"/>
      <c r="K809" s="137"/>
      <c r="L809" s="137"/>
      <c r="M809" s="137"/>
      <c r="N809" s="137"/>
      <c r="O809" s="137"/>
      <c r="P809" s="137"/>
      <c r="Q809" s="137"/>
      <c r="R809" s="137"/>
      <c r="S809" s="137"/>
      <c r="T809" s="137"/>
      <c r="U809" s="137"/>
      <c r="V809" s="137"/>
      <c r="W809" s="137"/>
      <c r="X809" s="137"/>
      <c r="Y809" s="137"/>
      <c r="Z809" s="137"/>
    </row>
    <row r="810" ht="13.2" spans="1:26">
      <c r="A810" s="151"/>
      <c r="B810" s="149"/>
      <c r="C810" s="149"/>
      <c r="D810" s="149"/>
      <c r="E810" s="149"/>
      <c r="F810" s="149"/>
      <c r="G810" s="149"/>
      <c r="H810" s="150"/>
      <c r="I810" s="150"/>
      <c r="J810" s="137"/>
      <c r="K810" s="137"/>
      <c r="L810" s="137"/>
      <c r="M810" s="137"/>
      <c r="N810" s="137"/>
      <c r="O810" s="137"/>
      <c r="P810" s="137"/>
      <c r="Q810" s="137"/>
      <c r="R810" s="137"/>
      <c r="S810" s="137"/>
      <c r="T810" s="137"/>
      <c r="U810" s="137"/>
      <c r="V810" s="137"/>
      <c r="W810" s="137"/>
      <c r="X810" s="137"/>
      <c r="Y810" s="137"/>
      <c r="Z810" s="137"/>
    </row>
    <row r="811" ht="13.2" spans="1:26">
      <c r="A811" s="151"/>
      <c r="B811" s="149"/>
      <c r="C811" s="149"/>
      <c r="D811" s="149"/>
      <c r="E811" s="149"/>
      <c r="F811" s="149"/>
      <c r="G811" s="149"/>
      <c r="H811" s="150"/>
      <c r="I811" s="150"/>
      <c r="J811" s="137"/>
      <c r="K811" s="137"/>
      <c r="L811" s="137"/>
      <c r="M811" s="137"/>
      <c r="N811" s="137"/>
      <c r="O811" s="137"/>
      <c r="P811" s="137"/>
      <c r="Q811" s="137"/>
      <c r="R811" s="137"/>
      <c r="S811" s="137"/>
      <c r="T811" s="137"/>
      <c r="U811" s="137"/>
      <c r="V811" s="137"/>
      <c r="W811" s="137"/>
      <c r="X811" s="137"/>
      <c r="Y811" s="137"/>
      <c r="Z811" s="137"/>
    </row>
    <row r="812" ht="13.2" spans="1:26">
      <c r="A812" s="151"/>
      <c r="B812" s="149"/>
      <c r="C812" s="149"/>
      <c r="D812" s="149"/>
      <c r="E812" s="149"/>
      <c r="F812" s="149"/>
      <c r="G812" s="149"/>
      <c r="H812" s="150"/>
      <c r="I812" s="150"/>
      <c r="J812" s="137"/>
      <c r="K812" s="137"/>
      <c r="L812" s="137"/>
      <c r="M812" s="137"/>
      <c r="N812" s="137"/>
      <c r="O812" s="137"/>
      <c r="P812" s="137"/>
      <c r="Q812" s="137"/>
      <c r="R812" s="137"/>
      <c r="S812" s="137"/>
      <c r="T812" s="137"/>
      <c r="U812" s="137"/>
      <c r="V812" s="137"/>
      <c r="W812" s="137"/>
      <c r="X812" s="137"/>
      <c r="Y812" s="137"/>
      <c r="Z812" s="137"/>
    </row>
    <row r="813" ht="13.2" spans="1:26">
      <c r="A813" s="151"/>
      <c r="B813" s="149"/>
      <c r="C813" s="149"/>
      <c r="D813" s="149"/>
      <c r="E813" s="149"/>
      <c r="F813" s="149"/>
      <c r="G813" s="149"/>
      <c r="H813" s="150"/>
      <c r="I813" s="150"/>
      <c r="J813" s="137"/>
      <c r="K813" s="137"/>
      <c r="L813" s="137"/>
      <c r="M813" s="137"/>
      <c r="N813" s="137"/>
      <c r="O813" s="137"/>
      <c r="P813" s="137"/>
      <c r="Q813" s="137"/>
      <c r="R813" s="137"/>
      <c r="S813" s="137"/>
      <c r="T813" s="137"/>
      <c r="U813" s="137"/>
      <c r="V813" s="137"/>
      <c r="W813" s="137"/>
      <c r="X813" s="137"/>
      <c r="Y813" s="137"/>
      <c r="Z813" s="137"/>
    </row>
    <row r="814" ht="13.2" spans="1:26">
      <c r="A814" s="151"/>
      <c r="B814" s="149"/>
      <c r="C814" s="149"/>
      <c r="D814" s="149"/>
      <c r="E814" s="149"/>
      <c r="F814" s="149"/>
      <c r="G814" s="149"/>
      <c r="H814" s="150"/>
      <c r="I814" s="150"/>
      <c r="J814" s="137"/>
      <c r="K814" s="137"/>
      <c r="L814" s="137"/>
      <c r="M814" s="137"/>
      <c r="N814" s="137"/>
      <c r="O814" s="137"/>
      <c r="P814" s="137"/>
      <c r="Q814" s="137"/>
      <c r="R814" s="137"/>
      <c r="S814" s="137"/>
      <c r="T814" s="137"/>
      <c r="U814" s="137"/>
      <c r="V814" s="137"/>
      <c r="W814" s="137"/>
      <c r="X814" s="137"/>
      <c r="Y814" s="137"/>
      <c r="Z814" s="137"/>
    </row>
    <row r="815" ht="13.2" spans="1:26">
      <c r="A815" s="151"/>
      <c r="B815" s="149"/>
      <c r="C815" s="149"/>
      <c r="D815" s="149"/>
      <c r="E815" s="149"/>
      <c r="F815" s="149"/>
      <c r="G815" s="149"/>
      <c r="H815" s="150"/>
      <c r="I815" s="150"/>
      <c r="J815" s="137"/>
      <c r="K815" s="137"/>
      <c r="L815" s="137"/>
      <c r="M815" s="137"/>
      <c r="N815" s="137"/>
      <c r="O815" s="137"/>
      <c r="P815" s="137"/>
      <c r="Q815" s="137"/>
      <c r="R815" s="137"/>
      <c r="S815" s="137"/>
      <c r="T815" s="137"/>
      <c r="U815" s="137"/>
      <c r="V815" s="137"/>
      <c r="W815" s="137"/>
      <c r="X815" s="137"/>
      <c r="Y815" s="137"/>
      <c r="Z815" s="137"/>
    </row>
    <row r="816" ht="13.2" spans="1:26">
      <c r="A816" s="151"/>
      <c r="B816" s="149"/>
      <c r="C816" s="149"/>
      <c r="D816" s="149"/>
      <c r="E816" s="149"/>
      <c r="F816" s="149"/>
      <c r="G816" s="149"/>
      <c r="H816" s="150"/>
      <c r="I816" s="150"/>
      <c r="J816" s="137"/>
      <c r="K816" s="137"/>
      <c r="L816" s="137"/>
      <c r="M816" s="137"/>
      <c r="N816" s="137"/>
      <c r="O816" s="137"/>
      <c r="P816" s="137"/>
      <c r="Q816" s="137"/>
      <c r="R816" s="137"/>
      <c r="S816" s="137"/>
      <c r="T816" s="137"/>
      <c r="U816" s="137"/>
      <c r="V816" s="137"/>
      <c r="W816" s="137"/>
      <c r="X816" s="137"/>
      <c r="Y816" s="137"/>
      <c r="Z816" s="137"/>
    </row>
    <row r="817" ht="13.2" spans="1:26">
      <c r="A817" s="151"/>
      <c r="B817" s="149"/>
      <c r="C817" s="149"/>
      <c r="D817" s="149"/>
      <c r="E817" s="149"/>
      <c r="F817" s="149"/>
      <c r="G817" s="149"/>
      <c r="H817" s="150"/>
      <c r="I817" s="150"/>
      <c r="J817" s="137"/>
      <c r="K817" s="137"/>
      <c r="L817" s="137"/>
      <c r="M817" s="137"/>
      <c r="N817" s="137"/>
      <c r="O817" s="137"/>
      <c r="P817" s="137"/>
      <c r="Q817" s="137"/>
      <c r="R817" s="137"/>
      <c r="S817" s="137"/>
      <c r="T817" s="137"/>
      <c r="U817" s="137"/>
      <c r="V817" s="137"/>
      <c r="W817" s="137"/>
      <c r="X817" s="137"/>
      <c r="Y817" s="137"/>
      <c r="Z817" s="137"/>
    </row>
    <row r="818" ht="13.2" spans="1:26">
      <c r="A818" s="151"/>
      <c r="B818" s="149"/>
      <c r="C818" s="149"/>
      <c r="D818" s="149"/>
      <c r="E818" s="149"/>
      <c r="F818" s="149"/>
      <c r="G818" s="149"/>
      <c r="H818" s="150"/>
      <c r="I818" s="150"/>
      <c r="J818" s="137"/>
      <c r="K818" s="137"/>
      <c r="L818" s="137"/>
      <c r="M818" s="137"/>
      <c r="N818" s="137"/>
      <c r="O818" s="137"/>
      <c r="P818" s="137"/>
      <c r="Q818" s="137"/>
      <c r="R818" s="137"/>
      <c r="S818" s="137"/>
      <c r="T818" s="137"/>
      <c r="U818" s="137"/>
      <c r="V818" s="137"/>
      <c r="W818" s="137"/>
      <c r="X818" s="137"/>
      <c r="Y818" s="137"/>
      <c r="Z818" s="137"/>
    </row>
    <row r="819" ht="13.2" spans="1:26">
      <c r="A819" s="151"/>
      <c r="B819" s="149"/>
      <c r="C819" s="149"/>
      <c r="D819" s="149"/>
      <c r="E819" s="149"/>
      <c r="F819" s="149"/>
      <c r="G819" s="149"/>
      <c r="H819" s="150"/>
      <c r="I819" s="150"/>
      <c r="J819" s="137"/>
      <c r="K819" s="137"/>
      <c r="L819" s="137"/>
      <c r="M819" s="137"/>
      <c r="N819" s="137"/>
      <c r="O819" s="137"/>
      <c r="P819" s="137"/>
      <c r="Q819" s="137"/>
      <c r="R819" s="137"/>
      <c r="S819" s="137"/>
      <c r="T819" s="137"/>
      <c r="U819" s="137"/>
      <c r="V819" s="137"/>
      <c r="W819" s="137"/>
      <c r="X819" s="137"/>
      <c r="Y819" s="137"/>
      <c r="Z819" s="137"/>
    </row>
    <row r="820" ht="13.2" spans="1:26">
      <c r="A820" s="151"/>
      <c r="B820" s="149"/>
      <c r="C820" s="149"/>
      <c r="D820" s="149"/>
      <c r="E820" s="149"/>
      <c r="F820" s="149"/>
      <c r="G820" s="149"/>
      <c r="H820" s="150"/>
      <c r="I820" s="150"/>
      <c r="J820" s="137"/>
      <c r="K820" s="137"/>
      <c r="L820" s="137"/>
      <c r="M820" s="137"/>
      <c r="N820" s="137"/>
      <c r="O820" s="137"/>
      <c r="P820" s="137"/>
      <c r="Q820" s="137"/>
      <c r="R820" s="137"/>
      <c r="S820" s="137"/>
      <c r="T820" s="137"/>
      <c r="U820" s="137"/>
      <c r="V820" s="137"/>
      <c r="W820" s="137"/>
      <c r="X820" s="137"/>
      <c r="Y820" s="137"/>
      <c r="Z820" s="137"/>
    </row>
    <row r="821" ht="13.2" spans="1:26">
      <c r="A821" s="151"/>
      <c r="B821" s="149"/>
      <c r="C821" s="149"/>
      <c r="D821" s="149"/>
      <c r="E821" s="149"/>
      <c r="F821" s="149"/>
      <c r="G821" s="149"/>
      <c r="H821" s="150"/>
      <c r="I821" s="150"/>
      <c r="J821" s="137"/>
      <c r="K821" s="137"/>
      <c r="L821" s="137"/>
      <c r="M821" s="137"/>
      <c r="N821" s="137"/>
      <c r="O821" s="137"/>
      <c r="P821" s="137"/>
      <c r="Q821" s="137"/>
      <c r="R821" s="137"/>
      <c r="S821" s="137"/>
      <c r="T821" s="137"/>
      <c r="U821" s="137"/>
      <c r="V821" s="137"/>
      <c r="W821" s="137"/>
      <c r="X821" s="137"/>
      <c r="Y821" s="137"/>
      <c r="Z821" s="137"/>
    </row>
    <row r="822" ht="13.2" spans="1:26">
      <c r="A822" s="151"/>
      <c r="B822" s="149"/>
      <c r="C822" s="149"/>
      <c r="D822" s="149"/>
      <c r="E822" s="149"/>
      <c r="F822" s="149"/>
      <c r="G822" s="149"/>
      <c r="H822" s="150"/>
      <c r="I822" s="150"/>
      <c r="J822" s="137"/>
      <c r="K822" s="137"/>
      <c r="L822" s="137"/>
      <c r="M822" s="137"/>
      <c r="N822" s="137"/>
      <c r="O822" s="137"/>
      <c r="P822" s="137"/>
      <c r="Q822" s="137"/>
      <c r="R822" s="137"/>
      <c r="S822" s="137"/>
      <c r="T822" s="137"/>
      <c r="U822" s="137"/>
      <c r="V822" s="137"/>
      <c r="W822" s="137"/>
      <c r="X822" s="137"/>
      <c r="Y822" s="137"/>
      <c r="Z822" s="137"/>
    </row>
    <row r="823" ht="13.2" spans="1:26">
      <c r="A823" s="151"/>
      <c r="B823" s="149"/>
      <c r="C823" s="149"/>
      <c r="D823" s="149"/>
      <c r="E823" s="149"/>
      <c r="F823" s="149"/>
      <c r="G823" s="149"/>
      <c r="H823" s="150"/>
      <c r="I823" s="150"/>
      <c r="J823" s="137"/>
      <c r="K823" s="137"/>
      <c r="L823" s="137"/>
      <c r="M823" s="137"/>
      <c r="N823" s="137"/>
      <c r="O823" s="137"/>
      <c r="P823" s="137"/>
      <c r="Q823" s="137"/>
      <c r="R823" s="137"/>
      <c r="S823" s="137"/>
      <c r="T823" s="137"/>
      <c r="U823" s="137"/>
      <c r="V823" s="137"/>
      <c r="W823" s="137"/>
      <c r="X823" s="137"/>
      <c r="Y823" s="137"/>
      <c r="Z823" s="137"/>
    </row>
    <row r="824" ht="13.2" spans="1:26">
      <c r="A824" s="151"/>
      <c r="B824" s="149"/>
      <c r="C824" s="149"/>
      <c r="D824" s="149"/>
      <c r="E824" s="149"/>
      <c r="F824" s="149"/>
      <c r="G824" s="149"/>
      <c r="H824" s="150"/>
      <c r="I824" s="150"/>
      <c r="J824" s="137"/>
      <c r="K824" s="137"/>
      <c r="L824" s="137"/>
      <c r="M824" s="137"/>
      <c r="N824" s="137"/>
      <c r="O824" s="137"/>
      <c r="P824" s="137"/>
      <c r="Q824" s="137"/>
      <c r="R824" s="137"/>
      <c r="S824" s="137"/>
      <c r="T824" s="137"/>
      <c r="U824" s="137"/>
      <c r="V824" s="137"/>
      <c r="W824" s="137"/>
      <c r="X824" s="137"/>
      <c r="Y824" s="137"/>
      <c r="Z824" s="137"/>
    </row>
    <row r="825" ht="13.2" spans="1:26">
      <c r="A825" s="151"/>
      <c r="B825" s="149"/>
      <c r="C825" s="149"/>
      <c r="D825" s="149"/>
      <c r="E825" s="149"/>
      <c r="F825" s="149"/>
      <c r="G825" s="149"/>
      <c r="H825" s="150"/>
      <c r="I825" s="150"/>
      <c r="J825" s="137"/>
      <c r="K825" s="137"/>
      <c r="L825" s="137"/>
      <c r="M825" s="137"/>
      <c r="N825" s="137"/>
      <c r="O825" s="137"/>
      <c r="P825" s="137"/>
      <c r="Q825" s="137"/>
      <c r="R825" s="137"/>
      <c r="S825" s="137"/>
      <c r="T825" s="137"/>
      <c r="U825" s="137"/>
      <c r="V825" s="137"/>
      <c r="W825" s="137"/>
      <c r="X825" s="137"/>
      <c r="Y825" s="137"/>
      <c r="Z825" s="137"/>
    </row>
    <row r="826" ht="13.2" spans="1:26">
      <c r="A826" s="151"/>
      <c r="B826" s="149"/>
      <c r="C826" s="149"/>
      <c r="D826" s="149"/>
      <c r="E826" s="149"/>
      <c r="F826" s="149"/>
      <c r="G826" s="149"/>
      <c r="H826" s="150"/>
      <c r="I826" s="150"/>
      <c r="J826" s="137"/>
      <c r="K826" s="137"/>
      <c r="L826" s="137"/>
      <c r="M826" s="137"/>
      <c r="N826" s="137"/>
      <c r="O826" s="137"/>
      <c r="P826" s="137"/>
      <c r="Q826" s="137"/>
      <c r="R826" s="137"/>
      <c r="S826" s="137"/>
      <c r="T826" s="137"/>
      <c r="U826" s="137"/>
      <c r="V826" s="137"/>
      <c r="W826" s="137"/>
      <c r="X826" s="137"/>
      <c r="Y826" s="137"/>
      <c r="Z826" s="137"/>
    </row>
    <row r="827" ht="13.2" spans="1:26">
      <c r="A827" s="151"/>
      <c r="B827" s="149"/>
      <c r="C827" s="149"/>
      <c r="D827" s="149"/>
      <c r="E827" s="149"/>
      <c r="F827" s="149"/>
      <c r="G827" s="149"/>
      <c r="H827" s="150"/>
      <c r="I827" s="150"/>
      <c r="J827" s="137"/>
      <c r="K827" s="137"/>
      <c r="L827" s="137"/>
      <c r="M827" s="137"/>
      <c r="N827" s="137"/>
      <c r="O827" s="137"/>
      <c r="P827" s="137"/>
      <c r="Q827" s="137"/>
      <c r="R827" s="137"/>
      <c r="S827" s="137"/>
      <c r="T827" s="137"/>
      <c r="U827" s="137"/>
      <c r="V827" s="137"/>
      <c r="W827" s="137"/>
      <c r="X827" s="137"/>
      <c r="Y827" s="137"/>
      <c r="Z827" s="137"/>
    </row>
    <row r="828" ht="13.2" spans="1:26">
      <c r="A828" s="151"/>
      <c r="B828" s="149"/>
      <c r="C828" s="149"/>
      <c r="D828" s="149"/>
      <c r="E828" s="149"/>
      <c r="F828" s="149"/>
      <c r="G828" s="149"/>
      <c r="H828" s="150"/>
      <c r="I828" s="150"/>
      <c r="J828" s="137"/>
      <c r="K828" s="137"/>
      <c r="L828" s="137"/>
      <c r="M828" s="137"/>
      <c r="N828" s="137"/>
      <c r="O828" s="137"/>
      <c r="P828" s="137"/>
      <c r="Q828" s="137"/>
      <c r="R828" s="137"/>
      <c r="S828" s="137"/>
      <c r="T828" s="137"/>
      <c r="U828" s="137"/>
      <c r="V828" s="137"/>
      <c r="W828" s="137"/>
      <c r="X828" s="137"/>
      <c r="Y828" s="137"/>
      <c r="Z828" s="137"/>
    </row>
    <row r="829" ht="13.2" spans="1:26">
      <c r="A829" s="151"/>
      <c r="B829" s="149"/>
      <c r="C829" s="149"/>
      <c r="D829" s="149"/>
      <c r="E829" s="149"/>
      <c r="F829" s="149"/>
      <c r="G829" s="149"/>
      <c r="H829" s="150"/>
      <c r="I829" s="150"/>
      <c r="J829" s="137"/>
      <c r="K829" s="137"/>
      <c r="L829" s="137"/>
      <c r="M829" s="137"/>
      <c r="N829" s="137"/>
      <c r="O829" s="137"/>
      <c r="P829" s="137"/>
      <c r="Q829" s="137"/>
      <c r="R829" s="137"/>
      <c r="S829" s="137"/>
      <c r="T829" s="137"/>
      <c r="U829" s="137"/>
      <c r="V829" s="137"/>
      <c r="W829" s="137"/>
      <c r="X829" s="137"/>
      <c r="Y829" s="137"/>
      <c r="Z829" s="137"/>
    </row>
    <row r="830" ht="13.2" spans="1:26">
      <c r="A830" s="151"/>
      <c r="B830" s="149"/>
      <c r="C830" s="149"/>
      <c r="D830" s="149"/>
      <c r="E830" s="149"/>
      <c r="F830" s="149"/>
      <c r="G830" s="149"/>
      <c r="H830" s="150"/>
      <c r="I830" s="150"/>
      <c r="J830" s="137"/>
      <c r="K830" s="137"/>
      <c r="L830" s="137"/>
      <c r="M830" s="137"/>
      <c r="N830" s="137"/>
      <c r="O830" s="137"/>
      <c r="P830" s="137"/>
      <c r="Q830" s="137"/>
      <c r="R830" s="137"/>
      <c r="S830" s="137"/>
      <c r="T830" s="137"/>
      <c r="U830" s="137"/>
      <c r="V830" s="137"/>
      <c r="W830" s="137"/>
      <c r="X830" s="137"/>
      <c r="Y830" s="137"/>
      <c r="Z830" s="137"/>
    </row>
    <row r="831" ht="13.2" spans="1:26">
      <c r="A831" s="151"/>
      <c r="B831" s="149"/>
      <c r="C831" s="149"/>
      <c r="D831" s="149"/>
      <c r="E831" s="149"/>
      <c r="F831" s="149"/>
      <c r="G831" s="149"/>
      <c r="H831" s="150"/>
      <c r="I831" s="150"/>
      <c r="J831" s="137"/>
      <c r="K831" s="137"/>
      <c r="L831" s="137"/>
      <c r="M831" s="137"/>
      <c r="N831" s="137"/>
      <c r="O831" s="137"/>
      <c r="P831" s="137"/>
      <c r="Q831" s="137"/>
      <c r="R831" s="137"/>
      <c r="S831" s="137"/>
      <c r="T831" s="137"/>
      <c r="U831" s="137"/>
      <c r="V831" s="137"/>
      <c r="W831" s="137"/>
      <c r="X831" s="137"/>
      <c r="Y831" s="137"/>
      <c r="Z831" s="137"/>
    </row>
    <row r="832" ht="13.2" spans="1:26">
      <c r="A832" s="151"/>
      <c r="B832" s="149"/>
      <c r="C832" s="149"/>
      <c r="D832" s="149"/>
      <c r="E832" s="149"/>
      <c r="F832" s="149"/>
      <c r="G832" s="149"/>
      <c r="H832" s="150"/>
      <c r="I832" s="150"/>
      <c r="J832" s="137"/>
      <c r="K832" s="137"/>
      <c r="L832" s="137"/>
      <c r="M832" s="137"/>
      <c r="N832" s="137"/>
      <c r="O832" s="137"/>
      <c r="P832" s="137"/>
      <c r="Q832" s="137"/>
      <c r="R832" s="137"/>
      <c r="S832" s="137"/>
      <c r="T832" s="137"/>
      <c r="U832" s="137"/>
      <c r="V832" s="137"/>
      <c r="W832" s="137"/>
      <c r="X832" s="137"/>
      <c r="Y832" s="137"/>
      <c r="Z832" s="137"/>
    </row>
    <row r="833" ht="13.2" spans="1:26">
      <c r="A833" s="151"/>
      <c r="B833" s="149"/>
      <c r="C833" s="149"/>
      <c r="D833" s="149"/>
      <c r="E833" s="149"/>
      <c r="F833" s="149"/>
      <c r="G833" s="149"/>
      <c r="H833" s="150"/>
      <c r="I833" s="150"/>
      <c r="J833" s="137"/>
      <c r="K833" s="137"/>
      <c r="L833" s="137"/>
      <c r="M833" s="137"/>
      <c r="N833" s="137"/>
      <c r="O833" s="137"/>
      <c r="P833" s="137"/>
      <c r="Q833" s="137"/>
      <c r="R833" s="137"/>
      <c r="S833" s="137"/>
      <c r="T833" s="137"/>
      <c r="U833" s="137"/>
      <c r="V833" s="137"/>
      <c r="W833" s="137"/>
      <c r="X833" s="137"/>
      <c r="Y833" s="137"/>
      <c r="Z833" s="137"/>
    </row>
    <row r="834" ht="13.2" spans="1:26">
      <c r="A834" s="151"/>
      <c r="B834" s="149"/>
      <c r="C834" s="149"/>
      <c r="D834" s="149"/>
      <c r="E834" s="149"/>
      <c r="F834" s="149"/>
      <c r="G834" s="149"/>
      <c r="H834" s="150"/>
      <c r="I834" s="150"/>
      <c r="J834" s="137"/>
      <c r="K834" s="137"/>
      <c r="L834" s="137"/>
      <c r="M834" s="137"/>
      <c r="N834" s="137"/>
      <c r="O834" s="137"/>
      <c r="P834" s="137"/>
      <c r="Q834" s="137"/>
      <c r="R834" s="137"/>
      <c r="S834" s="137"/>
      <c r="T834" s="137"/>
      <c r="U834" s="137"/>
      <c r="V834" s="137"/>
      <c r="W834" s="137"/>
      <c r="X834" s="137"/>
      <c r="Y834" s="137"/>
      <c r="Z834" s="137"/>
    </row>
    <row r="835" ht="13.2" spans="1:26">
      <c r="A835" s="151"/>
      <c r="B835" s="149"/>
      <c r="C835" s="149"/>
      <c r="D835" s="149"/>
      <c r="E835" s="149"/>
      <c r="F835" s="149"/>
      <c r="G835" s="149"/>
      <c r="H835" s="150"/>
      <c r="I835" s="150"/>
      <c r="J835" s="137"/>
      <c r="K835" s="137"/>
      <c r="L835" s="137"/>
      <c r="M835" s="137"/>
      <c r="N835" s="137"/>
      <c r="O835" s="137"/>
      <c r="P835" s="137"/>
      <c r="Q835" s="137"/>
      <c r="R835" s="137"/>
      <c r="S835" s="137"/>
      <c r="T835" s="137"/>
      <c r="U835" s="137"/>
      <c r="V835" s="137"/>
      <c r="W835" s="137"/>
      <c r="X835" s="137"/>
      <c r="Y835" s="137"/>
      <c r="Z835" s="137"/>
    </row>
    <row r="836" ht="13.2" spans="1:26">
      <c r="A836" s="151"/>
      <c r="B836" s="149"/>
      <c r="C836" s="149"/>
      <c r="D836" s="149"/>
      <c r="E836" s="149"/>
      <c r="F836" s="149"/>
      <c r="G836" s="149"/>
      <c r="H836" s="150"/>
      <c r="I836" s="150"/>
      <c r="J836" s="137"/>
      <c r="K836" s="137"/>
      <c r="L836" s="137"/>
      <c r="M836" s="137"/>
      <c r="N836" s="137"/>
      <c r="O836" s="137"/>
      <c r="P836" s="137"/>
      <c r="Q836" s="137"/>
      <c r="R836" s="137"/>
      <c r="S836" s="137"/>
      <c r="T836" s="137"/>
      <c r="U836" s="137"/>
      <c r="V836" s="137"/>
      <c r="W836" s="137"/>
      <c r="X836" s="137"/>
      <c r="Y836" s="137"/>
      <c r="Z836" s="137"/>
    </row>
    <row r="837" ht="13.2" spans="1:26">
      <c r="A837" s="151"/>
      <c r="B837" s="149"/>
      <c r="C837" s="149"/>
      <c r="D837" s="149"/>
      <c r="E837" s="149"/>
      <c r="F837" s="149"/>
      <c r="G837" s="149"/>
      <c r="H837" s="150"/>
      <c r="I837" s="150"/>
      <c r="J837" s="137"/>
      <c r="K837" s="137"/>
      <c r="L837" s="137"/>
      <c r="M837" s="137"/>
      <c r="N837" s="137"/>
      <c r="O837" s="137"/>
      <c r="P837" s="137"/>
      <c r="Q837" s="137"/>
      <c r="R837" s="137"/>
      <c r="S837" s="137"/>
      <c r="T837" s="137"/>
      <c r="U837" s="137"/>
      <c r="V837" s="137"/>
      <c r="W837" s="137"/>
      <c r="X837" s="137"/>
      <c r="Y837" s="137"/>
      <c r="Z837" s="137"/>
    </row>
    <row r="838" ht="13.2" spans="1:26">
      <c r="A838" s="151"/>
      <c r="B838" s="149"/>
      <c r="C838" s="149"/>
      <c r="D838" s="149"/>
      <c r="E838" s="149"/>
      <c r="F838" s="149"/>
      <c r="G838" s="149"/>
      <c r="H838" s="150"/>
      <c r="I838" s="150"/>
      <c r="J838" s="137"/>
      <c r="K838" s="137"/>
      <c r="L838" s="137"/>
      <c r="M838" s="137"/>
      <c r="N838" s="137"/>
      <c r="O838" s="137"/>
      <c r="P838" s="137"/>
      <c r="Q838" s="137"/>
      <c r="R838" s="137"/>
      <c r="S838" s="137"/>
      <c r="T838" s="137"/>
      <c r="U838" s="137"/>
      <c r="V838" s="137"/>
      <c r="W838" s="137"/>
      <c r="X838" s="137"/>
      <c r="Y838" s="137"/>
      <c r="Z838" s="137"/>
    </row>
    <row r="839" ht="13.2" spans="1:26">
      <c r="A839" s="151"/>
      <c r="B839" s="149"/>
      <c r="C839" s="149"/>
      <c r="D839" s="149"/>
      <c r="E839" s="149"/>
      <c r="F839" s="149"/>
      <c r="G839" s="149"/>
      <c r="H839" s="150"/>
      <c r="I839" s="150"/>
      <c r="J839" s="137"/>
      <c r="K839" s="137"/>
      <c r="L839" s="137"/>
      <c r="M839" s="137"/>
      <c r="N839" s="137"/>
      <c r="O839" s="137"/>
      <c r="P839" s="137"/>
      <c r="Q839" s="137"/>
      <c r="R839" s="137"/>
      <c r="S839" s="137"/>
      <c r="T839" s="137"/>
      <c r="U839" s="137"/>
      <c r="V839" s="137"/>
      <c r="W839" s="137"/>
      <c r="X839" s="137"/>
      <c r="Y839" s="137"/>
      <c r="Z839" s="137"/>
    </row>
    <row r="840" ht="13.2" spans="1:26">
      <c r="A840" s="151"/>
      <c r="B840" s="149"/>
      <c r="C840" s="149"/>
      <c r="D840" s="149"/>
      <c r="E840" s="149"/>
      <c r="F840" s="149"/>
      <c r="G840" s="149"/>
      <c r="H840" s="150"/>
      <c r="I840" s="150"/>
      <c r="J840" s="137"/>
      <c r="K840" s="137"/>
      <c r="L840" s="137"/>
      <c r="M840" s="137"/>
      <c r="N840" s="137"/>
      <c r="O840" s="137"/>
      <c r="P840" s="137"/>
      <c r="Q840" s="137"/>
      <c r="R840" s="137"/>
      <c r="S840" s="137"/>
      <c r="T840" s="137"/>
      <c r="U840" s="137"/>
      <c r="V840" s="137"/>
      <c r="W840" s="137"/>
      <c r="X840" s="137"/>
      <c r="Y840" s="137"/>
      <c r="Z840" s="137"/>
    </row>
    <row r="841" ht="13.2" spans="1:26">
      <c r="A841" s="151"/>
      <c r="B841" s="149"/>
      <c r="C841" s="149"/>
      <c r="D841" s="149"/>
      <c r="E841" s="149"/>
      <c r="F841" s="149"/>
      <c r="G841" s="149"/>
      <c r="H841" s="150"/>
      <c r="I841" s="150"/>
      <c r="J841" s="137"/>
      <c r="K841" s="137"/>
      <c r="L841" s="137"/>
      <c r="M841" s="137"/>
      <c r="N841" s="137"/>
      <c r="O841" s="137"/>
      <c r="P841" s="137"/>
      <c r="Q841" s="137"/>
      <c r="R841" s="137"/>
      <c r="S841" s="137"/>
      <c r="T841" s="137"/>
      <c r="U841" s="137"/>
      <c r="V841" s="137"/>
      <c r="W841" s="137"/>
      <c r="X841" s="137"/>
      <c r="Y841" s="137"/>
      <c r="Z841" s="137"/>
    </row>
    <row r="842" ht="13.2" spans="1:26">
      <c r="A842" s="151"/>
      <c r="B842" s="149"/>
      <c r="C842" s="149"/>
      <c r="D842" s="149"/>
      <c r="E842" s="149"/>
      <c r="F842" s="149"/>
      <c r="G842" s="149"/>
      <c r="H842" s="150"/>
      <c r="I842" s="150"/>
      <c r="J842" s="137"/>
      <c r="K842" s="137"/>
      <c r="L842" s="137"/>
      <c r="M842" s="137"/>
      <c r="N842" s="137"/>
      <c r="O842" s="137"/>
      <c r="P842" s="137"/>
      <c r="Q842" s="137"/>
      <c r="R842" s="137"/>
      <c r="S842" s="137"/>
      <c r="T842" s="137"/>
      <c r="U842" s="137"/>
      <c r="V842" s="137"/>
      <c r="W842" s="137"/>
      <c r="X842" s="137"/>
      <c r="Y842" s="137"/>
      <c r="Z842" s="137"/>
    </row>
    <row r="843" ht="13.2" spans="1:26">
      <c r="A843" s="151"/>
      <c r="B843" s="149"/>
      <c r="C843" s="149"/>
      <c r="D843" s="149"/>
      <c r="E843" s="149"/>
      <c r="F843" s="149"/>
      <c r="G843" s="149"/>
      <c r="H843" s="150"/>
      <c r="I843" s="150"/>
      <c r="J843" s="137"/>
      <c r="K843" s="137"/>
      <c r="L843" s="137"/>
      <c r="M843" s="137"/>
      <c r="N843" s="137"/>
      <c r="O843" s="137"/>
      <c r="P843" s="137"/>
      <c r="Q843" s="137"/>
      <c r="R843" s="137"/>
      <c r="S843" s="137"/>
      <c r="T843" s="137"/>
      <c r="U843" s="137"/>
      <c r="V843" s="137"/>
      <c r="W843" s="137"/>
      <c r="X843" s="137"/>
      <c r="Y843" s="137"/>
      <c r="Z843" s="137"/>
    </row>
    <row r="844" ht="13.2" spans="1:26">
      <c r="A844" s="151"/>
      <c r="B844" s="149"/>
      <c r="C844" s="149"/>
      <c r="D844" s="149"/>
      <c r="E844" s="149"/>
      <c r="F844" s="149"/>
      <c r="G844" s="149"/>
      <c r="H844" s="150"/>
      <c r="I844" s="150"/>
      <c r="J844" s="137"/>
      <c r="K844" s="137"/>
      <c r="L844" s="137"/>
      <c r="M844" s="137"/>
      <c r="N844" s="137"/>
      <c r="O844" s="137"/>
      <c r="P844" s="137"/>
      <c r="Q844" s="137"/>
      <c r="R844" s="137"/>
      <c r="S844" s="137"/>
      <c r="T844" s="137"/>
      <c r="U844" s="137"/>
      <c r="V844" s="137"/>
      <c r="W844" s="137"/>
      <c r="X844" s="137"/>
      <c r="Y844" s="137"/>
      <c r="Z844" s="137"/>
    </row>
    <row r="845" ht="13.2" spans="1:26">
      <c r="A845" s="151"/>
      <c r="B845" s="149"/>
      <c r="C845" s="149"/>
      <c r="D845" s="149"/>
      <c r="E845" s="149"/>
      <c r="F845" s="149"/>
      <c r="G845" s="149"/>
      <c r="H845" s="150"/>
      <c r="I845" s="150"/>
      <c r="J845" s="137"/>
      <c r="K845" s="137"/>
      <c r="L845" s="137"/>
      <c r="M845" s="137"/>
      <c r="N845" s="137"/>
      <c r="O845" s="137"/>
      <c r="P845" s="137"/>
      <c r="Q845" s="137"/>
      <c r="R845" s="137"/>
      <c r="S845" s="137"/>
      <c r="T845" s="137"/>
      <c r="U845" s="137"/>
      <c r="V845" s="137"/>
      <c r="W845" s="137"/>
      <c r="X845" s="137"/>
      <c r="Y845" s="137"/>
      <c r="Z845" s="137"/>
    </row>
    <row r="846" ht="13.2" spans="1:26">
      <c r="A846" s="151"/>
      <c r="B846" s="149"/>
      <c r="C846" s="149"/>
      <c r="D846" s="149"/>
      <c r="E846" s="149"/>
      <c r="F846" s="149"/>
      <c r="G846" s="149"/>
      <c r="H846" s="150"/>
      <c r="I846" s="150"/>
      <c r="J846" s="137"/>
      <c r="K846" s="137"/>
      <c r="L846" s="137"/>
      <c r="M846" s="137"/>
      <c r="N846" s="137"/>
      <c r="O846" s="137"/>
      <c r="P846" s="137"/>
      <c r="Q846" s="137"/>
      <c r="R846" s="137"/>
      <c r="S846" s="137"/>
      <c r="T846" s="137"/>
      <c r="U846" s="137"/>
      <c r="V846" s="137"/>
      <c r="W846" s="137"/>
      <c r="X846" s="137"/>
      <c r="Y846" s="137"/>
      <c r="Z846" s="137"/>
    </row>
    <row r="847" ht="13.2" spans="1:26">
      <c r="A847" s="151"/>
      <c r="B847" s="149"/>
      <c r="C847" s="149"/>
      <c r="D847" s="149"/>
      <c r="E847" s="149"/>
      <c r="F847" s="149"/>
      <c r="G847" s="149"/>
      <c r="H847" s="150"/>
      <c r="I847" s="150"/>
      <c r="J847" s="137"/>
      <c r="K847" s="137"/>
      <c r="L847" s="137"/>
      <c r="M847" s="137"/>
      <c r="N847" s="137"/>
      <c r="O847" s="137"/>
      <c r="P847" s="137"/>
      <c r="Q847" s="137"/>
      <c r="R847" s="137"/>
      <c r="S847" s="137"/>
      <c r="T847" s="137"/>
      <c r="U847" s="137"/>
      <c r="V847" s="137"/>
      <c r="W847" s="137"/>
      <c r="X847" s="137"/>
      <c r="Y847" s="137"/>
      <c r="Z847" s="137"/>
    </row>
    <row r="848" ht="13.2" spans="1:26">
      <c r="A848" s="151"/>
      <c r="B848" s="149"/>
      <c r="C848" s="149"/>
      <c r="D848" s="149"/>
      <c r="E848" s="149"/>
      <c r="F848" s="149"/>
      <c r="G848" s="149"/>
      <c r="H848" s="150"/>
      <c r="I848" s="150"/>
      <c r="J848" s="137"/>
      <c r="K848" s="137"/>
      <c r="L848" s="137"/>
      <c r="M848" s="137"/>
      <c r="N848" s="137"/>
      <c r="O848" s="137"/>
      <c r="P848" s="137"/>
      <c r="Q848" s="137"/>
      <c r="R848" s="137"/>
      <c r="S848" s="137"/>
      <c r="T848" s="137"/>
      <c r="U848" s="137"/>
      <c r="V848" s="137"/>
      <c r="W848" s="137"/>
      <c r="X848" s="137"/>
      <c r="Y848" s="137"/>
      <c r="Z848" s="137"/>
    </row>
    <row r="849" ht="13.2" spans="1:26">
      <c r="A849" s="151"/>
      <c r="B849" s="149"/>
      <c r="C849" s="149"/>
      <c r="D849" s="149"/>
      <c r="E849" s="149"/>
      <c r="F849" s="149"/>
      <c r="G849" s="149"/>
      <c r="H849" s="150"/>
      <c r="I849" s="150"/>
      <c r="J849" s="137"/>
      <c r="K849" s="137"/>
      <c r="L849" s="137"/>
      <c r="M849" s="137"/>
      <c r="N849" s="137"/>
      <c r="O849" s="137"/>
      <c r="P849" s="137"/>
      <c r="Q849" s="137"/>
      <c r="R849" s="137"/>
      <c r="S849" s="137"/>
      <c r="T849" s="137"/>
      <c r="U849" s="137"/>
      <c r="V849" s="137"/>
      <c r="W849" s="137"/>
      <c r="X849" s="137"/>
      <c r="Y849" s="137"/>
      <c r="Z849" s="137"/>
    </row>
    <row r="850" ht="13.2" spans="1:26">
      <c r="A850" s="151"/>
      <c r="B850" s="149"/>
      <c r="C850" s="149"/>
      <c r="D850" s="149"/>
      <c r="E850" s="149"/>
      <c r="F850" s="149"/>
      <c r="G850" s="149"/>
      <c r="H850" s="150"/>
      <c r="I850" s="150"/>
      <c r="J850" s="137"/>
      <c r="K850" s="137"/>
      <c r="L850" s="137"/>
      <c r="M850" s="137"/>
      <c r="N850" s="137"/>
      <c r="O850" s="137"/>
      <c r="P850" s="137"/>
      <c r="Q850" s="137"/>
      <c r="R850" s="137"/>
      <c r="S850" s="137"/>
      <c r="T850" s="137"/>
      <c r="U850" s="137"/>
      <c r="V850" s="137"/>
      <c r="W850" s="137"/>
      <c r="X850" s="137"/>
      <c r="Y850" s="137"/>
      <c r="Z850" s="137"/>
    </row>
    <row r="851" ht="13.2" spans="1:26">
      <c r="A851" s="151"/>
      <c r="B851" s="149"/>
      <c r="C851" s="149"/>
      <c r="D851" s="149"/>
      <c r="E851" s="149"/>
      <c r="F851" s="149"/>
      <c r="G851" s="149"/>
      <c r="H851" s="150"/>
      <c r="I851" s="150"/>
      <c r="J851" s="137"/>
      <c r="K851" s="137"/>
      <c r="L851" s="137"/>
      <c r="M851" s="137"/>
      <c r="N851" s="137"/>
      <c r="O851" s="137"/>
      <c r="P851" s="137"/>
      <c r="Q851" s="137"/>
      <c r="R851" s="137"/>
      <c r="S851" s="137"/>
      <c r="T851" s="137"/>
      <c r="U851" s="137"/>
      <c r="V851" s="137"/>
      <c r="W851" s="137"/>
      <c r="X851" s="137"/>
      <c r="Y851" s="137"/>
      <c r="Z851" s="137"/>
    </row>
    <row r="852" ht="13.2" spans="1:26">
      <c r="A852" s="151"/>
      <c r="B852" s="149"/>
      <c r="C852" s="149"/>
      <c r="D852" s="149"/>
      <c r="E852" s="149"/>
      <c r="F852" s="149"/>
      <c r="G852" s="149"/>
      <c r="H852" s="150"/>
      <c r="I852" s="150"/>
      <c r="J852" s="137"/>
      <c r="K852" s="137"/>
      <c r="L852" s="137"/>
      <c r="M852" s="137"/>
      <c r="N852" s="137"/>
      <c r="O852" s="137"/>
      <c r="P852" s="137"/>
      <c r="Q852" s="137"/>
      <c r="R852" s="137"/>
      <c r="S852" s="137"/>
      <c r="T852" s="137"/>
      <c r="U852" s="137"/>
      <c r="V852" s="137"/>
      <c r="W852" s="137"/>
      <c r="X852" s="137"/>
      <c r="Y852" s="137"/>
      <c r="Z852" s="137"/>
    </row>
    <row r="853" ht="13.2" spans="1:26">
      <c r="A853" s="151"/>
      <c r="B853" s="149"/>
      <c r="C853" s="149"/>
      <c r="D853" s="149"/>
      <c r="E853" s="149"/>
      <c r="F853" s="149"/>
      <c r="G853" s="149"/>
      <c r="H853" s="150"/>
      <c r="I853" s="150"/>
      <c r="J853" s="137"/>
      <c r="K853" s="137"/>
      <c r="L853" s="137"/>
      <c r="M853" s="137"/>
      <c r="N853" s="137"/>
      <c r="O853" s="137"/>
      <c r="P853" s="137"/>
      <c r="Q853" s="137"/>
      <c r="R853" s="137"/>
      <c r="S853" s="137"/>
      <c r="T853" s="137"/>
      <c r="U853" s="137"/>
      <c r="V853" s="137"/>
      <c r="W853" s="137"/>
      <c r="X853" s="137"/>
      <c r="Y853" s="137"/>
      <c r="Z853" s="137"/>
    </row>
    <row r="854" ht="13.2" spans="1:26">
      <c r="A854" s="151"/>
      <c r="B854" s="149"/>
      <c r="C854" s="149"/>
      <c r="D854" s="149"/>
      <c r="E854" s="149"/>
      <c r="F854" s="149"/>
      <c r="G854" s="149"/>
      <c r="H854" s="150"/>
      <c r="I854" s="150"/>
      <c r="J854" s="137"/>
      <c r="K854" s="137"/>
      <c r="L854" s="137"/>
      <c r="M854" s="137"/>
      <c r="N854" s="137"/>
      <c r="O854" s="137"/>
      <c r="P854" s="137"/>
      <c r="Q854" s="137"/>
      <c r="R854" s="137"/>
      <c r="S854" s="137"/>
      <c r="T854" s="137"/>
      <c r="U854" s="137"/>
      <c r="V854" s="137"/>
      <c r="W854" s="137"/>
      <c r="X854" s="137"/>
      <c r="Y854" s="137"/>
      <c r="Z854" s="137"/>
    </row>
    <row r="855" ht="13.2" spans="1:26">
      <c r="A855" s="151"/>
      <c r="B855" s="149"/>
      <c r="C855" s="149"/>
      <c r="D855" s="149"/>
      <c r="E855" s="149"/>
      <c r="F855" s="149"/>
      <c r="G855" s="149"/>
      <c r="H855" s="150"/>
      <c r="I855" s="150"/>
      <c r="J855" s="137"/>
      <c r="K855" s="137"/>
      <c r="L855" s="137"/>
      <c r="M855" s="137"/>
      <c r="N855" s="137"/>
      <c r="O855" s="137"/>
      <c r="P855" s="137"/>
      <c r="Q855" s="137"/>
      <c r="R855" s="137"/>
      <c r="S855" s="137"/>
      <c r="T855" s="137"/>
      <c r="U855" s="137"/>
      <c r="V855" s="137"/>
      <c r="W855" s="137"/>
      <c r="X855" s="137"/>
      <c r="Y855" s="137"/>
      <c r="Z855" s="137"/>
    </row>
    <row r="856" ht="13.2" spans="1:26">
      <c r="A856" s="151"/>
      <c r="B856" s="149"/>
      <c r="C856" s="149"/>
      <c r="D856" s="149"/>
      <c r="E856" s="149"/>
      <c r="F856" s="149"/>
      <c r="G856" s="149"/>
      <c r="H856" s="150"/>
      <c r="I856" s="150"/>
      <c r="J856" s="137"/>
      <c r="K856" s="137"/>
      <c r="L856" s="137"/>
      <c r="M856" s="137"/>
      <c r="N856" s="137"/>
      <c r="O856" s="137"/>
      <c r="P856" s="137"/>
      <c r="Q856" s="137"/>
      <c r="R856" s="137"/>
      <c r="S856" s="137"/>
      <c r="T856" s="137"/>
      <c r="U856" s="137"/>
      <c r="V856" s="137"/>
      <c r="W856" s="137"/>
      <c r="X856" s="137"/>
      <c r="Y856" s="137"/>
      <c r="Z856" s="137"/>
    </row>
    <row r="857" ht="13.2" spans="1:26">
      <c r="A857" s="151"/>
      <c r="B857" s="149"/>
      <c r="C857" s="149"/>
      <c r="D857" s="149"/>
      <c r="E857" s="149"/>
      <c r="F857" s="149"/>
      <c r="G857" s="149"/>
      <c r="H857" s="150"/>
      <c r="I857" s="150"/>
      <c r="J857" s="137"/>
      <c r="K857" s="137"/>
      <c r="L857" s="137"/>
      <c r="M857" s="137"/>
      <c r="N857" s="137"/>
      <c r="O857" s="137"/>
      <c r="P857" s="137"/>
      <c r="Q857" s="137"/>
      <c r="R857" s="137"/>
      <c r="S857" s="137"/>
      <c r="T857" s="137"/>
      <c r="U857" s="137"/>
      <c r="V857" s="137"/>
      <c r="W857" s="137"/>
      <c r="X857" s="137"/>
      <c r="Y857" s="137"/>
      <c r="Z857" s="137"/>
    </row>
    <row r="858" ht="13.2" spans="1:26">
      <c r="A858" s="151"/>
      <c r="B858" s="149"/>
      <c r="C858" s="149"/>
      <c r="D858" s="149"/>
      <c r="E858" s="149"/>
      <c r="F858" s="149"/>
      <c r="G858" s="149"/>
      <c r="H858" s="150"/>
      <c r="I858" s="150"/>
      <c r="J858" s="137"/>
      <c r="K858" s="137"/>
      <c r="L858" s="137"/>
      <c r="M858" s="137"/>
      <c r="N858" s="137"/>
      <c r="O858" s="137"/>
      <c r="P858" s="137"/>
      <c r="Q858" s="137"/>
      <c r="R858" s="137"/>
      <c r="S858" s="137"/>
      <c r="T858" s="137"/>
      <c r="U858" s="137"/>
      <c r="V858" s="137"/>
      <c r="W858" s="137"/>
      <c r="X858" s="137"/>
      <c r="Y858" s="137"/>
      <c r="Z858" s="137"/>
    </row>
    <row r="859" ht="13.2" spans="1:26">
      <c r="A859" s="151"/>
      <c r="B859" s="149"/>
      <c r="C859" s="149"/>
      <c r="D859" s="149"/>
      <c r="E859" s="149"/>
      <c r="F859" s="149"/>
      <c r="G859" s="149"/>
      <c r="H859" s="150"/>
      <c r="I859" s="150"/>
      <c r="J859" s="137"/>
      <c r="K859" s="137"/>
      <c r="L859" s="137"/>
      <c r="M859" s="137"/>
      <c r="N859" s="137"/>
      <c r="O859" s="137"/>
      <c r="P859" s="137"/>
      <c r="Q859" s="137"/>
      <c r="R859" s="137"/>
      <c r="S859" s="137"/>
      <c r="T859" s="137"/>
      <c r="U859" s="137"/>
      <c r="V859" s="137"/>
      <c r="W859" s="137"/>
      <c r="X859" s="137"/>
      <c r="Y859" s="137"/>
      <c r="Z859" s="137"/>
    </row>
    <row r="860" ht="13.2" spans="1:26">
      <c r="A860" s="151"/>
      <c r="B860" s="149"/>
      <c r="C860" s="149"/>
      <c r="D860" s="149"/>
      <c r="E860" s="149"/>
      <c r="F860" s="149"/>
      <c r="G860" s="149"/>
      <c r="H860" s="150"/>
      <c r="I860" s="150"/>
      <c r="J860" s="137"/>
      <c r="K860" s="137"/>
      <c r="L860" s="137"/>
      <c r="M860" s="137"/>
      <c r="N860" s="137"/>
      <c r="O860" s="137"/>
      <c r="P860" s="137"/>
      <c r="Q860" s="137"/>
      <c r="R860" s="137"/>
      <c r="S860" s="137"/>
      <c r="T860" s="137"/>
      <c r="U860" s="137"/>
      <c r="V860" s="137"/>
      <c r="W860" s="137"/>
      <c r="X860" s="137"/>
      <c r="Y860" s="137"/>
      <c r="Z860" s="137"/>
    </row>
    <row r="861" ht="13.2" spans="1:26">
      <c r="A861" s="151"/>
      <c r="B861" s="149"/>
      <c r="C861" s="149"/>
      <c r="D861" s="149"/>
      <c r="E861" s="149"/>
      <c r="F861" s="149"/>
      <c r="G861" s="149"/>
      <c r="H861" s="150"/>
      <c r="I861" s="150"/>
      <c r="J861" s="137"/>
      <c r="K861" s="137"/>
      <c r="L861" s="137"/>
      <c r="M861" s="137"/>
      <c r="N861" s="137"/>
      <c r="O861" s="137"/>
      <c r="P861" s="137"/>
      <c r="Q861" s="137"/>
      <c r="R861" s="137"/>
      <c r="S861" s="137"/>
      <c r="T861" s="137"/>
      <c r="U861" s="137"/>
      <c r="V861" s="137"/>
      <c r="W861" s="137"/>
      <c r="X861" s="137"/>
      <c r="Y861" s="137"/>
      <c r="Z861" s="137"/>
    </row>
    <row r="862" ht="13.2" spans="1:26">
      <c r="A862" s="151"/>
      <c r="B862" s="149"/>
      <c r="C862" s="149"/>
      <c r="D862" s="149"/>
      <c r="E862" s="149"/>
      <c r="F862" s="149"/>
      <c r="G862" s="149"/>
      <c r="H862" s="150"/>
      <c r="I862" s="150"/>
      <c r="J862" s="137"/>
      <c r="K862" s="137"/>
      <c r="L862" s="137"/>
      <c r="M862" s="137"/>
      <c r="N862" s="137"/>
      <c r="O862" s="137"/>
      <c r="P862" s="137"/>
      <c r="Q862" s="137"/>
      <c r="R862" s="137"/>
      <c r="S862" s="137"/>
      <c r="T862" s="137"/>
      <c r="U862" s="137"/>
      <c r="V862" s="137"/>
      <c r="W862" s="137"/>
      <c r="X862" s="137"/>
      <c r="Y862" s="137"/>
      <c r="Z862" s="137"/>
    </row>
    <row r="863" ht="13.2" spans="1:26">
      <c r="A863" s="151"/>
      <c r="B863" s="149"/>
      <c r="C863" s="149"/>
      <c r="D863" s="149"/>
      <c r="E863" s="149"/>
      <c r="F863" s="149"/>
      <c r="G863" s="149"/>
      <c r="H863" s="150"/>
      <c r="I863" s="150"/>
      <c r="J863" s="137"/>
      <c r="K863" s="137"/>
      <c r="L863" s="137"/>
      <c r="M863" s="137"/>
      <c r="N863" s="137"/>
      <c r="O863" s="137"/>
      <c r="P863" s="137"/>
      <c r="Q863" s="137"/>
      <c r="R863" s="137"/>
      <c r="S863" s="137"/>
      <c r="T863" s="137"/>
      <c r="U863" s="137"/>
      <c r="V863" s="137"/>
      <c r="W863" s="137"/>
      <c r="X863" s="137"/>
      <c r="Y863" s="137"/>
      <c r="Z863" s="137"/>
    </row>
    <row r="864" ht="13.2" spans="1:26">
      <c r="A864" s="151"/>
      <c r="B864" s="149"/>
      <c r="C864" s="149"/>
      <c r="D864" s="149"/>
      <c r="E864" s="149"/>
      <c r="F864" s="149"/>
      <c r="G864" s="149"/>
      <c r="H864" s="150"/>
      <c r="I864" s="150"/>
      <c r="J864" s="137"/>
      <c r="K864" s="137"/>
      <c r="L864" s="137"/>
      <c r="M864" s="137"/>
      <c r="N864" s="137"/>
      <c r="O864" s="137"/>
      <c r="P864" s="137"/>
      <c r="Q864" s="137"/>
      <c r="R864" s="137"/>
      <c r="S864" s="137"/>
      <c r="T864" s="137"/>
      <c r="U864" s="137"/>
      <c r="V864" s="137"/>
      <c r="W864" s="137"/>
      <c r="X864" s="137"/>
      <c r="Y864" s="137"/>
      <c r="Z864" s="137"/>
    </row>
    <row r="865" ht="13.2" spans="1:26">
      <c r="A865" s="151"/>
      <c r="B865" s="149"/>
      <c r="C865" s="149"/>
      <c r="D865" s="149"/>
      <c r="E865" s="149"/>
      <c r="F865" s="149"/>
      <c r="G865" s="149"/>
      <c r="H865" s="150"/>
      <c r="I865" s="150"/>
      <c r="J865" s="137"/>
      <c r="K865" s="137"/>
      <c r="L865" s="137"/>
      <c r="M865" s="137"/>
      <c r="N865" s="137"/>
      <c r="O865" s="137"/>
      <c r="P865" s="137"/>
      <c r="Q865" s="137"/>
      <c r="R865" s="137"/>
      <c r="S865" s="137"/>
      <c r="T865" s="137"/>
      <c r="U865" s="137"/>
      <c r="V865" s="137"/>
      <c r="W865" s="137"/>
      <c r="X865" s="137"/>
      <c r="Y865" s="137"/>
      <c r="Z865" s="137"/>
    </row>
    <row r="866" ht="13.2" spans="1:26">
      <c r="A866" s="151"/>
      <c r="B866" s="149"/>
      <c r="C866" s="149"/>
      <c r="D866" s="149"/>
      <c r="E866" s="149"/>
      <c r="F866" s="149"/>
      <c r="G866" s="149"/>
      <c r="H866" s="150"/>
      <c r="I866" s="150"/>
      <c r="J866" s="137"/>
      <c r="K866" s="137"/>
      <c r="L866" s="137"/>
      <c r="M866" s="137"/>
      <c r="N866" s="137"/>
      <c r="O866" s="137"/>
      <c r="P866" s="137"/>
      <c r="Q866" s="137"/>
      <c r="R866" s="137"/>
      <c r="S866" s="137"/>
      <c r="T866" s="137"/>
      <c r="U866" s="137"/>
      <c r="V866" s="137"/>
      <c r="W866" s="137"/>
      <c r="X866" s="137"/>
      <c r="Y866" s="137"/>
      <c r="Z866" s="137"/>
    </row>
    <row r="867" ht="13.2" spans="1:26">
      <c r="A867" s="151"/>
      <c r="B867" s="149"/>
      <c r="C867" s="149"/>
      <c r="D867" s="149"/>
      <c r="E867" s="149"/>
      <c r="F867" s="149"/>
      <c r="G867" s="149"/>
      <c r="H867" s="150"/>
      <c r="I867" s="150"/>
      <c r="J867" s="137"/>
      <c r="K867" s="137"/>
      <c r="L867" s="137"/>
      <c r="M867" s="137"/>
      <c r="N867" s="137"/>
      <c r="O867" s="137"/>
      <c r="P867" s="137"/>
      <c r="Q867" s="137"/>
      <c r="R867" s="137"/>
      <c r="S867" s="137"/>
      <c r="T867" s="137"/>
      <c r="U867" s="137"/>
      <c r="V867" s="137"/>
      <c r="W867" s="137"/>
      <c r="X867" s="137"/>
      <c r="Y867" s="137"/>
      <c r="Z867" s="137"/>
    </row>
    <row r="868" ht="13.2" spans="1:26">
      <c r="A868" s="151"/>
      <c r="B868" s="149"/>
      <c r="C868" s="149"/>
      <c r="D868" s="149"/>
      <c r="E868" s="149"/>
      <c r="F868" s="149"/>
      <c r="G868" s="149"/>
      <c r="H868" s="150"/>
      <c r="I868" s="150"/>
      <c r="J868" s="137"/>
      <c r="K868" s="137"/>
      <c r="L868" s="137"/>
      <c r="M868" s="137"/>
      <c r="N868" s="137"/>
      <c r="O868" s="137"/>
      <c r="P868" s="137"/>
      <c r="Q868" s="137"/>
      <c r="R868" s="137"/>
      <c r="S868" s="137"/>
      <c r="T868" s="137"/>
      <c r="U868" s="137"/>
      <c r="V868" s="137"/>
      <c r="W868" s="137"/>
      <c r="X868" s="137"/>
      <c r="Y868" s="137"/>
      <c r="Z868" s="137"/>
    </row>
    <row r="869" ht="13.2" spans="1:26">
      <c r="A869" s="151"/>
      <c r="B869" s="149"/>
      <c r="C869" s="149"/>
      <c r="D869" s="149"/>
      <c r="E869" s="149"/>
      <c r="F869" s="149"/>
      <c r="G869" s="149"/>
      <c r="H869" s="150"/>
      <c r="I869" s="150"/>
      <c r="J869" s="137"/>
      <c r="K869" s="137"/>
      <c r="L869" s="137"/>
      <c r="M869" s="137"/>
      <c r="N869" s="137"/>
      <c r="O869" s="137"/>
      <c r="P869" s="137"/>
      <c r="Q869" s="137"/>
      <c r="R869" s="137"/>
      <c r="S869" s="137"/>
      <c r="T869" s="137"/>
      <c r="U869" s="137"/>
      <c r="V869" s="137"/>
      <c r="W869" s="137"/>
      <c r="X869" s="137"/>
      <c r="Y869" s="137"/>
      <c r="Z869" s="137"/>
    </row>
    <row r="870" ht="13.2" spans="1:26">
      <c r="A870" s="151"/>
      <c r="B870" s="149"/>
      <c r="C870" s="149"/>
      <c r="D870" s="149"/>
      <c r="E870" s="149"/>
      <c r="F870" s="149"/>
      <c r="G870" s="149"/>
      <c r="H870" s="150"/>
      <c r="I870" s="150"/>
      <c r="J870" s="137"/>
      <c r="K870" s="137"/>
      <c r="L870" s="137"/>
      <c r="M870" s="137"/>
      <c r="N870" s="137"/>
      <c r="O870" s="137"/>
      <c r="P870" s="137"/>
      <c r="Q870" s="137"/>
      <c r="R870" s="137"/>
      <c r="S870" s="137"/>
      <c r="T870" s="137"/>
      <c r="U870" s="137"/>
      <c r="V870" s="137"/>
      <c r="W870" s="137"/>
      <c r="X870" s="137"/>
      <c r="Y870" s="137"/>
      <c r="Z870" s="137"/>
    </row>
    <row r="871" ht="13.2" spans="1:26">
      <c r="A871" s="151"/>
      <c r="B871" s="149"/>
      <c r="C871" s="149"/>
      <c r="D871" s="149"/>
      <c r="E871" s="149"/>
      <c r="F871" s="149"/>
      <c r="G871" s="149"/>
      <c r="H871" s="150"/>
      <c r="I871" s="150"/>
      <c r="J871" s="137"/>
      <c r="K871" s="137"/>
      <c r="L871" s="137"/>
      <c r="M871" s="137"/>
      <c r="N871" s="137"/>
      <c r="O871" s="137"/>
      <c r="P871" s="137"/>
      <c r="Q871" s="137"/>
      <c r="R871" s="137"/>
      <c r="S871" s="137"/>
      <c r="T871" s="137"/>
      <c r="U871" s="137"/>
      <c r="V871" s="137"/>
      <c r="W871" s="137"/>
      <c r="X871" s="137"/>
      <c r="Y871" s="137"/>
      <c r="Z871" s="137"/>
    </row>
    <row r="872" ht="13.2" spans="1:26">
      <c r="A872" s="151"/>
      <c r="B872" s="149"/>
      <c r="C872" s="149"/>
      <c r="D872" s="149"/>
      <c r="E872" s="149"/>
      <c r="F872" s="149"/>
      <c r="G872" s="149"/>
      <c r="H872" s="150"/>
      <c r="I872" s="150"/>
      <c r="J872" s="137"/>
      <c r="K872" s="137"/>
      <c r="L872" s="137"/>
      <c r="M872" s="137"/>
      <c r="N872" s="137"/>
      <c r="O872" s="137"/>
      <c r="P872" s="137"/>
      <c r="Q872" s="137"/>
      <c r="R872" s="137"/>
      <c r="S872" s="137"/>
      <c r="T872" s="137"/>
      <c r="U872" s="137"/>
      <c r="V872" s="137"/>
      <c r="W872" s="137"/>
      <c r="X872" s="137"/>
      <c r="Y872" s="137"/>
      <c r="Z872" s="137"/>
    </row>
    <row r="873" ht="13.2" spans="1:26">
      <c r="A873" s="151"/>
      <c r="B873" s="149"/>
      <c r="C873" s="149"/>
      <c r="D873" s="149"/>
      <c r="E873" s="149"/>
      <c r="F873" s="149"/>
      <c r="G873" s="149"/>
      <c r="H873" s="150"/>
      <c r="I873" s="150"/>
      <c r="J873" s="137"/>
      <c r="K873" s="137"/>
      <c r="L873" s="137"/>
      <c r="M873" s="137"/>
      <c r="N873" s="137"/>
      <c r="O873" s="137"/>
      <c r="P873" s="137"/>
      <c r="Q873" s="137"/>
      <c r="R873" s="137"/>
      <c r="S873" s="137"/>
      <c r="T873" s="137"/>
      <c r="U873" s="137"/>
      <c r="V873" s="137"/>
      <c r="W873" s="137"/>
      <c r="X873" s="137"/>
      <c r="Y873" s="137"/>
      <c r="Z873" s="137"/>
    </row>
    <row r="874" ht="13.2" spans="1:26">
      <c r="A874" s="151"/>
      <c r="B874" s="149"/>
      <c r="C874" s="149"/>
      <c r="D874" s="149"/>
      <c r="E874" s="149"/>
      <c r="F874" s="149"/>
      <c r="G874" s="149"/>
      <c r="H874" s="150"/>
      <c r="I874" s="150"/>
      <c r="J874" s="137"/>
      <c r="K874" s="137"/>
      <c r="L874" s="137"/>
      <c r="M874" s="137"/>
      <c r="N874" s="137"/>
      <c r="O874" s="137"/>
      <c r="P874" s="137"/>
      <c r="Q874" s="137"/>
      <c r="R874" s="137"/>
      <c r="S874" s="137"/>
      <c r="T874" s="137"/>
      <c r="U874" s="137"/>
      <c r="V874" s="137"/>
      <c r="W874" s="137"/>
      <c r="X874" s="137"/>
      <c r="Y874" s="137"/>
      <c r="Z874" s="137"/>
    </row>
    <row r="875" ht="13.2" spans="1:26">
      <c r="A875" s="151"/>
      <c r="B875" s="149"/>
      <c r="C875" s="149"/>
      <c r="D875" s="149"/>
      <c r="E875" s="149"/>
      <c r="F875" s="149"/>
      <c r="G875" s="149"/>
      <c r="H875" s="150"/>
      <c r="I875" s="150"/>
      <c r="J875" s="137"/>
      <c r="K875" s="137"/>
      <c r="L875" s="137"/>
      <c r="M875" s="137"/>
      <c r="N875" s="137"/>
      <c r="O875" s="137"/>
      <c r="P875" s="137"/>
      <c r="Q875" s="137"/>
      <c r="R875" s="137"/>
      <c r="S875" s="137"/>
      <c r="T875" s="137"/>
      <c r="U875" s="137"/>
      <c r="V875" s="137"/>
      <c r="W875" s="137"/>
      <c r="X875" s="137"/>
      <c r="Y875" s="137"/>
      <c r="Z875" s="137"/>
    </row>
    <row r="876" ht="13.2" spans="1:26">
      <c r="A876" s="151"/>
      <c r="B876" s="149"/>
      <c r="C876" s="149"/>
      <c r="D876" s="149"/>
      <c r="E876" s="149"/>
      <c r="F876" s="149"/>
      <c r="G876" s="149"/>
      <c r="H876" s="150"/>
      <c r="I876" s="150"/>
      <c r="J876" s="137"/>
      <c r="K876" s="137"/>
      <c r="L876" s="137"/>
      <c r="M876" s="137"/>
      <c r="N876" s="137"/>
      <c r="O876" s="137"/>
      <c r="P876" s="137"/>
      <c r="Q876" s="137"/>
      <c r="R876" s="137"/>
      <c r="S876" s="137"/>
      <c r="T876" s="137"/>
      <c r="U876" s="137"/>
      <c r="V876" s="137"/>
      <c r="W876" s="137"/>
      <c r="X876" s="137"/>
      <c r="Y876" s="137"/>
      <c r="Z876" s="137"/>
    </row>
    <row r="877" ht="13.2" spans="1:26">
      <c r="A877" s="151"/>
      <c r="B877" s="149"/>
      <c r="C877" s="149"/>
      <c r="D877" s="149"/>
      <c r="E877" s="149"/>
      <c r="F877" s="149"/>
      <c r="G877" s="149"/>
      <c r="H877" s="150"/>
      <c r="I877" s="150"/>
      <c r="J877" s="137"/>
      <c r="K877" s="137"/>
      <c r="L877" s="137"/>
      <c r="M877" s="137"/>
      <c r="N877" s="137"/>
      <c r="O877" s="137"/>
      <c r="P877" s="137"/>
      <c r="Q877" s="137"/>
      <c r="R877" s="137"/>
      <c r="S877" s="137"/>
      <c r="T877" s="137"/>
      <c r="U877" s="137"/>
      <c r="V877" s="137"/>
      <c r="W877" s="137"/>
      <c r="X877" s="137"/>
      <c r="Y877" s="137"/>
      <c r="Z877" s="137"/>
    </row>
    <row r="878" ht="13.2" spans="1:26">
      <c r="A878" s="151"/>
      <c r="B878" s="149"/>
      <c r="C878" s="149"/>
      <c r="D878" s="149"/>
      <c r="E878" s="149"/>
      <c r="F878" s="149"/>
      <c r="G878" s="149"/>
      <c r="H878" s="150"/>
      <c r="I878" s="150"/>
      <c r="J878" s="137"/>
      <c r="K878" s="137"/>
      <c r="L878" s="137"/>
      <c r="M878" s="137"/>
      <c r="N878" s="137"/>
      <c r="O878" s="137"/>
      <c r="P878" s="137"/>
      <c r="Q878" s="137"/>
      <c r="R878" s="137"/>
      <c r="S878" s="137"/>
      <c r="T878" s="137"/>
      <c r="U878" s="137"/>
      <c r="V878" s="137"/>
      <c r="W878" s="137"/>
      <c r="X878" s="137"/>
      <c r="Y878" s="137"/>
      <c r="Z878" s="137"/>
    </row>
    <row r="879" ht="13.2" spans="1:26">
      <c r="A879" s="151"/>
      <c r="B879" s="149"/>
      <c r="C879" s="149"/>
      <c r="D879" s="149"/>
      <c r="E879" s="149"/>
      <c r="F879" s="149"/>
      <c r="G879" s="149"/>
      <c r="H879" s="150"/>
      <c r="I879" s="150"/>
      <c r="J879" s="137"/>
      <c r="K879" s="137"/>
      <c r="L879" s="137"/>
      <c r="M879" s="137"/>
      <c r="N879" s="137"/>
      <c r="O879" s="137"/>
      <c r="P879" s="137"/>
      <c r="Q879" s="137"/>
      <c r="R879" s="137"/>
      <c r="S879" s="137"/>
      <c r="T879" s="137"/>
      <c r="U879" s="137"/>
      <c r="V879" s="137"/>
      <c r="W879" s="137"/>
      <c r="X879" s="137"/>
      <c r="Y879" s="137"/>
      <c r="Z879" s="137"/>
    </row>
    <row r="880" ht="13.2" spans="1:26">
      <c r="A880" s="151"/>
      <c r="B880" s="149"/>
      <c r="C880" s="149"/>
      <c r="D880" s="149"/>
      <c r="E880" s="149"/>
      <c r="F880" s="149"/>
      <c r="G880" s="149"/>
      <c r="H880" s="150"/>
      <c r="I880" s="150"/>
      <c r="J880" s="137"/>
      <c r="K880" s="137"/>
      <c r="L880" s="137"/>
      <c r="M880" s="137"/>
      <c r="N880" s="137"/>
      <c r="O880" s="137"/>
      <c r="P880" s="137"/>
      <c r="Q880" s="137"/>
      <c r="R880" s="137"/>
      <c r="S880" s="137"/>
      <c r="T880" s="137"/>
      <c r="U880" s="137"/>
      <c r="V880" s="137"/>
      <c r="W880" s="137"/>
      <c r="X880" s="137"/>
      <c r="Y880" s="137"/>
      <c r="Z880" s="137"/>
    </row>
    <row r="881" ht="13.2" spans="1:26">
      <c r="A881" s="151"/>
      <c r="B881" s="149"/>
      <c r="C881" s="149"/>
      <c r="D881" s="149"/>
      <c r="E881" s="149"/>
      <c r="F881" s="149"/>
      <c r="G881" s="149"/>
      <c r="H881" s="150"/>
      <c r="I881" s="150"/>
      <c r="J881" s="137"/>
      <c r="K881" s="137"/>
      <c r="L881" s="137"/>
      <c r="M881" s="137"/>
      <c r="N881" s="137"/>
      <c r="O881" s="137"/>
      <c r="P881" s="137"/>
      <c r="Q881" s="137"/>
      <c r="R881" s="137"/>
      <c r="S881" s="137"/>
      <c r="T881" s="137"/>
      <c r="U881" s="137"/>
      <c r="V881" s="137"/>
      <c r="W881" s="137"/>
      <c r="X881" s="137"/>
      <c r="Y881" s="137"/>
      <c r="Z881" s="137"/>
    </row>
    <row r="882" ht="13.2" spans="1:26">
      <c r="A882" s="151"/>
      <c r="B882" s="149"/>
      <c r="C882" s="149"/>
      <c r="D882" s="149"/>
      <c r="E882" s="149"/>
      <c r="F882" s="149"/>
      <c r="G882" s="149"/>
      <c r="H882" s="150"/>
      <c r="I882" s="150"/>
      <c r="J882" s="137"/>
      <c r="K882" s="137"/>
      <c r="L882" s="137"/>
      <c r="M882" s="137"/>
      <c r="N882" s="137"/>
      <c r="O882" s="137"/>
      <c r="P882" s="137"/>
      <c r="Q882" s="137"/>
      <c r="R882" s="137"/>
      <c r="S882" s="137"/>
      <c r="T882" s="137"/>
      <c r="U882" s="137"/>
      <c r="V882" s="137"/>
      <c r="W882" s="137"/>
      <c r="X882" s="137"/>
      <c r="Y882" s="137"/>
      <c r="Z882" s="137"/>
    </row>
    <row r="883" ht="13.2" spans="1:26">
      <c r="A883" s="151"/>
      <c r="B883" s="149"/>
      <c r="C883" s="149"/>
      <c r="D883" s="149"/>
      <c r="E883" s="149"/>
      <c r="F883" s="149"/>
      <c r="G883" s="149"/>
      <c r="H883" s="150"/>
      <c r="I883" s="150"/>
      <c r="J883" s="137"/>
      <c r="K883" s="137"/>
      <c r="L883" s="137"/>
      <c r="M883" s="137"/>
      <c r="N883" s="137"/>
      <c r="O883" s="137"/>
      <c r="P883" s="137"/>
      <c r="Q883" s="137"/>
      <c r="R883" s="137"/>
      <c r="S883" s="137"/>
      <c r="T883" s="137"/>
      <c r="U883" s="137"/>
      <c r="V883" s="137"/>
      <c r="W883" s="137"/>
      <c r="X883" s="137"/>
      <c r="Y883" s="137"/>
      <c r="Z883" s="137"/>
    </row>
    <row r="884" ht="13.2" spans="1:26">
      <c r="A884" s="151"/>
      <c r="B884" s="149"/>
      <c r="C884" s="149"/>
      <c r="D884" s="149"/>
      <c r="E884" s="149"/>
      <c r="F884" s="149"/>
      <c r="G884" s="149"/>
      <c r="H884" s="150"/>
      <c r="I884" s="150"/>
      <c r="J884" s="137"/>
      <c r="K884" s="137"/>
      <c r="L884" s="137"/>
      <c r="M884" s="137"/>
      <c r="N884" s="137"/>
      <c r="O884" s="137"/>
      <c r="P884" s="137"/>
      <c r="Q884" s="137"/>
      <c r="R884" s="137"/>
      <c r="S884" s="137"/>
      <c r="T884" s="137"/>
      <c r="U884" s="137"/>
      <c r="V884" s="137"/>
      <c r="W884" s="137"/>
      <c r="X884" s="137"/>
      <c r="Y884" s="137"/>
      <c r="Z884" s="137"/>
    </row>
    <row r="885" ht="13.2" spans="1:26">
      <c r="A885" s="151"/>
      <c r="B885" s="149"/>
      <c r="C885" s="149"/>
      <c r="D885" s="149"/>
      <c r="E885" s="149"/>
      <c r="F885" s="149"/>
      <c r="G885" s="149"/>
      <c r="H885" s="150"/>
      <c r="I885" s="150"/>
      <c r="J885" s="137"/>
      <c r="K885" s="137"/>
      <c r="L885" s="137"/>
      <c r="M885" s="137"/>
      <c r="N885" s="137"/>
      <c r="O885" s="137"/>
      <c r="P885" s="137"/>
      <c r="Q885" s="137"/>
      <c r="R885" s="137"/>
      <c r="S885" s="137"/>
      <c r="T885" s="137"/>
      <c r="U885" s="137"/>
      <c r="V885" s="137"/>
      <c r="W885" s="137"/>
      <c r="X885" s="137"/>
      <c r="Y885" s="137"/>
      <c r="Z885" s="137"/>
    </row>
    <row r="886" ht="13.2" spans="1:26">
      <c r="A886" s="151"/>
      <c r="B886" s="149"/>
      <c r="C886" s="149"/>
      <c r="D886" s="149"/>
      <c r="E886" s="149"/>
      <c r="F886" s="149"/>
      <c r="G886" s="149"/>
      <c r="H886" s="150"/>
      <c r="I886" s="150"/>
      <c r="J886" s="137"/>
      <c r="K886" s="137"/>
      <c r="L886" s="137"/>
      <c r="M886" s="137"/>
      <c r="N886" s="137"/>
      <c r="O886" s="137"/>
      <c r="P886" s="137"/>
      <c r="Q886" s="137"/>
      <c r="R886" s="137"/>
      <c r="S886" s="137"/>
      <c r="T886" s="137"/>
      <c r="U886" s="137"/>
      <c r="V886" s="137"/>
      <c r="W886" s="137"/>
      <c r="X886" s="137"/>
      <c r="Y886" s="137"/>
      <c r="Z886" s="137"/>
    </row>
    <row r="887" ht="13.2" spans="1:26">
      <c r="A887" s="151"/>
      <c r="B887" s="149"/>
      <c r="C887" s="149"/>
      <c r="D887" s="149"/>
      <c r="E887" s="149"/>
      <c r="F887" s="149"/>
      <c r="G887" s="149"/>
      <c r="H887" s="150"/>
      <c r="I887" s="150"/>
      <c r="J887" s="137"/>
      <c r="K887" s="137"/>
      <c r="L887" s="137"/>
      <c r="M887" s="137"/>
      <c r="N887" s="137"/>
      <c r="O887" s="137"/>
      <c r="P887" s="137"/>
      <c r="Q887" s="137"/>
      <c r="R887" s="137"/>
      <c r="S887" s="137"/>
      <c r="T887" s="137"/>
      <c r="U887" s="137"/>
      <c r="V887" s="137"/>
      <c r="W887" s="137"/>
      <c r="X887" s="137"/>
      <c r="Y887" s="137"/>
      <c r="Z887" s="137"/>
    </row>
    <row r="888" ht="13.2" spans="1:26">
      <c r="A888" s="151"/>
      <c r="B888" s="149"/>
      <c r="C888" s="149"/>
      <c r="D888" s="149"/>
      <c r="E888" s="149"/>
      <c r="F888" s="149"/>
      <c r="G888" s="149"/>
      <c r="H888" s="150"/>
      <c r="I888" s="150"/>
      <c r="J888" s="137"/>
      <c r="K888" s="137"/>
      <c r="L888" s="137"/>
      <c r="M888" s="137"/>
      <c r="N888" s="137"/>
      <c r="O888" s="137"/>
      <c r="P888" s="137"/>
      <c r="Q888" s="137"/>
      <c r="R888" s="137"/>
      <c r="S888" s="137"/>
      <c r="T888" s="137"/>
      <c r="U888" s="137"/>
      <c r="V888" s="137"/>
      <c r="W888" s="137"/>
      <c r="X888" s="137"/>
      <c r="Y888" s="137"/>
      <c r="Z888" s="137"/>
    </row>
    <row r="889" ht="13.2" spans="1:26">
      <c r="A889" s="151"/>
      <c r="B889" s="149"/>
      <c r="C889" s="149"/>
      <c r="D889" s="149"/>
      <c r="E889" s="149"/>
      <c r="F889" s="149"/>
      <c r="G889" s="149"/>
      <c r="H889" s="150"/>
      <c r="I889" s="150"/>
      <c r="J889" s="137"/>
      <c r="K889" s="137"/>
      <c r="L889" s="137"/>
      <c r="M889" s="137"/>
      <c r="N889" s="137"/>
      <c r="O889" s="137"/>
      <c r="P889" s="137"/>
      <c r="Q889" s="137"/>
      <c r="R889" s="137"/>
      <c r="S889" s="137"/>
      <c r="T889" s="137"/>
      <c r="U889" s="137"/>
      <c r="V889" s="137"/>
      <c r="W889" s="137"/>
      <c r="X889" s="137"/>
      <c r="Y889" s="137"/>
      <c r="Z889" s="137"/>
    </row>
    <row r="890" ht="13.2" spans="1:26">
      <c r="A890" s="151"/>
      <c r="B890" s="149"/>
      <c r="C890" s="149"/>
      <c r="D890" s="149"/>
      <c r="E890" s="149"/>
      <c r="F890" s="149"/>
      <c r="G890" s="149"/>
      <c r="H890" s="150"/>
      <c r="I890" s="150"/>
      <c r="J890" s="137"/>
      <c r="K890" s="137"/>
      <c r="L890" s="137"/>
      <c r="M890" s="137"/>
      <c r="N890" s="137"/>
      <c r="O890" s="137"/>
      <c r="P890" s="137"/>
      <c r="Q890" s="137"/>
      <c r="R890" s="137"/>
      <c r="S890" s="137"/>
      <c r="T890" s="137"/>
      <c r="U890" s="137"/>
      <c r="V890" s="137"/>
      <c r="W890" s="137"/>
      <c r="X890" s="137"/>
      <c r="Y890" s="137"/>
      <c r="Z890" s="137"/>
    </row>
    <row r="891" ht="13.2" spans="1:26">
      <c r="A891" s="151"/>
      <c r="B891" s="149"/>
      <c r="C891" s="149"/>
      <c r="D891" s="149"/>
      <c r="E891" s="149"/>
      <c r="F891" s="149"/>
      <c r="G891" s="149"/>
      <c r="H891" s="150"/>
      <c r="I891" s="150"/>
      <c r="J891" s="137"/>
      <c r="K891" s="137"/>
      <c r="L891" s="137"/>
      <c r="M891" s="137"/>
      <c r="N891" s="137"/>
      <c r="O891" s="137"/>
      <c r="P891" s="137"/>
      <c r="Q891" s="137"/>
      <c r="R891" s="137"/>
      <c r="S891" s="137"/>
      <c r="T891" s="137"/>
      <c r="U891" s="137"/>
      <c r="V891" s="137"/>
      <c r="W891" s="137"/>
      <c r="X891" s="137"/>
      <c r="Y891" s="137"/>
      <c r="Z891" s="137"/>
    </row>
    <row r="892" ht="13.2" spans="1:26">
      <c r="A892" s="151"/>
      <c r="B892" s="149"/>
      <c r="C892" s="149"/>
      <c r="D892" s="149"/>
      <c r="E892" s="149"/>
      <c r="F892" s="149"/>
      <c r="G892" s="149"/>
      <c r="H892" s="150"/>
      <c r="I892" s="150"/>
      <c r="J892" s="137"/>
      <c r="K892" s="137"/>
      <c r="L892" s="137"/>
      <c r="M892" s="137"/>
      <c r="N892" s="137"/>
      <c r="O892" s="137"/>
      <c r="P892" s="137"/>
      <c r="Q892" s="137"/>
      <c r="R892" s="137"/>
      <c r="S892" s="137"/>
      <c r="T892" s="137"/>
      <c r="U892" s="137"/>
      <c r="V892" s="137"/>
      <c r="W892" s="137"/>
      <c r="X892" s="137"/>
      <c r="Y892" s="137"/>
      <c r="Z892" s="137"/>
    </row>
    <row r="893" ht="13.2" spans="1:26">
      <c r="A893" s="151"/>
      <c r="B893" s="149"/>
      <c r="C893" s="149"/>
      <c r="D893" s="149"/>
      <c r="E893" s="149"/>
      <c r="F893" s="149"/>
      <c r="G893" s="149"/>
      <c r="H893" s="150"/>
      <c r="I893" s="150"/>
      <c r="J893" s="137"/>
      <c r="K893" s="137"/>
      <c r="L893" s="137"/>
      <c r="M893" s="137"/>
      <c r="N893" s="137"/>
      <c r="O893" s="137"/>
      <c r="P893" s="137"/>
      <c r="Q893" s="137"/>
      <c r="R893" s="137"/>
      <c r="S893" s="137"/>
      <c r="T893" s="137"/>
      <c r="U893" s="137"/>
      <c r="V893" s="137"/>
      <c r="W893" s="137"/>
      <c r="X893" s="137"/>
      <c r="Y893" s="137"/>
      <c r="Z893" s="137"/>
    </row>
    <row r="894" ht="13.2" spans="1:26">
      <c r="A894" s="151"/>
      <c r="B894" s="149"/>
      <c r="C894" s="149"/>
      <c r="D894" s="149"/>
      <c r="E894" s="149"/>
      <c r="F894" s="149"/>
      <c r="G894" s="149"/>
      <c r="H894" s="150"/>
      <c r="I894" s="150"/>
      <c r="J894" s="137"/>
      <c r="K894" s="137"/>
      <c r="L894" s="137"/>
      <c r="M894" s="137"/>
      <c r="N894" s="137"/>
      <c r="O894" s="137"/>
      <c r="P894" s="137"/>
      <c r="Q894" s="137"/>
      <c r="R894" s="137"/>
      <c r="S894" s="137"/>
      <c r="T894" s="137"/>
      <c r="U894" s="137"/>
      <c r="V894" s="137"/>
      <c r="W894" s="137"/>
      <c r="X894" s="137"/>
      <c r="Y894" s="137"/>
      <c r="Z894" s="137"/>
    </row>
    <row r="895" ht="13.2" spans="1:26">
      <c r="A895" s="151"/>
      <c r="B895" s="149"/>
      <c r="C895" s="149"/>
      <c r="D895" s="149"/>
      <c r="E895" s="149"/>
      <c r="F895" s="149"/>
      <c r="G895" s="149"/>
      <c r="H895" s="150"/>
      <c r="I895" s="150"/>
      <c r="J895" s="137"/>
      <c r="K895" s="137"/>
      <c r="L895" s="137"/>
      <c r="M895" s="137"/>
      <c r="N895" s="137"/>
      <c r="O895" s="137"/>
      <c r="P895" s="137"/>
      <c r="Q895" s="137"/>
      <c r="R895" s="137"/>
      <c r="S895" s="137"/>
      <c r="T895" s="137"/>
      <c r="U895" s="137"/>
      <c r="V895" s="137"/>
      <c r="W895" s="137"/>
      <c r="X895" s="137"/>
      <c r="Y895" s="137"/>
      <c r="Z895" s="137"/>
    </row>
    <row r="896" ht="13.2" spans="1:26">
      <c r="A896" s="151"/>
      <c r="B896" s="149"/>
      <c r="C896" s="149"/>
      <c r="D896" s="149"/>
      <c r="E896" s="149"/>
      <c r="F896" s="149"/>
      <c r="G896" s="149"/>
      <c r="H896" s="150"/>
      <c r="I896" s="150"/>
      <c r="J896" s="137"/>
      <c r="K896" s="137"/>
      <c r="L896" s="137"/>
      <c r="M896" s="137"/>
      <c r="N896" s="137"/>
      <c r="O896" s="137"/>
      <c r="P896" s="137"/>
      <c r="Q896" s="137"/>
      <c r="R896" s="137"/>
      <c r="S896" s="137"/>
      <c r="T896" s="137"/>
      <c r="U896" s="137"/>
      <c r="V896" s="137"/>
      <c r="W896" s="137"/>
      <c r="X896" s="137"/>
      <c r="Y896" s="137"/>
      <c r="Z896" s="137"/>
    </row>
    <row r="897" ht="13.2" spans="1:26">
      <c r="A897" s="151"/>
      <c r="B897" s="149"/>
      <c r="C897" s="149"/>
      <c r="D897" s="149"/>
      <c r="E897" s="149"/>
      <c r="F897" s="149"/>
      <c r="G897" s="149"/>
      <c r="H897" s="150"/>
      <c r="I897" s="150"/>
      <c r="J897" s="137"/>
      <c r="K897" s="137"/>
      <c r="L897" s="137"/>
      <c r="M897" s="137"/>
      <c r="N897" s="137"/>
      <c r="O897" s="137"/>
      <c r="P897" s="137"/>
      <c r="Q897" s="137"/>
      <c r="R897" s="137"/>
      <c r="S897" s="137"/>
      <c r="T897" s="137"/>
      <c r="U897" s="137"/>
      <c r="V897" s="137"/>
      <c r="W897" s="137"/>
      <c r="X897" s="137"/>
      <c r="Y897" s="137"/>
      <c r="Z897" s="137"/>
    </row>
    <row r="898" ht="13.2" spans="1:26">
      <c r="A898" s="151"/>
      <c r="B898" s="149"/>
      <c r="C898" s="149"/>
      <c r="D898" s="149"/>
      <c r="E898" s="149"/>
      <c r="F898" s="149"/>
      <c r="G898" s="149"/>
      <c r="H898" s="150"/>
      <c r="I898" s="150"/>
      <c r="J898" s="137"/>
      <c r="K898" s="137"/>
      <c r="L898" s="137"/>
      <c r="M898" s="137"/>
      <c r="N898" s="137"/>
      <c r="O898" s="137"/>
      <c r="P898" s="137"/>
      <c r="Q898" s="137"/>
      <c r="R898" s="137"/>
      <c r="S898" s="137"/>
      <c r="T898" s="137"/>
      <c r="U898" s="137"/>
      <c r="V898" s="137"/>
      <c r="W898" s="137"/>
      <c r="X898" s="137"/>
      <c r="Y898" s="137"/>
      <c r="Z898" s="137"/>
    </row>
    <row r="899" ht="13.2" spans="1:26">
      <c r="A899" s="151"/>
      <c r="B899" s="149"/>
      <c r="C899" s="149"/>
      <c r="D899" s="149"/>
      <c r="E899" s="149"/>
      <c r="F899" s="149"/>
      <c r="G899" s="149"/>
      <c r="H899" s="150"/>
      <c r="I899" s="150"/>
      <c r="J899" s="137"/>
      <c r="K899" s="137"/>
      <c r="L899" s="137"/>
      <c r="M899" s="137"/>
      <c r="N899" s="137"/>
      <c r="O899" s="137"/>
      <c r="P899" s="137"/>
      <c r="Q899" s="137"/>
      <c r="R899" s="137"/>
      <c r="S899" s="137"/>
      <c r="T899" s="137"/>
      <c r="U899" s="137"/>
      <c r="V899" s="137"/>
      <c r="W899" s="137"/>
      <c r="X899" s="137"/>
      <c r="Y899" s="137"/>
      <c r="Z899" s="137"/>
    </row>
    <row r="900" ht="13.2" spans="1:26">
      <c r="A900" s="151"/>
      <c r="B900" s="149"/>
      <c r="C900" s="149"/>
      <c r="D900" s="149"/>
      <c r="E900" s="149"/>
      <c r="F900" s="149"/>
      <c r="G900" s="149"/>
      <c r="H900" s="150"/>
      <c r="I900" s="150"/>
      <c r="J900" s="137"/>
      <c r="K900" s="137"/>
      <c r="L900" s="137"/>
      <c r="M900" s="137"/>
      <c r="N900" s="137"/>
      <c r="O900" s="137"/>
      <c r="P900" s="137"/>
      <c r="Q900" s="137"/>
      <c r="R900" s="137"/>
      <c r="S900" s="137"/>
      <c r="T900" s="137"/>
      <c r="U900" s="137"/>
      <c r="V900" s="137"/>
      <c r="W900" s="137"/>
      <c r="X900" s="137"/>
      <c r="Y900" s="137"/>
      <c r="Z900" s="137"/>
    </row>
    <row r="901" ht="13.2" spans="1:26">
      <c r="A901" s="151"/>
      <c r="B901" s="149"/>
      <c r="C901" s="149"/>
      <c r="D901" s="149"/>
      <c r="E901" s="149"/>
      <c r="F901" s="149"/>
      <c r="G901" s="149"/>
      <c r="H901" s="150"/>
      <c r="I901" s="150"/>
      <c r="J901" s="137"/>
      <c r="K901" s="137"/>
      <c r="L901" s="137"/>
      <c r="M901" s="137"/>
      <c r="N901" s="137"/>
      <c r="O901" s="137"/>
      <c r="P901" s="137"/>
      <c r="Q901" s="137"/>
      <c r="R901" s="137"/>
      <c r="S901" s="137"/>
      <c r="T901" s="137"/>
      <c r="U901" s="137"/>
      <c r="V901" s="137"/>
      <c r="W901" s="137"/>
      <c r="X901" s="137"/>
      <c r="Y901" s="137"/>
      <c r="Z901" s="137"/>
    </row>
    <row r="902" ht="13.2" spans="1:26">
      <c r="A902" s="151"/>
      <c r="B902" s="149"/>
      <c r="C902" s="149"/>
      <c r="D902" s="149"/>
      <c r="E902" s="149"/>
      <c r="F902" s="149"/>
      <c r="G902" s="149"/>
      <c r="H902" s="150"/>
      <c r="I902" s="150"/>
      <c r="J902" s="137"/>
      <c r="K902" s="137"/>
      <c r="L902" s="137"/>
      <c r="M902" s="137"/>
      <c r="N902" s="137"/>
      <c r="O902" s="137"/>
      <c r="P902" s="137"/>
      <c r="Q902" s="137"/>
      <c r="R902" s="137"/>
      <c r="S902" s="137"/>
      <c r="T902" s="137"/>
      <c r="U902" s="137"/>
      <c r="V902" s="137"/>
      <c r="W902" s="137"/>
      <c r="X902" s="137"/>
      <c r="Y902" s="137"/>
      <c r="Z902" s="137"/>
    </row>
    <row r="903" ht="13.2" spans="1:26">
      <c r="A903" s="151"/>
      <c r="B903" s="149"/>
      <c r="C903" s="149"/>
      <c r="D903" s="149"/>
      <c r="E903" s="149"/>
      <c r="F903" s="149"/>
      <c r="G903" s="149"/>
      <c r="H903" s="150"/>
      <c r="I903" s="150"/>
      <c r="J903" s="137"/>
      <c r="K903" s="137"/>
      <c r="L903" s="137"/>
      <c r="M903" s="137"/>
      <c r="N903" s="137"/>
      <c r="O903" s="137"/>
      <c r="P903" s="137"/>
      <c r="Q903" s="137"/>
      <c r="R903" s="137"/>
      <c r="S903" s="137"/>
      <c r="T903" s="137"/>
      <c r="U903" s="137"/>
      <c r="V903" s="137"/>
      <c r="W903" s="137"/>
      <c r="X903" s="137"/>
      <c r="Y903" s="137"/>
      <c r="Z903" s="137"/>
    </row>
    <row r="904" ht="13.2" spans="1:26">
      <c r="A904" s="151"/>
      <c r="B904" s="149"/>
      <c r="C904" s="149"/>
      <c r="D904" s="149"/>
      <c r="E904" s="149"/>
      <c r="F904" s="149"/>
      <c r="G904" s="149"/>
      <c r="H904" s="150"/>
      <c r="I904" s="150"/>
      <c r="J904" s="137"/>
      <c r="K904" s="137"/>
      <c r="L904" s="137"/>
      <c r="M904" s="137"/>
      <c r="N904" s="137"/>
      <c r="O904" s="137"/>
      <c r="P904" s="137"/>
      <c r="Q904" s="137"/>
      <c r="R904" s="137"/>
      <c r="S904" s="137"/>
      <c r="T904" s="137"/>
      <c r="U904" s="137"/>
      <c r="V904" s="137"/>
      <c r="W904" s="137"/>
      <c r="X904" s="137"/>
      <c r="Y904" s="137"/>
      <c r="Z904" s="137"/>
    </row>
    <row r="905" ht="13.2" spans="1:26">
      <c r="A905" s="151"/>
      <c r="B905" s="149"/>
      <c r="C905" s="149"/>
      <c r="D905" s="149"/>
      <c r="E905" s="149"/>
      <c r="F905" s="149"/>
      <c r="G905" s="149"/>
      <c r="H905" s="150"/>
      <c r="I905" s="150"/>
      <c r="J905" s="137"/>
      <c r="K905" s="137"/>
      <c r="L905" s="137"/>
      <c r="M905" s="137"/>
      <c r="N905" s="137"/>
      <c r="O905" s="137"/>
      <c r="P905" s="137"/>
      <c r="Q905" s="137"/>
      <c r="R905" s="137"/>
      <c r="S905" s="137"/>
      <c r="T905" s="137"/>
      <c r="U905" s="137"/>
      <c r="V905" s="137"/>
      <c r="W905" s="137"/>
      <c r="X905" s="137"/>
      <c r="Y905" s="137"/>
      <c r="Z905" s="137"/>
    </row>
    <row r="906" ht="13.2" spans="1:26">
      <c r="A906" s="151"/>
      <c r="B906" s="149"/>
      <c r="C906" s="149"/>
      <c r="D906" s="149"/>
      <c r="E906" s="149"/>
      <c r="F906" s="149"/>
      <c r="G906" s="149"/>
      <c r="H906" s="150"/>
      <c r="I906" s="150"/>
      <c r="J906" s="137"/>
      <c r="K906" s="137"/>
      <c r="L906" s="137"/>
      <c r="M906" s="137"/>
      <c r="N906" s="137"/>
      <c r="O906" s="137"/>
      <c r="P906" s="137"/>
      <c r="Q906" s="137"/>
      <c r="R906" s="137"/>
      <c r="S906" s="137"/>
      <c r="T906" s="137"/>
      <c r="U906" s="137"/>
      <c r="V906" s="137"/>
      <c r="W906" s="137"/>
      <c r="X906" s="137"/>
      <c r="Y906" s="137"/>
      <c r="Z906" s="137"/>
    </row>
    <row r="907" ht="13.2" spans="1:26">
      <c r="A907" s="151"/>
      <c r="B907" s="149"/>
      <c r="C907" s="149"/>
      <c r="D907" s="149"/>
      <c r="E907" s="149"/>
      <c r="F907" s="149"/>
      <c r="G907" s="149"/>
      <c r="H907" s="150"/>
      <c r="I907" s="150"/>
      <c r="J907" s="137"/>
      <c r="K907" s="137"/>
      <c r="L907" s="137"/>
      <c r="M907" s="137"/>
      <c r="N907" s="137"/>
      <c r="O907" s="137"/>
      <c r="P907" s="137"/>
      <c r="Q907" s="137"/>
      <c r="R907" s="137"/>
      <c r="S907" s="137"/>
      <c r="T907" s="137"/>
      <c r="U907" s="137"/>
      <c r="V907" s="137"/>
      <c r="W907" s="137"/>
      <c r="X907" s="137"/>
      <c r="Y907" s="137"/>
      <c r="Z907" s="137"/>
    </row>
    <row r="908" ht="13.2" spans="1:26">
      <c r="A908" s="151"/>
      <c r="B908" s="149"/>
      <c r="C908" s="149"/>
      <c r="D908" s="149"/>
      <c r="E908" s="149"/>
      <c r="F908" s="149"/>
      <c r="G908" s="149"/>
      <c r="H908" s="150"/>
      <c r="I908" s="150"/>
      <c r="J908" s="137"/>
      <c r="K908" s="137"/>
      <c r="L908" s="137"/>
      <c r="M908" s="137"/>
      <c r="N908" s="137"/>
      <c r="O908" s="137"/>
      <c r="P908" s="137"/>
      <c r="Q908" s="137"/>
      <c r="R908" s="137"/>
      <c r="S908" s="137"/>
      <c r="T908" s="137"/>
      <c r="U908" s="137"/>
      <c r="V908" s="137"/>
      <c r="W908" s="137"/>
      <c r="X908" s="137"/>
      <c r="Y908" s="137"/>
      <c r="Z908" s="137"/>
    </row>
    <row r="909" ht="13.2" spans="1:26">
      <c r="A909" s="151"/>
      <c r="B909" s="149"/>
      <c r="C909" s="149"/>
      <c r="D909" s="149"/>
      <c r="E909" s="149"/>
      <c r="F909" s="149"/>
      <c r="G909" s="149"/>
      <c r="H909" s="150"/>
      <c r="I909" s="150"/>
      <c r="J909" s="137"/>
      <c r="K909" s="137"/>
      <c r="L909" s="137"/>
      <c r="M909" s="137"/>
      <c r="N909" s="137"/>
      <c r="O909" s="137"/>
      <c r="P909" s="137"/>
      <c r="Q909" s="137"/>
      <c r="R909" s="137"/>
      <c r="S909" s="137"/>
      <c r="T909" s="137"/>
      <c r="U909" s="137"/>
      <c r="V909" s="137"/>
      <c r="W909" s="137"/>
      <c r="X909" s="137"/>
      <c r="Y909" s="137"/>
      <c r="Z909" s="137"/>
    </row>
    <row r="910" ht="13.2" spans="1:26">
      <c r="A910" s="151"/>
      <c r="B910" s="149"/>
      <c r="C910" s="149"/>
      <c r="D910" s="149"/>
      <c r="E910" s="149"/>
      <c r="F910" s="149"/>
      <c r="G910" s="149"/>
      <c r="H910" s="150"/>
      <c r="I910" s="150"/>
      <c r="J910" s="137"/>
      <c r="K910" s="137"/>
      <c r="L910" s="137"/>
      <c r="M910" s="137"/>
      <c r="N910" s="137"/>
      <c r="O910" s="137"/>
      <c r="P910" s="137"/>
      <c r="Q910" s="137"/>
      <c r="R910" s="137"/>
      <c r="S910" s="137"/>
      <c r="T910" s="137"/>
      <c r="U910" s="137"/>
      <c r="V910" s="137"/>
      <c r="W910" s="137"/>
      <c r="X910" s="137"/>
      <c r="Y910" s="137"/>
      <c r="Z910" s="137"/>
    </row>
    <row r="911" ht="13.2" spans="1:26">
      <c r="A911" s="151"/>
      <c r="B911" s="149"/>
      <c r="C911" s="149"/>
      <c r="D911" s="149"/>
      <c r="E911" s="149"/>
      <c r="F911" s="149"/>
      <c r="G911" s="149"/>
      <c r="H911" s="150"/>
      <c r="I911" s="150"/>
      <c r="J911" s="137"/>
      <c r="K911" s="137"/>
      <c r="L911" s="137"/>
      <c r="M911" s="137"/>
      <c r="N911" s="137"/>
      <c r="O911" s="137"/>
      <c r="P911" s="137"/>
      <c r="Q911" s="137"/>
      <c r="R911" s="137"/>
      <c r="S911" s="137"/>
      <c r="T911" s="137"/>
      <c r="U911" s="137"/>
      <c r="V911" s="137"/>
      <c r="W911" s="137"/>
      <c r="X911" s="137"/>
      <c r="Y911" s="137"/>
      <c r="Z911" s="137"/>
    </row>
    <row r="912" ht="13.2" spans="1:26">
      <c r="A912" s="151"/>
      <c r="B912" s="149"/>
      <c r="C912" s="149"/>
      <c r="D912" s="149"/>
      <c r="E912" s="149"/>
      <c r="F912" s="149"/>
      <c r="G912" s="149"/>
      <c r="H912" s="150"/>
      <c r="I912" s="150"/>
      <c r="J912" s="137"/>
      <c r="K912" s="137"/>
      <c r="L912" s="137"/>
      <c r="M912" s="137"/>
      <c r="N912" s="137"/>
      <c r="O912" s="137"/>
      <c r="P912" s="137"/>
      <c r="Q912" s="137"/>
      <c r="R912" s="137"/>
      <c r="S912" s="137"/>
      <c r="T912" s="137"/>
      <c r="U912" s="137"/>
      <c r="V912" s="137"/>
      <c r="W912" s="137"/>
      <c r="X912" s="137"/>
      <c r="Y912" s="137"/>
      <c r="Z912" s="137"/>
    </row>
    <row r="913" ht="13.2" spans="1:26">
      <c r="A913" s="151"/>
      <c r="B913" s="149"/>
      <c r="C913" s="149"/>
      <c r="D913" s="149"/>
      <c r="E913" s="149"/>
      <c r="F913" s="149"/>
      <c r="G913" s="149"/>
      <c r="H913" s="150"/>
      <c r="I913" s="150"/>
      <c r="J913" s="137"/>
      <c r="K913" s="137"/>
      <c r="L913" s="137"/>
      <c r="M913" s="137"/>
      <c r="N913" s="137"/>
      <c r="O913" s="137"/>
      <c r="P913" s="137"/>
      <c r="Q913" s="137"/>
      <c r="R913" s="137"/>
      <c r="S913" s="137"/>
      <c r="T913" s="137"/>
      <c r="U913" s="137"/>
      <c r="V913" s="137"/>
      <c r="W913" s="137"/>
      <c r="X913" s="137"/>
      <c r="Y913" s="137"/>
      <c r="Z913" s="137"/>
    </row>
    <row r="914" ht="13.2" spans="1:26">
      <c r="A914" s="151"/>
      <c r="B914" s="149"/>
      <c r="C914" s="149"/>
      <c r="D914" s="149"/>
      <c r="E914" s="149"/>
      <c r="F914" s="149"/>
      <c r="G914" s="149"/>
      <c r="H914" s="150"/>
      <c r="I914" s="150"/>
      <c r="J914" s="137"/>
      <c r="K914" s="137"/>
      <c r="L914" s="137"/>
      <c r="M914" s="137"/>
      <c r="N914" s="137"/>
      <c r="O914" s="137"/>
      <c r="P914" s="137"/>
      <c r="Q914" s="137"/>
      <c r="R914" s="137"/>
      <c r="S914" s="137"/>
      <c r="T914" s="137"/>
      <c r="U914" s="137"/>
      <c r="V914" s="137"/>
      <c r="W914" s="137"/>
      <c r="X914" s="137"/>
      <c r="Y914" s="137"/>
      <c r="Z914" s="137"/>
    </row>
    <row r="915" ht="13.2" spans="1:26">
      <c r="A915" s="151"/>
      <c r="B915" s="149"/>
      <c r="C915" s="149"/>
      <c r="D915" s="149"/>
      <c r="E915" s="149"/>
      <c r="F915" s="149"/>
      <c r="G915" s="149"/>
      <c r="H915" s="150"/>
      <c r="I915" s="150"/>
      <c r="J915" s="137"/>
      <c r="K915" s="137"/>
      <c r="L915" s="137"/>
      <c r="M915" s="137"/>
      <c r="N915" s="137"/>
      <c r="O915" s="137"/>
      <c r="P915" s="137"/>
      <c r="Q915" s="137"/>
      <c r="R915" s="137"/>
      <c r="S915" s="137"/>
      <c r="T915" s="137"/>
      <c r="U915" s="137"/>
      <c r="V915" s="137"/>
      <c r="W915" s="137"/>
      <c r="X915" s="137"/>
      <c r="Y915" s="137"/>
      <c r="Z915" s="137"/>
    </row>
    <row r="916" ht="13.2" spans="1:26">
      <c r="A916" s="151"/>
      <c r="B916" s="149"/>
      <c r="C916" s="149"/>
      <c r="D916" s="149"/>
      <c r="E916" s="149"/>
      <c r="F916" s="149"/>
      <c r="G916" s="149"/>
      <c r="H916" s="150"/>
      <c r="I916" s="150"/>
      <c r="J916" s="137"/>
      <c r="K916" s="137"/>
      <c r="L916" s="137"/>
      <c r="M916" s="137"/>
      <c r="N916" s="137"/>
      <c r="O916" s="137"/>
      <c r="P916" s="137"/>
      <c r="Q916" s="137"/>
      <c r="R916" s="137"/>
      <c r="S916" s="137"/>
      <c r="T916" s="137"/>
      <c r="U916" s="137"/>
      <c r="V916" s="137"/>
      <c r="W916" s="137"/>
      <c r="X916" s="137"/>
      <c r="Y916" s="137"/>
      <c r="Z916" s="137"/>
    </row>
    <row r="917" ht="13.2" spans="1:26">
      <c r="A917" s="151"/>
      <c r="B917" s="149"/>
      <c r="C917" s="149"/>
      <c r="D917" s="149"/>
      <c r="E917" s="149"/>
      <c r="F917" s="149"/>
      <c r="G917" s="149"/>
      <c r="H917" s="150"/>
      <c r="I917" s="150"/>
      <c r="J917" s="137"/>
      <c r="K917" s="137"/>
      <c r="L917" s="137"/>
      <c r="M917" s="137"/>
      <c r="N917" s="137"/>
      <c r="O917" s="137"/>
      <c r="P917" s="137"/>
      <c r="Q917" s="137"/>
      <c r="R917" s="137"/>
      <c r="S917" s="137"/>
      <c r="T917" s="137"/>
      <c r="U917" s="137"/>
      <c r="V917" s="137"/>
      <c r="W917" s="137"/>
      <c r="X917" s="137"/>
      <c r="Y917" s="137"/>
      <c r="Z917" s="137"/>
    </row>
    <row r="918" ht="13.2" spans="1:26">
      <c r="A918" s="151"/>
      <c r="B918" s="149"/>
      <c r="C918" s="149"/>
      <c r="D918" s="149"/>
      <c r="E918" s="149"/>
      <c r="F918" s="149"/>
      <c r="G918" s="149"/>
      <c r="H918" s="150"/>
      <c r="I918" s="150"/>
      <c r="J918" s="137"/>
      <c r="K918" s="137"/>
      <c r="L918" s="137"/>
      <c r="M918" s="137"/>
      <c r="N918" s="137"/>
      <c r="O918" s="137"/>
      <c r="P918" s="137"/>
      <c r="Q918" s="137"/>
      <c r="R918" s="137"/>
      <c r="S918" s="137"/>
      <c r="T918" s="137"/>
      <c r="U918" s="137"/>
      <c r="V918" s="137"/>
      <c r="W918" s="137"/>
      <c r="X918" s="137"/>
      <c r="Y918" s="137"/>
      <c r="Z918" s="137"/>
    </row>
    <row r="919" ht="13.2" spans="1:26">
      <c r="A919" s="151"/>
      <c r="B919" s="149"/>
      <c r="C919" s="149"/>
      <c r="D919" s="149"/>
      <c r="E919" s="149"/>
      <c r="F919" s="149"/>
      <c r="G919" s="149"/>
      <c r="H919" s="150"/>
      <c r="I919" s="150"/>
      <c r="J919" s="137"/>
      <c r="K919" s="137"/>
      <c r="L919" s="137"/>
      <c r="M919" s="137"/>
      <c r="N919" s="137"/>
      <c r="O919" s="137"/>
      <c r="P919" s="137"/>
      <c r="Q919" s="137"/>
      <c r="R919" s="137"/>
      <c r="S919" s="137"/>
      <c r="T919" s="137"/>
      <c r="U919" s="137"/>
      <c r="V919" s="137"/>
      <c r="W919" s="137"/>
      <c r="X919" s="137"/>
      <c r="Y919" s="137"/>
      <c r="Z919" s="137"/>
    </row>
    <row r="920" ht="13.2" spans="1:26">
      <c r="A920" s="151"/>
      <c r="B920" s="149"/>
      <c r="C920" s="149"/>
      <c r="D920" s="149"/>
      <c r="E920" s="149"/>
      <c r="F920" s="149"/>
      <c r="G920" s="149"/>
      <c r="H920" s="150"/>
      <c r="I920" s="150"/>
      <c r="J920" s="137"/>
      <c r="K920" s="137"/>
      <c r="L920" s="137"/>
      <c r="M920" s="137"/>
      <c r="N920" s="137"/>
      <c r="O920" s="137"/>
      <c r="P920" s="137"/>
      <c r="Q920" s="137"/>
      <c r="R920" s="137"/>
      <c r="S920" s="137"/>
      <c r="T920" s="137"/>
      <c r="U920" s="137"/>
      <c r="V920" s="137"/>
      <c r="W920" s="137"/>
      <c r="X920" s="137"/>
      <c r="Y920" s="137"/>
      <c r="Z920" s="137"/>
    </row>
    <row r="921" ht="13.2" spans="1:26">
      <c r="A921" s="151"/>
      <c r="B921" s="149"/>
      <c r="C921" s="149"/>
      <c r="D921" s="149"/>
      <c r="E921" s="149"/>
      <c r="F921" s="149"/>
      <c r="G921" s="149"/>
      <c r="H921" s="150"/>
      <c r="I921" s="150"/>
      <c r="J921" s="137"/>
      <c r="K921" s="137"/>
      <c r="L921" s="137"/>
      <c r="M921" s="137"/>
      <c r="N921" s="137"/>
      <c r="O921" s="137"/>
      <c r="P921" s="137"/>
      <c r="Q921" s="137"/>
      <c r="R921" s="137"/>
      <c r="S921" s="137"/>
      <c r="T921" s="137"/>
      <c r="U921" s="137"/>
      <c r="V921" s="137"/>
      <c r="W921" s="137"/>
      <c r="X921" s="137"/>
      <c r="Y921" s="137"/>
      <c r="Z921" s="137"/>
    </row>
    <row r="922" ht="13.2" spans="1:26">
      <c r="A922" s="151"/>
      <c r="B922" s="149"/>
      <c r="C922" s="149"/>
      <c r="D922" s="149"/>
      <c r="E922" s="149"/>
      <c r="F922" s="149"/>
      <c r="G922" s="149"/>
      <c r="H922" s="150"/>
      <c r="I922" s="150"/>
      <c r="J922" s="137"/>
      <c r="K922" s="137"/>
      <c r="L922" s="137"/>
      <c r="M922" s="137"/>
      <c r="N922" s="137"/>
      <c r="O922" s="137"/>
      <c r="P922" s="137"/>
      <c r="Q922" s="137"/>
      <c r="R922" s="137"/>
      <c r="S922" s="137"/>
      <c r="T922" s="137"/>
      <c r="U922" s="137"/>
      <c r="V922" s="137"/>
      <c r="W922" s="137"/>
      <c r="X922" s="137"/>
      <c r="Y922" s="137"/>
      <c r="Z922" s="137"/>
    </row>
    <row r="923" ht="13.2" spans="1:26">
      <c r="A923" s="151"/>
      <c r="B923" s="149"/>
      <c r="C923" s="149"/>
      <c r="D923" s="149"/>
      <c r="E923" s="149"/>
      <c r="F923" s="149"/>
      <c r="G923" s="149"/>
      <c r="H923" s="150"/>
      <c r="I923" s="150"/>
      <c r="J923" s="137"/>
      <c r="K923" s="137"/>
      <c r="L923" s="137"/>
      <c r="M923" s="137"/>
      <c r="N923" s="137"/>
      <c r="O923" s="137"/>
      <c r="P923" s="137"/>
      <c r="Q923" s="137"/>
      <c r="R923" s="137"/>
      <c r="S923" s="137"/>
      <c r="T923" s="137"/>
      <c r="U923" s="137"/>
      <c r="V923" s="137"/>
      <c r="W923" s="137"/>
      <c r="X923" s="137"/>
      <c r="Y923" s="137"/>
      <c r="Z923" s="137"/>
    </row>
    <row r="924" ht="13.2" spans="1:26">
      <c r="A924" s="151"/>
      <c r="B924" s="149"/>
      <c r="C924" s="149"/>
      <c r="D924" s="149"/>
      <c r="E924" s="149"/>
      <c r="F924" s="149"/>
      <c r="G924" s="149"/>
      <c r="H924" s="150"/>
      <c r="I924" s="150"/>
      <c r="J924" s="137"/>
      <c r="K924" s="137"/>
      <c r="L924" s="137"/>
      <c r="M924" s="137"/>
      <c r="N924" s="137"/>
      <c r="O924" s="137"/>
      <c r="P924" s="137"/>
      <c r="Q924" s="137"/>
      <c r="R924" s="137"/>
      <c r="S924" s="137"/>
      <c r="T924" s="137"/>
      <c r="U924" s="137"/>
      <c r="V924" s="137"/>
      <c r="W924" s="137"/>
      <c r="X924" s="137"/>
      <c r="Y924" s="137"/>
      <c r="Z924" s="137"/>
    </row>
    <row r="925" ht="13.2" spans="1:26">
      <c r="A925" s="151"/>
      <c r="B925" s="149"/>
      <c r="C925" s="149"/>
      <c r="D925" s="149"/>
      <c r="E925" s="149"/>
      <c r="F925" s="149"/>
      <c r="G925" s="149"/>
      <c r="H925" s="150"/>
      <c r="I925" s="150"/>
      <c r="J925" s="137"/>
      <c r="K925" s="137"/>
      <c r="L925" s="137"/>
      <c r="M925" s="137"/>
      <c r="N925" s="137"/>
      <c r="O925" s="137"/>
      <c r="P925" s="137"/>
      <c r="Q925" s="137"/>
      <c r="R925" s="137"/>
      <c r="S925" s="137"/>
      <c r="T925" s="137"/>
      <c r="U925" s="137"/>
      <c r="V925" s="137"/>
      <c r="W925" s="137"/>
      <c r="X925" s="137"/>
      <c r="Y925" s="137"/>
      <c r="Z925" s="137"/>
    </row>
    <row r="926" ht="13.2" spans="1:26">
      <c r="A926" s="151"/>
      <c r="B926" s="149"/>
      <c r="C926" s="149"/>
      <c r="D926" s="149"/>
      <c r="E926" s="149"/>
      <c r="F926" s="149"/>
      <c r="G926" s="149"/>
      <c r="H926" s="150"/>
      <c r="I926" s="150"/>
      <c r="J926" s="137"/>
      <c r="K926" s="137"/>
      <c r="L926" s="137"/>
      <c r="M926" s="137"/>
      <c r="N926" s="137"/>
      <c r="O926" s="137"/>
      <c r="P926" s="137"/>
      <c r="Q926" s="137"/>
      <c r="R926" s="137"/>
      <c r="S926" s="137"/>
      <c r="T926" s="137"/>
      <c r="U926" s="137"/>
      <c r="V926" s="137"/>
      <c r="W926" s="137"/>
      <c r="X926" s="137"/>
      <c r="Y926" s="137"/>
      <c r="Z926" s="137"/>
    </row>
    <row r="927" ht="13.2" spans="1:26">
      <c r="A927" s="151"/>
      <c r="B927" s="149"/>
      <c r="C927" s="149"/>
      <c r="D927" s="149"/>
      <c r="E927" s="149"/>
      <c r="F927" s="149"/>
      <c r="G927" s="149"/>
      <c r="H927" s="150"/>
      <c r="I927" s="150"/>
      <c r="J927" s="137"/>
      <c r="K927" s="137"/>
      <c r="L927" s="137"/>
      <c r="M927" s="137"/>
      <c r="N927" s="137"/>
      <c r="O927" s="137"/>
      <c r="P927" s="137"/>
      <c r="Q927" s="137"/>
      <c r="R927" s="137"/>
      <c r="S927" s="137"/>
      <c r="T927" s="137"/>
      <c r="U927" s="137"/>
      <c r="V927" s="137"/>
      <c r="W927" s="137"/>
      <c r="X927" s="137"/>
      <c r="Y927" s="137"/>
      <c r="Z927" s="137"/>
    </row>
    <row r="928" ht="13.2" spans="1:26">
      <c r="A928" s="151"/>
      <c r="B928" s="149"/>
      <c r="C928" s="149"/>
      <c r="D928" s="149"/>
      <c r="E928" s="149"/>
      <c r="F928" s="149"/>
      <c r="G928" s="149"/>
      <c r="H928" s="150"/>
      <c r="I928" s="150"/>
      <c r="J928" s="137"/>
      <c r="K928" s="137"/>
      <c r="L928" s="137"/>
      <c r="M928" s="137"/>
      <c r="N928" s="137"/>
      <c r="O928" s="137"/>
      <c r="P928" s="137"/>
      <c r="Q928" s="137"/>
      <c r="R928" s="137"/>
      <c r="S928" s="137"/>
      <c r="T928" s="137"/>
      <c r="U928" s="137"/>
      <c r="V928" s="137"/>
      <c r="W928" s="137"/>
      <c r="X928" s="137"/>
      <c r="Y928" s="137"/>
      <c r="Z928" s="137"/>
    </row>
    <row r="929" ht="13.2" spans="1:26">
      <c r="A929" s="151"/>
      <c r="B929" s="149"/>
      <c r="C929" s="149"/>
      <c r="D929" s="149"/>
      <c r="E929" s="149"/>
      <c r="F929" s="149"/>
      <c r="G929" s="149"/>
      <c r="H929" s="150"/>
      <c r="I929" s="150"/>
      <c r="J929" s="137"/>
      <c r="K929" s="137"/>
      <c r="L929" s="137"/>
      <c r="M929" s="137"/>
      <c r="N929" s="137"/>
      <c r="O929" s="137"/>
      <c r="P929" s="137"/>
      <c r="Q929" s="137"/>
      <c r="R929" s="137"/>
      <c r="S929" s="137"/>
      <c r="T929" s="137"/>
      <c r="U929" s="137"/>
      <c r="V929" s="137"/>
      <c r="W929" s="137"/>
      <c r="X929" s="137"/>
      <c r="Y929" s="137"/>
      <c r="Z929" s="137"/>
    </row>
    <row r="930" ht="13.2" spans="1:26">
      <c r="A930" s="151"/>
      <c r="B930" s="149"/>
      <c r="C930" s="149"/>
      <c r="D930" s="149"/>
      <c r="E930" s="149"/>
      <c r="F930" s="149"/>
      <c r="G930" s="149"/>
      <c r="H930" s="150"/>
      <c r="I930" s="150"/>
      <c r="J930" s="137"/>
      <c r="K930" s="137"/>
      <c r="L930" s="137"/>
      <c r="M930" s="137"/>
      <c r="N930" s="137"/>
      <c r="O930" s="137"/>
      <c r="P930" s="137"/>
      <c r="Q930" s="137"/>
      <c r="R930" s="137"/>
      <c r="S930" s="137"/>
      <c r="T930" s="137"/>
      <c r="U930" s="137"/>
      <c r="V930" s="137"/>
      <c r="W930" s="137"/>
      <c r="X930" s="137"/>
      <c r="Y930" s="137"/>
      <c r="Z930" s="137"/>
    </row>
    <row r="931" ht="13.2" spans="1:26">
      <c r="A931" s="151"/>
      <c r="B931" s="149"/>
      <c r="C931" s="149"/>
      <c r="D931" s="149"/>
      <c r="E931" s="149"/>
      <c r="F931" s="149"/>
      <c r="G931" s="149"/>
      <c r="H931" s="150"/>
      <c r="I931" s="150"/>
      <c r="J931" s="137"/>
      <c r="K931" s="137"/>
      <c r="L931" s="137"/>
      <c r="M931" s="137"/>
      <c r="N931" s="137"/>
      <c r="O931" s="137"/>
      <c r="P931" s="137"/>
      <c r="Q931" s="137"/>
      <c r="R931" s="137"/>
      <c r="S931" s="137"/>
      <c r="T931" s="137"/>
      <c r="U931" s="137"/>
      <c r="V931" s="137"/>
      <c r="W931" s="137"/>
      <c r="X931" s="137"/>
      <c r="Y931" s="137"/>
      <c r="Z931" s="137"/>
    </row>
    <row r="932" ht="13.2" spans="1:26">
      <c r="A932" s="151"/>
      <c r="B932" s="149"/>
      <c r="C932" s="149"/>
      <c r="D932" s="149"/>
      <c r="E932" s="149"/>
      <c r="F932" s="149"/>
      <c r="G932" s="149"/>
      <c r="H932" s="150"/>
      <c r="I932" s="150"/>
      <c r="J932" s="137"/>
      <c r="K932" s="137"/>
      <c r="L932" s="137"/>
      <c r="M932" s="137"/>
      <c r="N932" s="137"/>
      <c r="O932" s="137"/>
      <c r="P932" s="137"/>
      <c r="Q932" s="137"/>
      <c r="R932" s="137"/>
      <c r="S932" s="137"/>
      <c r="T932" s="137"/>
      <c r="U932" s="137"/>
      <c r="V932" s="137"/>
      <c r="W932" s="137"/>
      <c r="X932" s="137"/>
      <c r="Y932" s="137"/>
      <c r="Z932" s="137"/>
    </row>
    <row r="933" ht="13.2" spans="1:26">
      <c r="A933" s="151"/>
      <c r="B933" s="149"/>
      <c r="C933" s="149"/>
      <c r="D933" s="149"/>
      <c r="E933" s="149"/>
      <c r="F933" s="149"/>
      <c r="G933" s="149"/>
      <c r="H933" s="150"/>
      <c r="I933" s="150"/>
      <c r="J933" s="137"/>
      <c r="K933" s="137"/>
      <c r="L933" s="137"/>
      <c r="M933" s="137"/>
      <c r="N933" s="137"/>
      <c r="O933" s="137"/>
      <c r="P933" s="137"/>
      <c r="Q933" s="137"/>
      <c r="R933" s="137"/>
      <c r="S933" s="137"/>
      <c r="T933" s="137"/>
      <c r="U933" s="137"/>
      <c r="V933" s="137"/>
      <c r="W933" s="137"/>
      <c r="X933" s="137"/>
      <c r="Y933" s="137"/>
      <c r="Z933" s="137"/>
    </row>
    <row r="934" ht="13.2" spans="1:26">
      <c r="A934" s="151"/>
      <c r="B934" s="149"/>
      <c r="C934" s="149"/>
      <c r="D934" s="149"/>
      <c r="E934" s="149"/>
      <c r="F934" s="149"/>
      <c r="G934" s="149"/>
      <c r="H934" s="150"/>
      <c r="I934" s="150"/>
      <c r="J934" s="137"/>
      <c r="K934" s="137"/>
      <c r="L934" s="137"/>
      <c r="M934" s="137"/>
      <c r="N934" s="137"/>
      <c r="O934" s="137"/>
      <c r="P934" s="137"/>
      <c r="Q934" s="137"/>
      <c r="R934" s="137"/>
      <c r="S934" s="137"/>
      <c r="T934" s="137"/>
      <c r="U934" s="137"/>
      <c r="V934" s="137"/>
      <c r="W934" s="137"/>
      <c r="X934" s="137"/>
      <c r="Y934" s="137"/>
      <c r="Z934" s="137"/>
    </row>
    <row r="935" ht="13.2" spans="1:26">
      <c r="A935" s="151"/>
      <c r="B935" s="149"/>
      <c r="C935" s="149"/>
      <c r="D935" s="149"/>
      <c r="E935" s="149"/>
      <c r="F935" s="149"/>
      <c r="G935" s="149"/>
      <c r="H935" s="150"/>
      <c r="I935" s="150"/>
      <c r="J935" s="137"/>
      <c r="K935" s="137"/>
      <c r="L935" s="137"/>
      <c r="M935" s="137"/>
      <c r="N935" s="137"/>
      <c r="O935" s="137"/>
      <c r="P935" s="137"/>
      <c r="Q935" s="137"/>
      <c r="R935" s="137"/>
      <c r="S935" s="137"/>
      <c r="T935" s="137"/>
      <c r="U935" s="137"/>
      <c r="V935" s="137"/>
      <c r="W935" s="137"/>
      <c r="X935" s="137"/>
      <c r="Y935" s="137"/>
      <c r="Z935" s="137"/>
    </row>
    <row r="936" ht="13.2" spans="1:26">
      <c r="A936" s="151"/>
      <c r="B936" s="149"/>
      <c r="C936" s="149"/>
      <c r="D936" s="149"/>
      <c r="E936" s="149"/>
      <c r="F936" s="149"/>
      <c r="G936" s="149"/>
      <c r="H936" s="150"/>
      <c r="I936" s="150"/>
      <c r="J936" s="137"/>
      <c r="K936" s="137"/>
      <c r="L936" s="137"/>
      <c r="M936" s="137"/>
      <c r="N936" s="137"/>
      <c r="O936" s="137"/>
      <c r="P936" s="137"/>
      <c r="Q936" s="137"/>
      <c r="R936" s="137"/>
      <c r="S936" s="137"/>
      <c r="T936" s="137"/>
      <c r="U936" s="137"/>
      <c r="V936" s="137"/>
      <c r="W936" s="137"/>
      <c r="X936" s="137"/>
      <c r="Y936" s="137"/>
      <c r="Z936" s="137"/>
    </row>
    <row r="937" ht="13.2" spans="1:26">
      <c r="A937" s="151"/>
      <c r="B937" s="149"/>
      <c r="C937" s="149"/>
      <c r="D937" s="149"/>
      <c r="E937" s="149"/>
      <c r="F937" s="149"/>
      <c r="G937" s="149"/>
      <c r="H937" s="150"/>
      <c r="I937" s="150"/>
      <c r="J937" s="137"/>
      <c r="K937" s="137"/>
      <c r="L937" s="137"/>
      <c r="M937" s="137"/>
      <c r="N937" s="137"/>
      <c r="O937" s="137"/>
      <c r="P937" s="137"/>
      <c r="Q937" s="137"/>
      <c r="R937" s="137"/>
      <c r="S937" s="137"/>
      <c r="T937" s="137"/>
      <c r="U937" s="137"/>
      <c r="V937" s="137"/>
      <c r="W937" s="137"/>
      <c r="X937" s="137"/>
      <c r="Y937" s="137"/>
      <c r="Z937" s="137"/>
    </row>
    <row r="938" ht="13.2" spans="1:26">
      <c r="A938" s="151"/>
      <c r="B938" s="149"/>
      <c r="C938" s="149"/>
      <c r="D938" s="149"/>
      <c r="E938" s="149"/>
      <c r="F938" s="149"/>
      <c r="G938" s="149"/>
      <c r="H938" s="150"/>
      <c r="I938" s="150"/>
      <c r="J938" s="137"/>
      <c r="K938" s="137"/>
      <c r="L938" s="137"/>
      <c r="M938" s="137"/>
      <c r="N938" s="137"/>
      <c r="O938" s="137"/>
      <c r="P938" s="137"/>
      <c r="Q938" s="137"/>
      <c r="R938" s="137"/>
      <c r="S938" s="137"/>
      <c r="T938" s="137"/>
      <c r="U938" s="137"/>
      <c r="V938" s="137"/>
      <c r="W938" s="137"/>
      <c r="X938" s="137"/>
      <c r="Y938" s="137"/>
      <c r="Z938" s="137"/>
    </row>
    <row r="939" ht="13.2" spans="1:26">
      <c r="A939" s="151"/>
      <c r="B939" s="149"/>
      <c r="C939" s="149"/>
      <c r="D939" s="149"/>
      <c r="E939" s="149"/>
      <c r="F939" s="149"/>
      <c r="G939" s="149"/>
      <c r="H939" s="150"/>
      <c r="I939" s="150"/>
      <c r="J939" s="137"/>
      <c r="K939" s="137"/>
      <c r="L939" s="137"/>
      <c r="M939" s="137"/>
      <c r="N939" s="137"/>
      <c r="O939" s="137"/>
      <c r="P939" s="137"/>
      <c r="Q939" s="137"/>
      <c r="R939" s="137"/>
      <c r="S939" s="137"/>
      <c r="T939" s="137"/>
      <c r="U939" s="137"/>
      <c r="V939" s="137"/>
      <c r="W939" s="137"/>
      <c r="X939" s="137"/>
      <c r="Y939" s="137"/>
      <c r="Z939" s="137"/>
    </row>
    <row r="940" ht="13.2" spans="1:26">
      <c r="A940" s="151"/>
      <c r="B940" s="149"/>
      <c r="C940" s="149"/>
      <c r="D940" s="149"/>
      <c r="E940" s="149"/>
      <c r="F940" s="149"/>
      <c r="G940" s="149"/>
      <c r="H940" s="150"/>
      <c r="I940" s="150"/>
      <c r="J940" s="137"/>
      <c r="K940" s="137"/>
      <c r="L940" s="137"/>
      <c r="M940" s="137"/>
      <c r="N940" s="137"/>
      <c r="O940" s="137"/>
      <c r="P940" s="137"/>
      <c r="Q940" s="137"/>
      <c r="R940" s="137"/>
      <c r="S940" s="137"/>
      <c r="T940" s="137"/>
      <c r="U940" s="137"/>
      <c r="V940" s="137"/>
      <c r="W940" s="137"/>
      <c r="X940" s="137"/>
      <c r="Y940" s="137"/>
      <c r="Z940" s="137"/>
    </row>
    <row r="941" ht="13.2" spans="1:26">
      <c r="A941" s="151"/>
      <c r="B941" s="149"/>
      <c r="C941" s="149"/>
      <c r="D941" s="149"/>
      <c r="E941" s="149"/>
      <c r="F941" s="149"/>
      <c r="G941" s="149"/>
      <c r="H941" s="150"/>
      <c r="I941" s="150"/>
      <c r="J941" s="137"/>
      <c r="K941" s="137"/>
      <c r="L941" s="137"/>
      <c r="M941" s="137"/>
      <c r="N941" s="137"/>
      <c r="O941" s="137"/>
      <c r="P941" s="137"/>
      <c r="Q941" s="137"/>
      <c r="R941" s="137"/>
      <c r="S941" s="137"/>
      <c r="T941" s="137"/>
      <c r="U941" s="137"/>
      <c r="V941" s="137"/>
      <c r="W941" s="137"/>
      <c r="X941" s="137"/>
      <c r="Y941" s="137"/>
      <c r="Z941" s="137"/>
    </row>
    <row r="942" ht="13.2" spans="1:26">
      <c r="A942" s="151"/>
      <c r="B942" s="149"/>
      <c r="C942" s="149"/>
      <c r="D942" s="149"/>
      <c r="E942" s="149"/>
      <c r="F942" s="149"/>
      <c r="G942" s="149"/>
      <c r="H942" s="150"/>
      <c r="I942" s="150"/>
      <c r="J942" s="137"/>
      <c r="K942" s="137"/>
      <c r="L942" s="137"/>
      <c r="M942" s="137"/>
      <c r="N942" s="137"/>
      <c r="O942" s="137"/>
      <c r="P942" s="137"/>
      <c r="Q942" s="137"/>
      <c r="R942" s="137"/>
      <c r="S942" s="137"/>
      <c r="T942" s="137"/>
      <c r="U942" s="137"/>
      <c r="V942" s="137"/>
      <c r="W942" s="137"/>
      <c r="X942" s="137"/>
      <c r="Y942" s="137"/>
      <c r="Z942" s="137"/>
    </row>
    <row r="943" ht="13.2" spans="1:26">
      <c r="A943" s="151"/>
      <c r="B943" s="149"/>
      <c r="C943" s="149"/>
      <c r="D943" s="149"/>
      <c r="E943" s="149"/>
      <c r="F943" s="149"/>
      <c r="G943" s="149"/>
      <c r="H943" s="150"/>
      <c r="I943" s="150"/>
      <c r="J943" s="137"/>
      <c r="K943" s="137"/>
      <c r="L943" s="137"/>
      <c r="M943" s="137"/>
      <c r="N943" s="137"/>
      <c r="O943" s="137"/>
      <c r="P943" s="137"/>
      <c r="Q943" s="137"/>
      <c r="R943" s="137"/>
      <c r="S943" s="137"/>
      <c r="T943" s="137"/>
      <c r="U943" s="137"/>
      <c r="V943" s="137"/>
      <c r="W943" s="137"/>
      <c r="X943" s="137"/>
      <c r="Y943" s="137"/>
      <c r="Z943" s="137"/>
    </row>
    <row r="944" ht="13.2" spans="1:26">
      <c r="A944" s="151"/>
      <c r="B944" s="149"/>
      <c r="C944" s="149"/>
      <c r="D944" s="149"/>
      <c r="E944" s="149"/>
      <c r="F944" s="149"/>
      <c r="G944" s="149"/>
      <c r="H944" s="150"/>
      <c r="I944" s="150"/>
      <c r="J944" s="137"/>
      <c r="K944" s="137"/>
      <c r="L944" s="137"/>
      <c r="M944" s="137"/>
      <c r="N944" s="137"/>
      <c r="O944" s="137"/>
      <c r="P944" s="137"/>
      <c r="Q944" s="137"/>
      <c r="R944" s="137"/>
      <c r="S944" s="137"/>
      <c r="T944" s="137"/>
      <c r="U944" s="137"/>
      <c r="V944" s="137"/>
      <c r="W944" s="137"/>
      <c r="X944" s="137"/>
      <c r="Y944" s="137"/>
      <c r="Z944" s="137"/>
    </row>
    <row r="945" ht="13.2" spans="1:26">
      <c r="A945" s="151"/>
      <c r="B945" s="149"/>
      <c r="C945" s="149"/>
      <c r="D945" s="149"/>
      <c r="E945" s="149"/>
      <c r="F945" s="149"/>
      <c r="G945" s="149"/>
      <c r="H945" s="150"/>
      <c r="I945" s="150"/>
      <c r="J945" s="137"/>
      <c r="K945" s="137"/>
      <c r="L945" s="137"/>
      <c r="M945" s="137"/>
      <c r="N945" s="137"/>
      <c r="O945" s="137"/>
      <c r="P945" s="137"/>
      <c r="Q945" s="137"/>
      <c r="R945" s="137"/>
      <c r="S945" s="137"/>
      <c r="T945" s="137"/>
      <c r="U945" s="137"/>
      <c r="V945" s="137"/>
      <c r="W945" s="137"/>
      <c r="X945" s="137"/>
      <c r="Y945" s="137"/>
      <c r="Z945" s="137"/>
    </row>
    <row r="946" ht="13.2" spans="1:26">
      <c r="A946" s="151"/>
      <c r="B946" s="149"/>
      <c r="C946" s="149"/>
      <c r="D946" s="149"/>
      <c r="E946" s="149"/>
      <c r="F946" s="149"/>
      <c r="G946" s="149"/>
      <c r="H946" s="150"/>
      <c r="I946" s="150"/>
      <c r="J946" s="137"/>
      <c r="K946" s="137"/>
      <c r="L946" s="137"/>
      <c r="M946" s="137"/>
      <c r="N946" s="137"/>
      <c r="O946" s="137"/>
      <c r="P946" s="137"/>
      <c r="Q946" s="137"/>
      <c r="R946" s="137"/>
      <c r="S946" s="137"/>
      <c r="T946" s="137"/>
      <c r="U946" s="137"/>
      <c r="V946" s="137"/>
      <c r="W946" s="137"/>
      <c r="X946" s="137"/>
      <c r="Y946" s="137"/>
      <c r="Z946" s="137"/>
    </row>
    <row r="947" ht="13.2" spans="1:26">
      <c r="A947" s="151"/>
      <c r="B947" s="149"/>
      <c r="C947" s="149"/>
      <c r="D947" s="149"/>
      <c r="E947" s="149"/>
      <c r="F947" s="149"/>
      <c r="G947" s="149"/>
      <c r="H947" s="150"/>
      <c r="I947" s="150"/>
      <c r="J947" s="137"/>
      <c r="K947" s="137"/>
      <c r="L947" s="137"/>
      <c r="M947" s="137"/>
      <c r="N947" s="137"/>
      <c r="O947" s="137"/>
      <c r="P947" s="137"/>
      <c r="Q947" s="137"/>
      <c r="R947" s="137"/>
      <c r="S947" s="137"/>
      <c r="T947" s="137"/>
      <c r="U947" s="137"/>
      <c r="V947" s="137"/>
      <c r="W947" s="137"/>
      <c r="X947" s="137"/>
      <c r="Y947" s="137"/>
      <c r="Z947" s="137"/>
    </row>
    <row r="948" ht="13.2" spans="1:26">
      <c r="A948" s="151"/>
      <c r="B948" s="149"/>
      <c r="C948" s="149"/>
      <c r="D948" s="149"/>
      <c r="E948" s="149"/>
      <c r="F948" s="149"/>
      <c r="G948" s="149"/>
      <c r="H948" s="150"/>
      <c r="I948" s="150"/>
      <c r="J948" s="137"/>
      <c r="K948" s="137"/>
      <c r="L948" s="137"/>
      <c r="M948" s="137"/>
      <c r="N948" s="137"/>
      <c r="O948" s="137"/>
      <c r="P948" s="137"/>
      <c r="Q948" s="137"/>
      <c r="R948" s="137"/>
      <c r="S948" s="137"/>
      <c r="T948" s="137"/>
      <c r="U948" s="137"/>
      <c r="V948" s="137"/>
      <c r="W948" s="137"/>
      <c r="X948" s="137"/>
      <c r="Y948" s="137"/>
      <c r="Z948" s="137"/>
    </row>
    <row r="949" ht="13.2" spans="1:26">
      <c r="A949" s="151"/>
      <c r="B949" s="149"/>
      <c r="C949" s="149"/>
      <c r="D949" s="149"/>
      <c r="E949" s="149"/>
      <c r="F949" s="149"/>
      <c r="G949" s="149"/>
      <c r="H949" s="150"/>
      <c r="I949" s="150"/>
      <c r="J949" s="137"/>
      <c r="K949" s="137"/>
      <c r="L949" s="137"/>
      <c r="M949" s="137"/>
      <c r="N949" s="137"/>
      <c r="O949" s="137"/>
      <c r="P949" s="137"/>
      <c r="Q949" s="137"/>
      <c r="R949" s="137"/>
      <c r="S949" s="137"/>
      <c r="T949" s="137"/>
      <c r="U949" s="137"/>
      <c r="V949" s="137"/>
      <c r="W949" s="137"/>
      <c r="X949" s="137"/>
      <c r="Y949" s="137"/>
      <c r="Z949" s="137"/>
    </row>
    <row r="950" ht="13.2" spans="1:26">
      <c r="A950" s="151"/>
      <c r="B950" s="149"/>
      <c r="C950" s="149"/>
      <c r="D950" s="149"/>
      <c r="E950" s="149"/>
      <c r="F950" s="149"/>
      <c r="G950" s="149"/>
      <c r="H950" s="150"/>
      <c r="I950" s="150"/>
      <c r="J950" s="137"/>
      <c r="K950" s="137"/>
      <c r="L950" s="137"/>
      <c r="M950" s="137"/>
      <c r="N950" s="137"/>
      <c r="O950" s="137"/>
      <c r="P950" s="137"/>
      <c r="Q950" s="137"/>
      <c r="R950" s="137"/>
      <c r="S950" s="137"/>
      <c r="T950" s="137"/>
      <c r="U950" s="137"/>
      <c r="V950" s="137"/>
      <c r="W950" s="137"/>
      <c r="X950" s="137"/>
      <c r="Y950" s="137"/>
      <c r="Z950" s="137"/>
    </row>
    <row r="951" ht="13.2" spans="1:26">
      <c r="A951" s="151"/>
      <c r="B951" s="149"/>
      <c r="C951" s="149"/>
      <c r="D951" s="149"/>
      <c r="E951" s="149"/>
      <c r="F951" s="149"/>
      <c r="G951" s="149"/>
      <c r="H951" s="150"/>
      <c r="I951" s="150"/>
      <c r="J951" s="137"/>
      <c r="K951" s="137"/>
      <c r="L951" s="137"/>
      <c r="M951" s="137"/>
      <c r="N951" s="137"/>
      <c r="O951" s="137"/>
      <c r="P951" s="137"/>
      <c r="Q951" s="137"/>
      <c r="R951" s="137"/>
      <c r="S951" s="137"/>
      <c r="T951" s="137"/>
      <c r="U951" s="137"/>
      <c r="V951" s="137"/>
      <c r="W951" s="137"/>
      <c r="X951" s="137"/>
      <c r="Y951" s="137"/>
      <c r="Z951" s="137"/>
    </row>
    <row r="952" ht="13.2" spans="1:26">
      <c r="A952" s="151"/>
      <c r="B952" s="149"/>
      <c r="C952" s="149"/>
      <c r="D952" s="149"/>
      <c r="E952" s="149"/>
      <c r="F952" s="149"/>
      <c r="G952" s="149"/>
      <c r="H952" s="150"/>
      <c r="I952" s="150"/>
      <c r="J952" s="137"/>
      <c r="K952" s="137"/>
      <c r="L952" s="137"/>
      <c r="M952" s="137"/>
      <c r="N952" s="137"/>
      <c r="O952" s="137"/>
      <c r="P952" s="137"/>
      <c r="Q952" s="137"/>
      <c r="R952" s="137"/>
      <c r="S952" s="137"/>
      <c r="T952" s="137"/>
      <c r="U952" s="137"/>
      <c r="V952" s="137"/>
      <c r="W952" s="137"/>
      <c r="X952" s="137"/>
      <c r="Y952" s="137"/>
      <c r="Z952" s="137"/>
    </row>
    <row r="953" ht="13.2" spans="1:26">
      <c r="A953" s="151"/>
      <c r="B953" s="149"/>
      <c r="C953" s="149"/>
      <c r="D953" s="149"/>
      <c r="E953" s="149"/>
      <c r="F953" s="149"/>
      <c r="G953" s="149"/>
      <c r="H953" s="150"/>
      <c r="I953" s="150"/>
      <c r="J953" s="137"/>
      <c r="K953" s="137"/>
      <c r="L953" s="137"/>
      <c r="M953" s="137"/>
      <c r="N953" s="137"/>
      <c r="O953" s="137"/>
      <c r="P953" s="137"/>
      <c r="Q953" s="137"/>
      <c r="R953" s="137"/>
      <c r="S953" s="137"/>
      <c r="T953" s="137"/>
      <c r="U953" s="137"/>
      <c r="V953" s="137"/>
      <c r="W953" s="137"/>
      <c r="X953" s="137"/>
      <c r="Y953" s="137"/>
      <c r="Z953" s="137"/>
    </row>
    <row r="954" ht="13.2" spans="1:26">
      <c r="A954" s="151"/>
      <c r="B954" s="149"/>
      <c r="C954" s="149"/>
      <c r="D954" s="149"/>
      <c r="E954" s="149"/>
      <c r="F954" s="149"/>
      <c r="G954" s="149"/>
      <c r="H954" s="150"/>
      <c r="I954" s="150"/>
      <c r="J954" s="137"/>
      <c r="K954" s="137"/>
      <c r="L954" s="137"/>
      <c r="M954" s="137"/>
      <c r="N954" s="137"/>
      <c r="O954" s="137"/>
      <c r="P954" s="137"/>
      <c r="Q954" s="137"/>
      <c r="R954" s="137"/>
      <c r="S954" s="137"/>
      <c r="T954" s="137"/>
      <c r="U954" s="137"/>
      <c r="V954" s="137"/>
      <c r="W954" s="137"/>
      <c r="X954" s="137"/>
      <c r="Y954" s="137"/>
      <c r="Z954" s="137"/>
    </row>
    <row r="955" ht="13.2" spans="1:26">
      <c r="A955" s="151"/>
      <c r="B955" s="149"/>
      <c r="C955" s="149"/>
      <c r="D955" s="149"/>
      <c r="E955" s="149"/>
      <c r="F955" s="149"/>
      <c r="G955" s="149"/>
      <c r="H955" s="150"/>
      <c r="I955" s="150"/>
      <c r="J955" s="137"/>
      <c r="K955" s="137"/>
      <c r="L955" s="137"/>
      <c r="M955" s="137"/>
      <c r="N955" s="137"/>
      <c r="O955" s="137"/>
      <c r="P955" s="137"/>
      <c r="Q955" s="137"/>
      <c r="R955" s="137"/>
      <c r="S955" s="137"/>
      <c r="T955" s="137"/>
      <c r="U955" s="137"/>
      <c r="V955" s="137"/>
      <c r="W955" s="137"/>
      <c r="X955" s="137"/>
      <c r="Y955" s="137"/>
      <c r="Z955" s="137"/>
    </row>
    <row r="956" ht="13.2" spans="1:26">
      <c r="A956" s="151"/>
      <c r="B956" s="149"/>
      <c r="C956" s="149"/>
      <c r="D956" s="149"/>
      <c r="E956" s="149"/>
      <c r="F956" s="149"/>
      <c r="G956" s="149"/>
      <c r="H956" s="150"/>
      <c r="I956" s="150"/>
      <c r="J956" s="137"/>
      <c r="K956" s="137"/>
      <c r="L956" s="137"/>
      <c r="M956" s="137"/>
      <c r="N956" s="137"/>
      <c r="O956" s="137"/>
      <c r="P956" s="137"/>
      <c r="Q956" s="137"/>
      <c r="R956" s="137"/>
      <c r="S956" s="137"/>
      <c r="T956" s="137"/>
      <c r="U956" s="137"/>
      <c r="V956" s="137"/>
      <c r="W956" s="137"/>
      <c r="X956" s="137"/>
      <c r="Y956" s="137"/>
      <c r="Z956" s="137"/>
    </row>
    <row r="957" ht="13.2" spans="1:26">
      <c r="A957" s="151"/>
      <c r="B957" s="149"/>
      <c r="C957" s="149"/>
      <c r="D957" s="149"/>
      <c r="E957" s="149"/>
      <c r="F957" s="149"/>
      <c r="G957" s="149"/>
      <c r="H957" s="150"/>
      <c r="I957" s="150"/>
      <c r="J957" s="137"/>
      <c r="K957" s="137"/>
      <c r="L957" s="137"/>
      <c r="M957" s="137"/>
      <c r="N957" s="137"/>
      <c r="O957" s="137"/>
      <c r="P957" s="137"/>
      <c r="Q957" s="137"/>
      <c r="R957" s="137"/>
      <c r="S957" s="137"/>
      <c r="T957" s="137"/>
      <c r="U957" s="137"/>
      <c r="V957" s="137"/>
      <c r="W957" s="137"/>
      <c r="X957" s="137"/>
      <c r="Y957" s="137"/>
      <c r="Z957" s="137"/>
    </row>
    <row r="958" ht="13.2" spans="1:26">
      <c r="A958" s="151"/>
      <c r="B958" s="149"/>
      <c r="C958" s="149"/>
      <c r="D958" s="149"/>
      <c r="E958" s="149"/>
      <c r="F958" s="149"/>
      <c r="G958" s="149"/>
      <c r="H958" s="150"/>
      <c r="I958" s="150"/>
      <c r="J958" s="137"/>
      <c r="K958" s="137"/>
      <c r="L958" s="137"/>
      <c r="M958" s="137"/>
      <c r="N958" s="137"/>
      <c r="O958" s="137"/>
      <c r="P958" s="137"/>
      <c r="Q958" s="137"/>
      <c r="R958" s="137"/>
      <c r="S958" s="137"/>
      <c r="T958" s="137"/>
      <c r="U958" s="137"/>
      <c r="V958" s="137"/>
      <c r="W958" s="137"/>
      <c r="X958" s="137"/>
      <c r="Y958" s="137"/>
      <c r="Z958" s="137"/>
    </row>
    <row r="959" ht="13.2" spans="1:26">
      <c r="A959" s="151"/>
      <c r="B959" s="149"/>
      <c r="C959" s="149"/>
      <c r="D959" s="149"/>
      <c r="E959" s="149"/>
      <c r="F959" s="149"/>
      <c r="G959" s="149"/>
      <c r="H959" s="150"/>
      <c r="I959" s="150"/>
      <c r="J959" s="137"/>
      <c r="K959" s="137"/>
      <c r="L959" s="137"/>
      <c r="M959" s="137"/>
      <c r="N959" s="137"/>
      <c r="O959" s="137"/>
      <c r="P959" s="137"/>
      <c r="Q959" s="137"/>
      <c r="R959" s="137"/>
      <c r="S959" s="137"/>
      <c r="T959" s="137"/>
      <c r="U959" s="137"/>
      <c r="V959" s="137"/>
      <c r="W959" s="137"/>
      <c r="X959" s="137"/>
      <c r="Y959" s="137"/>
      <c r="Z959" s="137"/>
    </row>
    <row r="960" ht="13.2" spans="1:26">
      <c r="A960" s="151"/>
      <c r="B960" s="149"/>
      <c r="C960" s="149"/>
      <c r="D960" s="149"/>
      <c r="E960" s="149"/>
      <c r="F960" s="149"/>
      <c r="G960" s="149"/>
      <c r="H960" s="150"/>
      <c r="I960" s="150"/>
      <c r="J960" s="137"/>
      <c r="K960" s="137"/>
      <c r="L960" s="137"/>
      <c r="M960" s="137"/>
      <c r="N960" s="137"/>
      <c r="O960" s="137"/>
      <c r="P960" s="137"/>
      <c r="Q960" s="137"/>
      <c r="R960" s="137"/>
      <c r="S960" s="137"/>
      <c r="T960" s="137"/>
      <c r="U960" s="137"/>
      <c r="V960" s="137"/>
      <c r="W960" s="137"/>
      <c r="X960" s="137"/>
      <c r="Y960" s="137"/>
      <c r="Z960" s="137"/>
    </row>
    <row r="961" ht="13.2" spans="1:26">
      <c r="A961" s="151"/>
      <c r="B961" s="149"/>
      <c r="C961" s="149"/>
      <c r="D961" s="149"/>
      <c r="E961" s="149"/>
      <c r="F961" s="149"/>
      <c r="G961" s="149"/>
      <c r="H961" s="150"/>
      <c r="I961" s="150"/>
      <c r="J961" s="137"/>
      <c r="K961" s="137"/>
      <c r="L961" s="137"/>
      <c r="M961" s="137"/>
      <c r="N961" s="137"/>
      <c r="O961" s="137"/>
      <c r="P961" s="137"/>
      <c r="Q961" s="137"/>
      <c r="R961" s="137"/>
      <c r="S961" s="137"/>
      <c r="T961" s="137"/>
      <c r="U961" s="137"/>
      <c r="V961" s="137"/>
      <c r="W961" s="137"/>
      <c r="X961" s="137"/>
      <c r="Y961" s="137"/>
      <c r="Z961" s="137"/>
    </row>
    <row r="962" ht="13.2" spans="1:26">
      <c r="A962" s="151"/>
      <c r="B962" s="149"/>
      <c r="C962" s="149"/>
      <c r="D962" s="149"/>
      <c r="E962" s="149"/>
      <c r="F962" s="149"/>
      <c r="G962" s="149"/>
      <c r="H962" s="150"/>
      <c r="I962" s="150"/>
      <c r="J962" s="137"/>
      <c r="K962" s="137"/>
      <c r="L962" s="137"/>
      <c r="M962" s="137"/>
      <c r="N962" s="137"/>
      <c r="O962" s="137"/>
      <c r="P962" s="137"/>
      <c r="Q962" s="137"/>
      <c r="R962" s="137"/>
      <c r="S962" s="137"/>
      <c r="T962" s="137"/>
      <c r="U962" s="137"/>
      <c r="V962" s="137"/>
      <c r="W962" s="137"/>
      <c r="X962" s="137"/>
      <c r="Y962" s="137"/>
      <c r="Z962" s="137"/>
    </row>
    <row r="963" ht="13.2" spans="1:26">
      <c r="A963" s="151"/>
      <c r="B963" s="149"/>
      <c r="C963" s="149"/>
      <c r="D963" s="149"/>
      <c r="E963" s="149"/>
      <c r="F963" s="149"/>
      <c r="G963" s="149"/>
      <c r="H963" s="150"/>
      <c r="I963" s="150"/>
      <c r="J963" s="137"/>
      <c r="K963" s="137"/>
      <c r="L963" s="137"/>
      <c r="M963" s="137"/>
      <c r="N963" s="137"/>
      <c r="O963" s="137"/>
      <c r="P963" s="137"/>
      <c r="Q963" s="137"/>
      <c r="R963" s="137"/>
      <c r="S963" s="137"/>
      <c r="T963" s="137"/>
      <c r="U963" s="137"/>
      <c r="V963" s="137"/>
      <c r="W963" s="137"/>
      <c r="X963" s="137"/>
      <c r="Y963" s="137"/>
      <c r="Z963" s="137"/>
    </row>
    <row r="964" ht="13.2" spans="1:26">
      <c r="A964" s="151"/>
      <c r="B964" s="149"/>
      <c r="C964" s="149"/>
      <c r="D964" s="149"/>
      <c r="E964" s="149"/>
      <c r="F964" s="149"/>
      <c r="G964" s="149"/>
      <c r="H964" s="150"/>
      <c r="I964" s="150"/>
      <c r="J964" s="137"/>
      <c r="K964" s="137"/>
      <c r="L964" s="137"/>
      <c r="M964" s="137"/>
      <c r="N964" s="137"/>
      <c r="O964" s="137"/>
      <c r="P964" s="137"/>
      <c r="Q964" s="137"/>
      <c r="R964" s="137"/>
      <c r="S964" s="137"/>
      <c r="T964" s="137"/>
      <c r="U964" s="137"/>
      <c r="V964" s="137"/>
      <c r="W964" s="137"/>
      <c r="X964" s="137"/>
      <c r="Y964" s="137"/>
      <c r="Z964" s="137"/>
    </row>
  </sheetData>
  <mergeCells count="19">
    <mergeCell ref="A1:B1"/>
    <mergeCell ref="H1:I1"/>
    <mergeCell ref="A2:B2"/>
    <mergeCell ref="A3:B3"/>
    <mergeCell ref="A4:B4"/>
    <mergeCell ref="A5:B5"/>
    <mergeCell ref="A6:I6"/>
    <mergeCell ref="A39:I39"/>
    <mergeCell ref="A83:I83"/>
    <mergeCell ref="A97:I97"/>
    <mergeCell ref="A141:I141"/>
    <mergeCell ref="A181:I181"/>
    <mergeCell ref="A202:I202"/>
    <mergeCell ref="A234:I234"/>
    <mergeCell ref="A245:I245"/>
    <mergeCell ref="A278:I278"/>
    <mergeCell ref="A296:I296"/>
    <mergeCell ref="A300:I300"/>
    <mergeCell ref="A304:I304"/>
  </mergeCells>
  <conditionalFormatting sqref="G1:G38 G40:G82 G84:G96 G98:G140 G142:G180 G182:G201 G203:G233 G235:G244 G246:G277 G279:G295 G297:G299 G301:G303 G305:G1048576">
    <cfRule type="cellIs" dxfId="0" priority="11" operator="equal">
      <formula>"PASS"</formula>
    </cfRule>
    <cfRule type="cellIs" dxfId="1" priority="12" operator="equal">
      <formula>"FAIL"</formula>
    </cfRule>
  </conditionalFormatting>
  <conditionalFormatting sqref="A6:I6 A83 A304 A141 A181 A202 A234 A245 A278 A296 A300">
    <cfRule type="containsBlanks" dxfId="2" priority="13">
      <formula>LEN(TRIM(A6))=0</formula>
    </cfRule>
  </conditionalFormatting>
  <dataValidations count="1">
    <dataValidation type="list" allowBlank="1" showInputMessage="1" showErrorMessage="1" prompt="Click and enter a value from the list of items" sqref="G8:G38 G40:G82 G85:G96 G99:G140 G143:G180 G183:G201 G204:G233 G236:G244 G247:G277 G280:G295 G298:G299 G302:G303 G306:G336">
      <formula1>"PASS,FAIL,WARNING"</formula1>
    </dataValidation>
  </dataValidations>
  <hyperlinks>
    <hyperlink ref="C1" r:id="rId2" display="ilyn.global"/>
    <hyperlink ref="D8" r:id="rId2" display="1.Go to https://ilyn.global/&#10;2.Click on &quot;SIGN IN &quot; Link&#10;3.Click  &quot;SIGN UP&quot; button&#10;4.Observ the page."/>
    <hyperlink ref="D9" r:id="rId2" display="1.Go to https://ilyn.global/&#10;2.Click on &quot;SIGN IN &quot; Link&#10;3.Click  &quot;SIGN UP&quot;  button&#10;4.Observ the page"/>
    <hyperlink ref="D10" r:id="rId2" display="1.Go to https://ilyn.global/&#10;2.Click on &quot;SIGN IN &quot; Link&#10;3.Click  &quot;SIGN UP&quot;  button&#10;4.Observ the page&#10;5.Check the text."/>
    <hyperlink ref="D11" r:id="rId2" display="1.Go to https://ilyn.global/&#10;2.Click on &quot;SIGN IN &quot; Link&#10;3.Click  &quot;SIGN UP&quot;  button&#10;4.Click the info box"/>
    <hyperlink ref="D12" r:id="rId2" display="1.Go to https://ilyn.global/&#10;2.Click on &quot;SIGN IN &quot; Link&#10;3.Click  &quot;SIGN UP&quot;  button&#10;4.Check the content of info box"/>
    <hyperlink ref="D13" r:id="rId2" display="1.Go to https://ilyn.global/&#10;2.Click on &quot;SIGN IN &quot; Link&#10;3.Click  &quot;SIGN UP&quot;  button"/>
    <hyperlink ref="D14" r:id="rId2" display="1.Go to https://ilyn.global/&#10;2.Click on &quot;SIGN IN &quot; Link&#10;3.Click  &quot;SIGN UP&quot;  button&#10;4.Click email section"/>
    <hyperlink ref="D15" r:id="rId2" display="1.Go to https://ilyn.global/&#10;2.Click on &quot;SIGN IN &quot; Link&#10;3.Click  &quot;SIGN UP&quot;  button&#10;4.Click &quot;EMAIL&quot; section"/>
    <hyperlink ref="D16" r:id="rId2" display="1.Go to https://ilyn.global/&#10;2.Click on &quot;SIGN IN &quot; Link&#10;3.Click  &quot;SIGN UP&quot;  button&#10;"/>
    <hyperlink ref="D17" r:id="rId2" display="1.Go to https://ilyn.global/&#10;2.Click on &quot;SIGN IN &quot; Link&#10;3.Click  &quot;SIGN UP&quot;  button&#10;4. Click &quot;NEXT button"/>
    <hyperlink ref="D18" r:id="rId2" display="1.Go to https://ilyn.global/&#10;2. Click on &quot;SIGN IN &quot; Link&#10;3.Click  &quot;SIGN UP&quot;  button&#10;3.Click &quot;EMAIL&quot; section.&#10;4.Click the field and do not give any data and click outside of the field"/>
    <hyperlink ref="D19" r:id="rId2" display="1.Go to https://ilyn.global/&#10;2. Click on &quot;SIGN IN &quot; Link&#10;3.Click  &quot;SIGN UP&quot; button&#10;4.Click &quot;EMAIL&quot;section.&#10;5.Click the field and put only a character"/>
    <hyperlink ref="D20" r:id="rId3" display="1.Go to https://ilyn.global/&#10;2.Click on &quot;SIGN IN &quot; Link&#10;3.Click  &quot;SIGN UP&quot; button&#10;4.Click &quot;EMAIL&quot;section.&#10;4.Insert invalid email in email field&#10;5.click &quot;NEXT&quot; button"/>
    <hyperlink ref="D21" r:id="rId3" display="1.Go to https://ilyn.global/&#10;2.Click on &quot;SIGN IN &quot; Link&#10;3.Click  &quot;SIGN UP&quot; button&#10;4.Click &quot;EMAIL&quot;section.&#10;4.Insert valid email in email field&#10;5.click &quot;NEXT&quot; button"/>
    <hyperlink ref="D22" r:id="rId3" display="1.Go to https://ilyn.global/&#10;2.Click on &quot;SIGN IN &quot; Link&#10;3.Click  &quot;SIGN UP&quot; button&#10;4.Click &quot;MOBILE&quot;section.&#10;"/>
    <hyperlink ref="D23" r:id="rId2" display="1.Go to https://ilyn.global/&#10;2. Click on &quot;SIGN IN &quot; Link&#10;3.Click  &quot;SIGN UP&quot;  button&#10;3.Click &quot;MOBILE&quot; section.&#10;4.Click the field and do not give any data and click outside of the field"/>
    <hyperlink ref="D25" r:id="rId2" display="1.Go to https://ilyn.global/&#10;2.Click on &quot;SIGN IN &quot; Link&#10;3.Click  &quot;SIGN UP&quot; button&#10;4.Click &quot;MOBILE&quot;section.&#10;4.Insert invalid phone number in phone number field&#10;5.Click &quot;NEXT&quot; button"/>
    <hyperlink ref="D26" r:id="rId2" display="1.Go to https://ilyn.global/&#10;2.Click on &quot;SIGN IN &quot; Link&#10;3.Click  &quot;SIGN UP&quot; button&#10;4.Insert valid data in the field&#10;5.Click &quot;NEXT&quot; button"/>
    <hyperlink ref="D27" r:id="rId2" display="1.Go to https://ilyn.global/&#10;2.Click on &quot;SIGN IN &quot; Link&#10;3.Click  &quot;SIGN UP&quot; button&#10;4.Insert valid data in the field&#10;5.Click &quot;NEXT&quot; button"/>
    <hyperlink ref="D28" r:id="rId2" display="1.Go to https://ilyn.global/&#10;2.Click on &quot;SIGN IN &quot; Link&#10;3.Click  &quot;SIGN UP&quot; button&#10;4.Insert valid data in the field&#10;5.Click &quot;NEXT&quot; button&#10;6.Note the time when OTP is received"/>
    <hyperlink ref="D29" r:id="rId2" display="1.Go to https://ilyn.global/&#10;2.Click on &quot;SIGN IN &quot; Link&#10;3.Click  &quot;SIGN UP&quot; button&#10;4.Insert valid data in the field&#10;5.Click &quot;NEXT&quot; button&#10;6.Fill up &quot;OTP&quot; field old generated OTP&#10;7.Insert valid data in the field&#10;8.Click  &quot;SIGN UP&quot; button"/>
    <hyperlink ref="D30" r:id="rId2" display="1.Go to https://ilyn.global/&#10;2.Click on &quot;SIGN IN &quot; Link&#10;3.Click  &quot;SIGN UP&quot; button&#10;4.Insert valid data in the field&#10;5.Click &quot;NEXT&quot; button&#10;6.Insert valid data in the field&#10;7.Click  &quot;SIGN UP&quot; button"/>
    <hyperlink ref="D31" r:id="rId2" display="1.Go to https://ilyn.global/&#10;2.Click on &quot;SIGN IN &quot; Link&#10;3.Click  &quot;SIGN UP&quot; button&#10;4.Insert valid data in the field&#10;5.Click &quot;NEXT&quot; button&#10;6.Insert valid data in all the fields&#10;7.Click  &quot;SIGN UP&quot; button."/>
    <hyperlink ref="D32" r:id="rId2" display="1.Go to https://ilyn.global/&#10;2.Click on &quot;SIGN IN &quot; Link&#10;3.Click  &quot;SIGN UP&quot; button&#10;4.Insert valid data in the field &#10;5.Click &quot;NEXT&quot; button&#10;6.Insert valid data in all the field except &quot;NAME&quot; field&#10;7.Click  &quot;SIGN UP&quot; button"/>
    <hyperlink ref="D33" r:id="rId2" display="1.Go to https://ilyn.global/&#10;2.Click on &quot;SIGN IN &quot; Link&#10;3.Click  &quot;SIGN UP&quot; button&#10;4.Insert valid data in the field&#10;5.Click &quot;NEXT&quot; button&#10;6.Insert valid data in all the fields&#10;7.Click  &quot;SIGN UP&quot; button"/>
    <hyperlink ref="D34" r:id="rId2" display="1.Go to https://ilyn.global/&#10;2.Click on &quot;SIGN IN &quot; Link&#10;3.Click  &quot;SIGN UP&quot; button&#10;4.Insert valid data in the field&#10;5.Click &quot;NEXT&quot; button&#10;6.Insert valid data in all the fields except password field&#10;7.Click  &quot;SIGN UP&quot; button"/>
    <hyperlink ref="D35" r:id="rId2" display="1.Go to https://ilyn.global/&#10;2.Click on &quot;SIGN IN &quot; Link&#10;3.Click  &quot;SIGN UP&quot; button&#10;4.Insert valid data in the field&#10;5.Click &quot;NEXT&quot; button&#10;6.Insert valid data in &quot;PASSWORD&quot; field and invalid password to the &quot;CONFIRM PASSWORD&quot; field&#10;7.Click  &quot;SIGN UP&quot; button"/>
    <hyperlink ref="D36" r:id="rId2" display="1.Go to https://ilyn.global/&#10;2.Click on &quot;SIGN IN &quot; Link&#10;3.Click  &quot;SIGN UP&quot; button&#10;4.Insert valid data in the field&#10;5.Click &quot;NEXT&quot; button&#10;6.Click the fields and do not give any data and click outside of the fields&#10;"/>
    <hyperlink ref="D37" r:id="rId2" display="1.Go to https://ilyn.global/&#10;2.Click on &quot;SIGN IN &quot; Link&#10;3.Click  &quot;SIGN UP&quot; button&#10;4.Insert valid data in the field&#10;5.Click &quot;NEXT&quot; button&#10;6.Insert valid data in all the fields&#10;7.Click  &quot;SIGN UP&quot; button"/>
    <hyperlink ref="D38" r:id="rId2" display="1.Go to https://ilyn.global/&#10;2.Click on &quot;SIGN IN &quot; Link&#10;3.Click  &quot;SIGN UP&quot; button&#10;4.Insert valid data in the field&#10;5.Click &quot;NEXT&quot; button&#10;6.Insert valid data in all the fields&#10;7.Click  &quot;SIGN UP&quot; button"/>
    <hyperlink ref="D41" r:id="rId2" display="1.Go to https://ilyn.global/&#10;2. Click on &quot;SIGN IN &quot; Link&#10;3.Ovserv the page"/>
    <hyperlink ref="D42" r:id="rId2" display="1.Go to https://ilyn.global/&#10;2.Click on &quot;SIGN IN &quot; Link&#10;3.Check the text"/>
    <hyperlink ref="D43" r:id="rId2" display="1.Go to https://ilyn.global/&#10;2. Click on &quot;SIGN IN &quot; Link&#10;3.Click the &quot;Sign Up&quot; button"/>
    <hyperlink ref="D44" r:id="rId2" display="1.Go to https://ilyn.global/&#10;2. Click on &quot;SIGN IN &quot; Link.&#10;3.Observ the text.&#10;4.Click the link."/>
    <hyperlink ref="D45" r:id="rId2" display="1.Go to https://ilyn.global/&#10;2. Click on &quot;SIGN IN &quot; Link.&#10;3.click email section."/>
    <hyperlink ref="D46" r:id="rId2" display="1.Go to https://ilyn.global/&#10;2.Click on &quot;SIGN IN &quot; Link&#10;3.click email section."/>
    <hyperlink ref="D47" r:id="rId2" display="1.Go to https://ilyn.global/&#10;2.Click on &quot;SIGN IN &quot; Link&#10;3.click email section.&#10;4.click the fields and do not give any data and click outside of the fields"/>
    <hyperlink ref="D48" r:id="rId2" display="1.Go to https://ilyn.global/&#10;2.Click on &quot;SIGN IN &quot; Link&#10;3.click mobile section."/>
    <hyperlink ref="D49" r:id="rId4" display="1.Go to https://ilyn.global/&#10;2.Click on &quot;SIGN IN &quot; Link&#10;3.click mobile section.&#10;4.click the field and do not give any data and click outside of the field"/>
    <hyperlink ref="D50" r:id="rId3" display="1.Go to https://ilyn.global/&#10;2.Click on &quot;SIGN IN &quot; Link&#10;3.click email section.&#10;4.Insert valid data all the field except email field&#10;5.click &quot;sign in&quot; button"/>
    <hyperlink ref="C51" r:id="rId5" display="fahimfattahulhasangmail.com"/>
    <hyperlink ref="D51" r:id="rId2" display="1.Go to https://ilyn.global/&#10;2.Click on &quot;SIGN IN &quot; Link&#10;3.click email section.&#10;4.Insert valid data all the field&#10;5.click &quot;sign in&quot; button"/>
    <hyperlink ref="D52" r:id="rId2" display="1.Go to https://ilyn.global/&#10;2.Click on &quot;SIGN IN &quot; Link&#10;3.click email section.&#10;4.Insert valid data all the field except password field&#10;5.click &quot;sign in&quot; button"/>
    <hyperlink ref="D53" r:id="rId2" display="1.Go to https://ilyn.global/&#10;2.Click on &quot;SIGN IN &quot; Link&#10;3.click email section.&#10;4.Insert valid data all the field&#10;5.click &quot;sign in&quot; button"/>
    <hyperlink ref="D54" r:id="rId2" display="1. Go to https://ilyn.global/&#10;2.Click on &quot;SIGN IN &quot; Link&#10;3. Insert valid data all the field except phone number field.&#10;4. Click on &quot;Sign In&quot; button"/>
    <hyperlink ref="D55" r:id="rId3" display="1. Go to https://ilyn.global/&#10;2.Click on &quot;SIGN IN &quot; Link&#10;3. Insert valid data all the field.&#10;4. Click on &quot;sign in&quot; button"/>
    <hyperlink ref="D56" r:id="rId2" display="1.Go to https://ilyn.global/&#10;2.Click on &quot;SIGN IN &quot; Link&#10;3. Insert valid data all the field.&#10;4. Click on &quot;sign in&quot; button"/>
    <hyperlink ref="D57" r:id="rId2" display="1.Go to https://ilyn.global/&#10;2. Click on &quot;SIGN IN &quot; Link&#10;3.Click &quot;Recover Password&quot; link"/>
    <hyperlink ref="D58" r:id="rId2" display="1.Go to https://ilyn.global/&#10;2. Click on &quot;SIGN IN &quot; Link&#10;3.Click &quot;Recover Password&quot; link&#10;4.Observ the form"/>
    <hyperlink ref="D59" r:id="rId2" display="1.Go to https://ilyn.global/&#10;2. Click on &quot;SIGN IN &quot; Link&#10;3.Click &quot;Recover Password&quot; link&#10;4.Observ the text"/>
    <hyperlink ref="D60" r:id="rId2" display="1.Go to https://ilyn.global/&#10;2. Click on &quot;SIGN IN &quot; Link&#10;3.Click &quot;Recover Password&quot; link&#10;4.Click &quot;NEXT&quot;"/>
    <hyperlink ref="D61" r:id="rId2" display="1.Go to https://ilyn.global/&#10;2. Click on &quot;SIGN IN &quot; Link&#10;3.Click   &quot;Recover Password&quot;  link&#10;3.Click &quot;EMAIL&quot; section.&#10;4.Click the field and do not give any data and click outside of the field"/>
    <hyperlink ref="D62" r:id="rId2" display="1.Go to https://ilyn.global/&#10;2. Click on &quot;SIGN IN &quot; Link&#10;3.Click   &quot;Recover Password&quot;  link&#10;4.Click &quot;EMAIL&quot; section.&#10;5.Click the field and do  give any character and click outside of the field"/>
    <hyperlink ref="D63" r:id="rId3" display="1.Go to https://ilyn.global/&#10;2.Click on &quot;SIGN IN &quot; Link&#10;3.Click   &quot;Recover Password&quot;  link&#10;4.Click &quot;EMAIL&quot; section.&#10;4.Insert invalid data in the email field&#10;5.click &quot;NEXT&quot; button"/>
    <hyperlink ref="D64" r:id="rId3" display="1.Go to https://ilyn.global/&#10;2.Click on &quot;SIGN IN &quot; Link&#10;3.Click   &quot;Recover Password&quot;  link&#10;4.Click &quot;EMAIL&quot; section.&#10;4.Insert valid data in the email field&#10;5.click &quot;NEXT&quot; button"/>
    <hyperlink ref="D65" r:id="rId2" display="1.Go to https://ilyn.global/&#10;2. Click on &quot;SIGN IN &quot; Link&#10;3.Click   &quot;Recover Password&quot;  link&#10;4.Click &quot;MOBILE&quot; section."/>
    <hyperlink ref="D66" r:id="rId2" display="1.Go to https://ilyn.global/&#10;2. Click on &quot;SIGN IN &quot; Link&#10;3.Click   &quot;Recover Password&quot;  link&#10;4.Click &quot;MOBILE&quot; section.&#10;5.Click the field and do  give any character and click outside of the field"/>
    <hyperlink ref="D67" r:id="rId2" display="1.Go to https://ilyn.global/&#10;2. Click on &quot;SIGN IN &quot; Link&#10;3.Click   &quot;Recover Password&quot;  link&#10;4.Click &quot;MOBILE&quot; section.&#10;5.Check the text"/>
    <hyperlink ref="D68" r:id="rId3" display="1.Go to https://ilyn.global/&#10;2.Click on &quot;SIGN IN &quot; Link&#10;3.Click   &quot;Recover Password&quot;  link&#10;4.Click &quot;MOIBILE&quot; section.&#10;4.Insert invalid data in the mobile field&#10;5.click &quot;NEXT&quot; button"/>
    <hyperlink ref="D69" r:id="rId3" display="1.Go to https://ilyn.global/&#10;2.Click on &quot;SIGN IN &quot; Link&#10;3.Click   &quot;Recover Password&quot;  link&#10;4.Click &quot;MOIBILE&quot; section.&#10;4.Insert valid data in the mobile field&#10;5.click &quot;NEXT&quot; button"/>
    <hyperlink ref="D70" r:id="rId3" display="1.Go to https://ilyn.global/&#10;2.Click on &quot;SIGN IN &quot; Link&#10;3.Click   &quot;Recover Password&quot;  link&#10;4.Click &quot;MOIBILE&quot; section.&#10;4.Insert valid data in the mobile field&#10;5.click &quot;NEXT&quot; button&#10;6.Observ the content"/>
    <hyperlink ref="D71" r:id="rId2" display="1.Go to https://ilyn.global/&#10;2.Click on &quot;SIGN IN &quot; Link&#10;3.Click  &quot;SIGN UP&quot; button&#10;4.Insert valid data in the field&#10;5.Click &quot;NEXT&quot; button"/>
    <hyperlink ref="D72" r:id="rId2" display="1.Go to https://ilyn.global/&#10;2.Click on &quot;SIGN IN &quot; Link&#10;3.Click   &quot;Recover Password&quot;  link&#10;4.Insert valid data in the field&#10;5.Click &quot;NEXT&quot; button&#10;6.Note the time when OTP is received"/>
    <hyperlink ref="D74" r:id="rId2" display="1.Go to https://ilyn.global/&#10;2.Click on &quot;SIGN IN &quot; Link&#10;3.Click   &quot;Recover Password&quot;  link&#10;4.Insert valid data in the field&#10;5.Click &quot;NEXT&quot; button&#10;6.Insert valid data in the field&#10;7.Click  &quot;SIGN IN&quot; button"/>
    <hyperlink ref="D75" r:id="rId2" display="1.Go to https://ilyn.global/&#10;2.Click on &quot;SIGN IN &quot; Link&#10;3.Click   &quot;Recover Password&quot;  link&#10;4.Insert valid data in the field&#10;5.Click &quot;NEXT&quot; button&#10;6.Insert valid data in all the fields&#10;7.Click  &quot;SIGN IN&quot; button"/>
    <hyperlink ref="D76" r:id="rId2" display="1.Go to https://ilyn.global/&#10;2.Click on &quot;SIGN IN &quot; Link&#10;3.Click   &quot;Recover Password&quot;  link&#10;4.Insert valid data in the field &#10;5.Click &quot;NEXT&quot; button&#10;6.Insert valid data in all the field except &quot;NAME&quot; field&#10;7.Click  &quot;SIGN IN&quot; button."/>
    <hyperlink ref="D77" r:id="rId2" display="1.Go to https://ilyn.global/&#10;2.Click on &quot;SIGN IN &quot; Link&#10;3.Click   &quot;Recover Password&quot;  link&#10;4.Insert valid data in the field&#10;5.Click &quot;NEXT&quot; button&#10;6.Insert valid data in all the fields&#10;7.Click  &quot;SIGN IN&quot; button"/>
    <hyperlink ref="D78" r:id="rId2" display="1.Go to https://ilyn.global/&#10;2.Click on &quot;SIGN IN &quot; Link&#10;3.Click   &quot;Recover Password&quot;  link&#10;4.Insert valid data in the field&#10;5.Click &quot;NEXT&quot; button&#10;6.Insert valid data in all the fields except password field&#10;7.Click  &quot;SIGN IN&quot; button"/>
    <hyperlink ref="D79" r:id="rId2" display="1.Go to https://ilyn.global/&#10;2.Click on &quot;SIGN IN &quot; Link&#10;3.Click   &quot;Recover Password&quot;  link&#10;4.Insert valid data in the field&#10;5.Click &quot;NEXT&quot; button&#10;6.Insert valid data in &quot;PASSWORD&quot; field and invalid password to the &quot;CONFIRM PASSWORD&quot; field&#10;7.Click  &quot;SIGN IN&quot; button"/>
    <hyperlink ref="D80" r:id="rId2" display="1.Go to https://ilyn.global/&#10;2.Click on &quot;SIGN IN &quot; Link&#10;3.Click   &quot;Recover Password&quot;  link&#10;4.Insert valid data in the field&#10;5.Click &quot;NEXT&quot; button&#10;6.Click the fields and do not give any data and click outside of the fields&#10;"/>
    <hyperlink ref="D81" r:id="rId2" display="1.Go to https://ilyn.global/&#10;2.Click on &quot;SIGN IN &quot; Link&#10;3.Click   &quot;Recover Password&quot;  link&#10;4.Insert valid data in the field&#10;5.Click &quot;NEXT&quot; button&#10;6.Insert valid data in all the fields&#10;7.Click  &quot;SIGN IN&quot; button"/>
    <hyperlink ref="D82" r:id="rId2" display="1.Go to https://ilyn.global/&#10;2.Click on &quot;SIGN IN &quot; Link&#10;3.Click   &quot;Recover Password&quot;  link&#10;4.Insert valid data in the field&#10;5.Click &quot;NEXT&quot; button&#10;6.Insert valid data in all the fields&#10;7.Click  &quot;SIGN IN&quot; button"/>
    <hyperlink ref="D85" r:id="rId2" display="1. Go to https://ilyn.global/ &#10; 2. Observe the page."/>
    <hyperlink ref="D86" r:id="rId2" display="1. Go to https://ilyn.global/ &#10; 2. Observe the header section."/>
    <hyperlink ref="D87" r:id="rId2" display="1. Go to https://ilyn.global/ &#10; 2. Check the icon and text alignment."/>
    <hyperlink ref="D88" r:id="rId2" display="1. Go to https://ilyn.global/ &#10; 2. Observe each link text and its corresponding icon."/>
    <hyperlink ref="D89" r:id="rId2" display="1. Go to https://ilyn.global/ &#10; 2. Check the logo and its alignment."/>
    <hyperlink ref="D90" r:id="rId2" display="1. Go to https://ilyn.global/ &#10; 2. Click all the menu sections."/>
    <hyperlink ref="D91" r:id="rId2" display="1. Go to https://ilyn.global/ &#10; 2. Observe the menu bars. &#10; 3. Click each menu section."/>
    <hyperlink ref="D92" r:id="rId2" display="1. Go to https://ilyn.global/ &#10; 2. Scroll through each section of the homepage. &#10; 3. Observe if the promotional message appears consistently."/>
    <hyperlink ref="D93" r:id="rId2" display="1. Go to https://ilyn.global/ &#10; 2. Observe the section showing the “AW25 New Arrivals” banner. &#10; 3. Check for the “IN STORES AND ONLINE” text."/>
    <hyperlink ref="D94" r:id="rId2" display="1. Go to https://ilyn.global/ &#10; 2. Locate the “AW25 New Arrivals” link. &#10; 3. Click the link."/>
    <hyperlink ref="D95" r:id="rId2" display="1. Go to https://ilyn.global/ &#10; 2. Observe the homepage background."/>
    <hyperlink ref="D96" r:id="rId2" display="1. Go to https://ilyn.global/ &#10; 2. Observe the “AW25 New Arrivals” link and related logo text. &#10; 3. Check the vertical and horizontal alignment."/>
    <hyperlink ref="D99" r:id="rId2" display="1.Go to https://ilyn.global/ &#10;2.click on &quot;AW25 NEW ARRIVALS&quot; menu"/>
    <hyperlink ref="D100" r:id="rId2" display="1.Go to https://ilyn.global/ &#10;2.click on &quot;AW25 NEW ARRIVALS&quot; menu &#10;3.click on sections."/>
    <hyperlink ref="D101" r:id="rId2" display="1.Go to https://ilyn.global/ &#10;2.Click &quot;All&quot; section."/>
    <hyperlink ref="D102" r:id="rId2" display="1.Go to https://ilyn.global/ &#10;2.Click &quot;All&quot; section."/>
    <hyperlink ref="D103" r:id="rId2" display="1.Go to https://ilyn.global/ &#10;2.Click &quot;All&quot; section. &#10;3.check the &quot;breadcrumb&quot;."/>
    <hyperlink ref="D104" r:id="rId2" display="1.Go to https://ilyn.global/ &#10;2.Click &quot;All&quot; section. &#10;3.check number of items match with number of product showed in the page"/>
    <hyperlink ref="D105" r:id="rId2" display="1.Go to https://ilyn.global/ &#10;2.Click &quot;All&quot; section. &#10;3.Check the image information."/>
    <hyperlink ref="D106" r:id="rId2" display="1.Go to https://ilyn.global/ &#10;2.Click &quot;All&quot; section. &#10;3.check the &quot;breadcrumb&quot;."/>
    <hyperlink ref="D107" r:id="rId2" display="1.Go to https://ilyn.global/ &#10;2.Click &quot;All&quot; section.&#10; 3.Click &quot;MEN&quot; section."/>
    <hyperlink ref="D108" r:id="rId2" display="1.Go to https://ilyn.global/ &#10;2.Click &quot;All&quot; section. &#10;3.Click &quot;MEN&quot; section."/>
    <hyperlink ref="D109" r:id="rId2" display="1.Go to https://ilyn.global/ &#10;2.Click &quot;All&quot; section. &#10;3.Click &quot;MEN&quot; section. &#10;4.Check the products."/>
    <hyperlink ref="D110" r:id="rId2" display="1.Go to https://ilyn.global/ &#10;2.Click &quot;All&quot; section. &#10;3.Click &quot;MEN&quot; section. &#10;4.Check the visibility and alignment."/>
    <hyperlink ref="D111" r:id="rId2" display="1.Go to https://ilyn.global/ &#10;2.Click &quot;All&quot; section. &#10;3.Click &quot;MEN&quot; section. &#10;4.Check the breadcrumb."/>
    <hyperlink ref="D112" r:id="rId2" display="1.Go to https://ilyn.global/ &#10;2.Click &quot;All&quot; section. &#10;3.Click &quot;MEN&quot; section.&#10; 4.check number of items match with number of product showed in the page"/>
    <hyperlink ref="D113" r:id="rId2" display="1.Go to https://ilyn.global/ &#10;2.Click &quot;All&quot; section. &#10;3.Click &quot;MEN&quot; section. 4.Check the image information."/>
    <hyperlink ref="D114" r:id="rId2" display="1.Go to https://ilyn.global/ &#10;2.Click &quot;All&quot; section. &#10;3.Click &quot;MEN&quot; section. 4.check the &quot;breadcrumb&quot;"/>
    <hyperlink ref="D115" r:id="rId2" display="1.Go to https://ilyn.global/ &#10;2.Click &quot;All&quot; section. &#10;3.Click &quot;MEN&quot; section. 4.Click the variants."/>
    <hyperlink ref="D116" r:id="rId2" display="1.Go to https://ilyn.global/ &#10; 2.Click &quot;All&quot; section. &#10; 3.Click &quot;WOMEN&quot; section."/>
    <hyperlink ref="D117" r:id="rId2" display="1.Go to https://ilyn.global/ &#10; 2.Click &quot;All&quot; section. &#10; 3.Click &quot;WOMEN&quot; section. &#10; 4.Check the products."/>
    <hyperlink ref="D118" r:id="rId2" display="1.Go to https://ilyn.global/ &#10; 2.Click &quot;All&quot; section. &#10; 3.Click &quot;WOMEN&quot; section. &#10; 4.Check the visibility and alignment."/>
    <hyperlink ref="D119" r:id="rId2" display="1.Go to https://ilyn.global/ &#10; 2.Click &quot;All&quot; section. &#10; 3.Click &quot;WOMEN&quot; section. &#10; 4.Check the breadcrumb."/>
    <hyperlink ref="D120" r:id="rId2" display="1.Go to https://ilyn.global/ &#10; 2.Click &quot;All&quot; section. &#10; 3.Click &quot;WOMEN&quot; section. &#10; 4.Check number of items match with number of products shown on the page."/>
    <hyperlink ref="D121" r:id="rId2" display="1.Go to https://ilyn.global/ &#10; 2.Click &quot;All&quot; section. &#10; 3.Click &quot;WOMEN&quot; section. &#10; 4.Check the image information."/>
    <hyperlink ref="D122" r:id="rId2" display="1.Go to https://ilyn.global/ &#10; 2.Click &quot;All&quot; section. &#10; 3.Click &quot;WOMEN&quot; section. &#10; 4.Check the breadcrumb."/>
    <hyperlink ref="D123" r:id="rId2" display="1.Go to https://ilyn.global/ &#10; 2.Click &quot;All&quot; section. &#10; 3.Click &quot;WOMEN&quot; section. &#10; 4.Click the variants."/>
    <hyperlink ref="D124" r:id="rId2" display="1.Go to https://ilyn.global/ &#10; 2.Click &quot;All&quot; section. &#10; 3.Click &quot;WOMEN&quot; section. &#10; 4.Check the products."/>
    <hyperlink ref="D125" r:id="rId2" display="1.Go to https://ilyn.global/ &#10; 2.Click &quot;All&quot; section. &#10; 3.Click &quot;KIDS&quot; section."/>
    <hyperlink ref="D126" r:id="rId2" display="1.Go to https://ilyn.global/ &#10; 2.Click &quot;All&quot; section. &#10; 3.Click &quot;KIDS&quot; section."/>
    <hyperlink ref="D127" r:id="rId2" display="1.Go to https://ilyn.global/ &#10; 2.Click &quot;All&quot; section. &#10; 3.Click &quot;KIDS&quot; section. &#10; 4.Check the products."/>
    <hyperlink ref="D128" r:id="rId2" display="1.Go to https://ilyn.global/ &#10; 2.Click &quot;All&quot; section. &#10; 3.Click &quot;KIDS&quot; section. &#10; 4.Check the visibility and alignment."/>
    <hyperlink ref="D129" r:id="rId2" display="1.Go to https://ilyn.global/ &#10; 2.Click &quot;All&quot; section. &#10; 3.Click &quot;KIDS&quot; section. &#10; 4.Check the breadcrumb."/>
    <hyperlink ref="D130" r:id="rId2" display="1.Go to https://ilyn.global/ &#10; 2.Click &quot;All&quot; section. &#10; 3.Click &quot;KIDS&quot; section. &#10; 4.Check number of items match with number of products shown on the page"/>
    <hyperlink ref="D131" r:id="rId2" display="1.Go to https://ilyn.global/ &#10; 2.Click &quot;All&quot; section. &#10; 3.Click &quot;KIDS&quot; section. &#10; 4.Check the image information."/>
    <hyperlink ref="D132" r:id="rId2" display="1.Go to https://ilyn.global/ &#10; 2.Click &quot;All&quot; section. &#10; 3.Click &quot;KIDS&quot; section. &#10; 4.Check the breadcrumb"/>
    <hyperlink ref="D133" r:id="rId2" display="1.Go to https://ilyn.global/ &#10; 2.Click &quot;All&quot; section. &#10; 3.Click &quot;KIDS&quot; section. &#10; 4.Click the variants."/>
    <hyperlink ref="D134" r:id="rId2" display="1.Go to https://ilyn.global/ &#10; 2.Click &quot;All&quot; section. &#10; 3.Click &quot;KIDS&quot; section. &#10; 4.Check the products."/>
    <hyperlink ref="D135" r:id="rId2" display="1.Go to https://ilyn.global/ &#10; 2.Click on &quot;AW25 NEW ARRIVALS&quot; menu &#10; 3.Click &quot;FOOTWEAR&quot; section."/>
    <hyperlink ref="D136" r:id="rId2" display="1.Go to https://ilyn.global/ &#10; 2.Click on &quot;AW25 NEW ARRIVALS&quot; menu &#10; 3.Click &quot;ACCESSORIES&quot; section."/>
    <hyperlink ref="D137" r:id="rId2" display="1.Go to https://ilyn.global/ &#10; 2.Click &quot;ACCESSORIES&quot; section."/>
    <hyperlink ref="D138" r:id="rId2" display="1.Go to https://ilyn.global/ &#10; 2.Click &quot;ACCESSORIES&quot; section. &#10; 3.Check the breadcrumb."/>
    <hyperlink ref="D139" r:id="rId2" display="1.Go to https://ilyn.global/ &#10; 2.Click &quot;ACCESSORIES&quot; section. &#10; 3.Check number of items match with number of product showed in the page."/>
    <hyperlink ref="D140" r:id="rId2" display="1.Go to https://ilyn.global/ &#10; 2.Click &quot;ACCESSORIES&quot; section. &#10; 3.Check the image information."/>
    <hyperlink ref="D143" r:id="rId2" display="1. Go to https://ilyn.global/ &#10; 2. Click &quot;MEN&quot; menu &#10; 3. Observe the sections listed under the MEN menu"/>
    <hyperlink ref="D144" r:id="rId2" display="1. Go to https://ilyn.global/ &#10; 2. Click &quot;MEN&quot; menu &#10; 3. Hover over or click &quot;Sherwani&quot; section &#10; 4. Observe variants &quot;Premium&quot; and &quot;Platinum&quot;"/>
    <hyperlink ref="D145" r:id="rId2" display="1. Go to https://ilyn.global/ &#10; 2. Click &quot;MEN&quot; menu &#10; 3. Click &quot;Sherwani&quot; section"/>
    <hyperlink ref="D146" r:id="rId2" display="1. Go to https://ilyn.global/ &#10; 2. Click &quot;MEN&quot; menu &#10; 3. Click &quot;Sherwani&quot; section &#10; 4. Observe displayed products"/>
    <hyperlink ref="D147" r:id="rId2" display="1. Go to https://ilyn.global/ &#10; 2. Click &quot;MEN&quot; menu &#10; 3. Hover over or click &quot;Thobe&quot; section &#10; 4. Observe variants"/>
    <hyperlink ref="D148" r:id="rId2" display="1. Go to https://ilyn.global/ &#10; 2. Click &quot;MEN&quot; menu &#10; 3. Click &quot;Thobe&quot; section"/>
    <hyperlink ref="D149" r:id="rId2" display="1. Go to https://ilyn.global/ &#10; 2. Click &quot;MEN&quot; menu &#10; 3. Click &quot;Thobe&quot; section &#10; 4. Observe displayed products"/>
    <hyperlink ref="D150" r:id="rId2" display="1. Go to https://ilyn.global/ &#10; 2. Click &quot;MEN&quot; menu &#10; 3. Hover over or click &quot;Kabli&quot; section &#10; 4. Observe variants"/>
    <hyperlink ref="D151" r:id="rId2" display="1. Go to https://ilyn.global/ &#10; 2. Click &quot;MEN&quot; menu &#10; 3. Click &quot;Kabli&quot; section"/>
    <hyperlink ref="D152" r:id="rId2" display="1. Go to https://ilyn.global/ &#10; 2. Click &quot;MEN&quot; menu &#10; 3. Click &quot;Kabli&quot; section &#10; 4. Observe displayed products"/>
    <hyperlink ref="D153" r:id="rId2" display="1. Go to https://ilyn.global/ &#10; 2. Click &quot;MEN&quot; menu &#10; 3. Hover over or click &quot;Punjabi&quot; section &#10; 4. Observe all variants listed"/>
    <hyperlink ref="D154" r:id="rId2" display="1. Go to https://ilyn.global/ &#10; 2. Click &quot;MEN&quot; menu &#10; 3. Click &quot;Punjabi&quot; section"/>
    <hyperlink ref="D155" r:id="rId2" display="1. Go to https://ilyn.global/ &#10; 2. Click &quot;MEN&quot; menu &#10; 3. Click &quot;Punjabi&quot; section &#10; 4. Observe displayed products"/>
    <hyperlink ref="D156" r:id="rId2" display="1. Go to https://ilyn.global/ &#10; 2. Click &quot;MEN&quot; menu &#10; 3. Hover over or click &quot;Waistcoats&quot; section &#10; 4. Observe listed variants"/>
    <hyperlink ref="D157" r:id="rId2" display="1. Go to https://ilyn.global/ &#10; 2. Click &quot;MEN&quot; menu &#10; 3. Click &quot;Waistcoats&quot; section"/>
    <hyperlink ref="D158" r:id="rId2" display="1. Go to https://ilyn.global/ &#10; 2. Click &quot;MEN&quot; menu &#10; 3. Click &quot;Waistcoats&quot; section &#10; 4. Observe displayed products"/>
    <hyperlink ref="D159" r:id="rId2" display="1. Go to https://ilyn.global/ &#10; 2. Click &quot;MEN&quot; menu &#10; 3. Hover over or click &quot;Shirts&quot; section &#10; 4. Observe listed variants"/>
    <hyperlink ref="D160" r:id="rId2" display="1. Go to https://ilyn.global/ &#10; 2. Click &quot;MEN&quot; menu &#10; 3. Click &quot;Shirts&quot; section"/>
    <hyperlink ref="D161" r:id="rId2" display="1. Go to https://ilyn.global/ &#10; 2. Click &quot;MEN&quot; menu &#10; 3. Click &quot;Shirts&quot; section &#10; 4. Observe displayed products"/>
    <hyperlink ref="D162" r:id="rId2" display="1. Go to https://ilyn.global/ &#10; 2. Click &quot;MEN&quot; menu &#10; 3. Hover over or click &quot;T-Shirts And Polos&quot; section &#10; 4. Observe variants"/>
    <hyperlink ref="D163" r:id="rId2" display="1. Go to https://ilyn.global/ &#10; 2. Click &quot;MEN&quot; menu &#10; 3. Click &quot;T-Shirts And Polos&quot; section"/>
    <hyperlink ref="D164" r:id="rId2" display="1. Go to https://ilyn.global/ &#10; 2. Click &quot;MEN&quot; menu &#10; 3. Click &quot;T-Shirts And Polos&quot; section &#10; 4. Observe displayed products"/>
    <hyperlink ref="D165" r:id="rId2" display="1. Go to https://ilyn.global/ &#10; 2. Click &quot;MEN&quot; menu &#10; 3. Hover over or click &quot;Jeans&quot; section &#10; 4. Observe variants"/>
    <hyperlink ref="D166" r:id="rId2" display="1. Go to https://ilyn.global/ &#10; 2. Click &quot;MEN&quot; menu &#10; 3. Click &quot;Jeans&quot; section &#10; 4. Observe displayed products"/>
    <hyperlink ref="D167" r:id="rId2" display="1. Go to https://ilyn.global/ &#10; 2. Click &quot;MEN&quot; menu &#10; 3. Click &quot;Jeans&quot; section"/>
    <hyperlink ref="D168" r:id="rId2" display="1. Go to https://ilyn.global/ &#10; 2. Click &quot;MEN&quot; menu &#10; 3. Click &quot;Jeans&quot; section &#10; 4. Observe displayed products"/>
    <hyperlink ref="D169" r:id="rId2" display="1. Go to https://ilyn.global/ &#10; 2. Click &quot;MEN&quot; menu &#10; 3. Hover over or click &quot;Joggers And L-Chinos&quot; section &#10; 4. Observe variants"/>
    <hyperlink ref="D170" r:id="rId2" display="1. Go to https://ilyn.global/ &#10; 2. Click &quot;MEN&quot; menu &#10; 3. Click &quot;Joggers And L-Chinos&quot; section"/>
    <hyperlink ref="D171" r:id="rId2" display="1. Go to https://ilyn.global/ &#10; 2. Click &quot;MEN&quot; menu &#10; 3. Click &quot;Joggers And L-Chinos&quot; section &#10; 4. Observe displayed products"/>
    <hyperlink ref="D172" r:id="rId2" display="1. Go to https://ilyn.global/ &#10; 2. Click &quot;MEN&quot; menu &#10; 3. Hover over or click &quot;Jackets And Outerwear&quot; section &#10; 4. Observe variants"/>
    <hyperlink ref="D173" r:id="rId2" display="1. Go to https://ilyn.global/ &#10; 2. Click &quot;MEN&quot; menu &#10; 3. Click &quot;Jackets And Outerwear&quot; section"/>
    <hyperlink ref="D174" r:id="rId2" display="1. Go to https://ilyn.global/ &#10; 2. Click &quot;MEN&quot; menu &#10; 3. Click &quot;Jackets And Outerwear&quot; section &#10; 4. Observe displayed products"/>
    <hyperlink ref="D175" r:id="rId2" display="1. Go to https://ilyn.global/ &#10; 2. Click &quot;MEN&quot; menu &#10; 3. Hover over or click &quot;Trousers And Chinos&quot; section &#10; 4. Observe variants"/>
    <hyperlink ref="D176" r:id="rId2" display="1. Go to https://ilyn.global/ &#10; 2. Click &quot;MEN&quot; menu &#10; 3. Click &quot;Trousers And Chinos&quot; section"/>
    <hyperlink ref="D177" r:id="rId2" display="1. Go to https://ilyn.global/ &#10; 2. Click &quot;MEN&quot; menu &#10; 3. Click &quot;Trousers And Chinos&quot; section &#10; 4. Observe displayed products"/>
    <hyperlink ref="D178" r:id="rId2" display="1. Go to https://ilyn.global/ &#10; 2. Click &quot;MEN&quot; menu &#10; 3. Hover over or click &quot;Essentials&quot; section &#10; 4. Observe variants"/>
    <hyperlink ref="D179" r:id="rId2" display="1. Go to https://ilyn.global/ &#10; 2. Click &quot;MEN&quot; menu &#10; 3. Click &quot;Essentials&quot; section"/>
    <hyperlink ref="D180" r:id="rId2" display="1. Go to https://ilyn.global/ &#10; 2. Click &quot;MEN&quot; menu &#10; 3. Click &quot;Essentials&quot; section &#10; 4. Observe displayed products"/>
    <hyperlink ref="D183" r:id="rId2" display="1. Go to https://ilyn.global/ &#10; 2. Click &quot;WOMEN&quot; menu &#10; 3. Observe the sections listed under the WOMEN menu"/>
    <hyperlink ref="D184" r:id="rId2" display="1. Go to https://ilyn.global/ &#10; 2. Click &quot;WOMEN&quot; menu &#10; 3. Hover over or click &quot;Abaya&quot; section &#10; 4. Observe variants"/>
    <hyperlink ref="D185" r:id="rId2" display="1. Go to https://ilyn.global/ &#10; 2. Click &quot;WOMEN&quot; menu &#10; 3. Click &quot;Abaya&quot; section"/>
    <hyperlink ref="D186" r:id="rId2" display="1. Go to https://ilyn.global/ &#10; 2. Click &quot;WOMEN&quot; menu &#10; 3. Click &quot;Abaya&quot; section &#10; 4. Observe displayed products"/>
    <hyperlink ref="D187" r:id="rId2" display="1. Go to https://ilyn.global/ &#10; 2. Click &quot;WOMEN&quot; menu &#10; 3. Hover over or click &quot;Tops&quot; section &#10; 4. Observe variants"/>
    <hyperlink ref="D188" r:id="rId2" display="1. Go to https://ilyn.global/ &#10; 2. Click &quot;WOMEN&quot; menu &#10; 3. Click &quot;Tops&quot; section"/>
    <hyperlink ref="D189" r:id="rId2" display="1. Go to https://ilyn.global/ &#10; 2. Click &quot;WOMEN&quot; menu &#10; 3. Click &quot;Tops&quot; section &#10; 4. Observe displayed products"/>
    <hyperlink ref="D190" r:id="rId2" display="1. Go to https://ilyn.global/ &#10; 2. Click &quot;WOMEN&quot; menu &#10; 3. Hover over or click &quot;Co-ords Dress Set&quot; section &#10; 4. Observe variants"/>
    <hyperlink ref="D191" r:id="rId2" display="1. Go to https://ilyn.global/ &#10; 2. Click &quot;WOMEN&quot; menu &#10; 3. Click &quot;Co-ords Dress Set&quot; section"/>
    <hyperlink ref="D192" r:id="rId2" display="1. Go to https://ilyn.global/ &#10; 2. Click &quot;WOMEN&quot; menu &#10; 3. Click &quot;Co-ords Dress Set&quot; section &#10; 4. Observe displayed products"/>
    <hyperlink ref="D193" r:id="rId2" display="1. Go to https://ilyn.global/ &#10; 2. Click &quot;WOMEN&quot; menu &#10; 3. Hover over or click &quot;Scarf&quot; section &#10; 4. Observe variants"/>
    <hyperlink ref="D194" r:id="rId2" display="1. Go to https://ilyn.global/ &#10; 2. Click &quot;WOMEN&quot; menu &#10; 3. Click &quot;Scarf&quot; section"/>
    <hyperlink ref="D195" r:id="rId2" display="1. Go to https://ilyn.global/ &#10; 2. Click &quot;WOMEN&quot; menu &#10; 3. Click &quot;Scarf&quot; section &#10; 4. Observe displayed products"/>
    <hyperlink ref="D196" r:id="rId2" display="1. Go to https://ilyn.global/ &#10; 2. Click &quot;WOMEN&quot; menu &#10; 3. Hover over or click &quot;Trousers&quot; section &#10; 4. Observe variants"/>
    <hyperlink ref="D197" r:id="rId2" display="1. Go to https://ilyn.global/ &#10; 2. Click &quot;WOMEN&quot; menu &#10; 3. Click &quot;Trousers&quot; section"/>
    <hyperlink ref="D198" r:id="rId2" display="1. Go to https://ilyn.global/ &#10; 2. Click &quot;WOMEN&quot; menu &#10; 3. Click &quot;Trousers&quot; section &#10; 4. Observe displayed products"/>
    <hyperlink ref="D199" r:id="rId2" display="1. Go to https://ilyn.global/ &#10; 2. Click &quot;WOMEN&quot; menu &#10; 3. Hover over or click &quot;Essentials&quot; section &#10; 4. Observe variants"/>
    <hyperlink ref="D200" r:id="rId2" display="1. Go to https://ilyn.global/ &#10; 2. Click &quot;WOMEN&quot; menu &#10; 3. Click &quot;Essentials&quot; section"/>
    <hyperlink ref="D201" r:id="rId2" display="1. Go to https://ilyn.global/ &#10; 2. Click &quot;WOMEN&quot; menu &#10; 3. Click &quot;Essentials&quot; section &#10; 4. Observe displayed products"/>
    <hyperlink ref="D204" r:id="rId2" display="1. Go to https://ilyn.global/ &#10; 2. Click &quot;KIDS&quot; menu &#10; 3. Observe all sections under the KIDS menu"/>
    <hyperlink ref="D205" r:id="rId2" display="1. Go to https://ilyn.global/ &#10; 2. Click &quot;KIDS&quot; menu &#10; 3. Click &quot;Panjabi&quot; section"/>
    <hyperlink ref="D206" r:id="rId2" display="1. Go to https://ilyn.global/ &#10; 2. Click &quot;KIDS&quot; menu &#10; 3. Click &quot;Panjabi&quot; section &#10; 4. Observe displayed products"/>
    <hyperlink ref="D207" r:id="rId2" display="1. Go to https://ilyn.global/ &#10; 2. Click &quot;KIDS&quot; menu &#10; 3. Click &quot;Waistcoats&quot; section"/>
    <hyperlink ref="D208" r:id="rId2" display="1. Go to https://ilyn.global/ &#10; 2. Click &quot;KIDS&quot; menu &#10; 3. Click &quot;Waistcoats&quot; section &#10; 4. Observe displayed products"/>
    <hyperlink ref="D209" r:id="rId2" display="1. Go to https://ilyn.global/ &#10; 2. Click &quot;KIDS&quot; menu &#10; 3. Click &quot;Shirts&quot; section"/>
    <hyperlink ref="D210" r:id="rId2" display="1. Go to https://ilyn.global/ &#10; 2. Click &quot;KIDS&quot; menu &#10; 3. Click &quot;Shirts&quot; section &#10; 4. Observe displayed products"/>
    <hyperlink ref="D211" r:id="rId2" display="1. Go to https://ilyn.global/ &#10; 2. Click &quot;KIDS&quot; menu &#10; 3. Click &quot;Panjabi With Waistcoat Set&quot; section"/>
    <hyperlink ref="D212" r:id="rId2" display="1. Go to https://ilyn.global/ &#10; 2. Click &quot;KIDS&quot; menu &#10; 3. Click &quot;Panjabi With Waistcoat Set&quot; section &#10; 4. Observe displayed products"/>
    <hyperlink ref="D213" r:id="rId2" display="1. Go to https://ilyn.global/ &#10; 2. Click &quot;KIDS&quot; menu &#10; 3. Observe all sections"/>
    <hyperlink ref="D214" r:id="rId2" display="1. Go to https://ilyn.global/ &#10; 2. Click &quot;KIDS&quot; menu &#10; 3. Click &quot;Panjabi&quot; section"/>
    <hyperlink ref="D215" r:id="rId2" display="1. Go to https://ilyn.global/ &#10; 2. Click &quot;KIDS&quot; menu &#10; 3. Click &quot;Panjabi&quot; section &#10; 4. Observe displayed products"/>
    <hyperlink ref="D216" r:id="rId2" display="1. Go to https://ilyn.global/ &#10; 2. Click &quot;KIDS&quot; menu &#10; 3. Click &quot;Waistcoats&quot; section"/>
    <hyperlink ref="D217" r:id="rId2" display="1. Go to https://ilyn.global/ &#10; 2. Click &quot;KIDS&quot; menu &#10; 3. Click &quot;Waistcoats&quot; section &#10; 4. Observe displayed products"/>
    <hyperlink ref="D218" r:id="rId2" display="1. Go to https://ilyn.global/ &#10; 2. Click &quot;KIDS&quot; menu &#10; 3. Click &quot;Shirts&quot; section"/>
    <hyperlink ref="D219" r:id="rId2" display="1. Go to https://ilyn.global/ &#10; 2. Click &quot;KIDS&quot; menu &#10; 3. Click &quot;Shirts&quot; section &#10; 4. Observe displayed products"/>
    <hyperlink ref="D220" r:id="rId2" display="1. Go to https://ilyn.global/ &#10; 2. Click &quot;KIDS&quot; menu &#10; 3. Click &quot;Panjabi With Waistcoat Set&quot; section"/>
    <hyperlink ref="D221" r:id="rId2" display="1. Go to https://ilyn.global/ &#10; 2. Click &quot;KIDS&quot; menu &#10; 3. Click &quot;Panjabi With Waistcoat Set&quot; section &#10; 4. Observe displayed products"/>
    <hyperlink ref="D222" r:id="rId2" display="1. Go to https://ilyn.global/ &#10; 2. Click &quot;KIDS&quot; menu &#10; 3. Observe all sections"/>
    <hyperlink ref="D223" r:id="rId2" display="1. Go to https://ilyn.global/ &#10; 2. Click &quot;KIDS&quot; menu &#10; 3. Click &quot;Panjabi&quot; section"/>
    <hyperlink ref="D224" r:id="rId2" display="1. Go to https://ilyn.global/ &#10; 2. Click &quot;KIDS&quot; menu &#10; 3. Click &quot;Panjabi&quot; section &#10; 4. Observe displayed products"/>
    <hyperlink ref="D225" r:id="rId2" display="1. Go to https://ilyn.global/ &#10; 2. Click &quot;KIDS&quot; menu &#10; 3. Click &quot;Waistcoats&quot; section"/>
    <hyperlink ref="D226" r:id="rId2" display="1. Go to https://ilyn.global/ &#10; 2. Click &quot;KIDS&quot; menu &#10; 3. Click &quot;Waistcoats&quot; section &#10; 4. Observe displayed products"/>
    <hyperlink ref="D227" r:id="rId2" display="1. Go to https://ilyn.global/ &#10; 2. Click &quot;KIDS&quot; menu &#10; 3. Click &quot;Shirts&quot; section"/>
    <hyperlink ref="D228" r:id="rId2" display="1. Go to https://ilyn.global/ &#10; 2. Click &quot;KIDS&quot; menu &#10; 3. Click &quot;Shirts&quot; section &#10; 4. Observe displayed products"/>
    <hyperlink ref="D229" r:id="rId2" display="1. Go to https://ilyn.global/ &#10; 2. Click &quot;KIDS&quot; menu &#10; 3. Click &quot;Panjabi With Waistcoat Set&quot; section"/>
    <hyperlink ref="D230" r:id="rId2" display="1. Go to https://ilyn.global/ &#10; 2. Click &quot;KIDS&quot; menu &#10; 3. Click &quot;Panjabi With Waistcoat Set&quot; section &#10; 4. Observe displayed products"/>
    <hyperlink ref="D231" r:id="rId2" display="1. Go to https://ilyn.global/ &#10; 2. Click &quot;KIDS&quot; menu &#10; 3. Observe all sections"/>
    <hyperlink ref="D232" r:id="rId2" display="1. Go to https://ilyn.global/ &#10; 2. Click &quot;KIDS&quot; menu &#10; 3. Click &quot;Panjabi&quot; section"/>
    <hyperlink ref="D233" r:id="rId2" display="1. Go to https://ilyn.global/ &#10; 2. Click &quot;KIDS&quot; menu &#10; 3. Click &quot;Panjabi&quot; section &#10; 4. Observe displayed products"/>
    <hyperlink ref="D236" r:id="rId2" display="1. Go to https://ilyn.global/ &#10; 2. Click &quot;FRAGRANCE&quot; menu &#10; 3. Observe all sections listed under FRAGRANCE menu"/>
    <hyperlink ref="D237" r:id="rId2" display="1. Go to https://ilyn.global/ &#10; 2. Click &quot;FRAGRANCE&quot; menu &#10; 3. Click &quot;All Fragrance&quot; section"/>
    <hyperlink ref="D238" r:id="rId2" display="1. Go to https://ilyn.global/ &#10; 2. Click &quot;FRAGRANCE&quot; menu &#10; 3. Click &quot;All Fragrance&quot; section &#10; 4. Observe displayed products"/>
    <hyperlink ref="D239" r:id="rId2" display="1. Go to https://ilyn.global/ &#10; 2. Click &quot;FRAGRANCE&quot; menu &#10; 3. Click &quot;Premium&quot; section"/>
    <hyperlink ref="D240" r:id="rId2" display="1. Go to https://ilyn.global/ &#10; 2. Click &quot;FRAGRANCE&quot; menu &#10; 3. Click &quot;Premium&quot; section &#10; 4. Observe displayed products"/>
    <hyperlink ref="D241" r:id="rId2" display="1. Go to https://ilyn.global/ &#10; 2. Click &quot;FRAGRANCE&quot; menu &#10; 3. Click &quot;Luxury&quot; section"/>
    <hyperlink ref="D242" r:id="rId2" display="1. Go to https://ilyn.global/ &#10; 2. Click &quot;FRAGRANCE&quot; menu &#10; 3. Click &quot;Luxury&quot; section &#10; 4. Observe displayed products"/>
    <hyperlink ref="D243" r:id="rId2" display="1. Go to https://ilyn.global/ &#10; 2. Click &quot;FRAGRANCE&quot; menu &#10; 3. Click &quot;Al Haramain&quot; section"/>
    <hyperlink ref="D244" r:id="rId2" display="1. Go to https://ilyn.global/ &#10; 2. Click &quot;FRAGRANCE&quot; menu &#10; 3. Click &quot;Al Haramain&quot; section &#10; 4. Observe displayed products"/>
    <hyperlink ref="D247" r:id="rId2" display="1. Go to https://ilyn.global/ &#10; 2. Click &quot;ACCESSORIES&quot; menu &#10; 3. Observe all listed sections under ACCESSORIES menu"/>
    <hyperlink ref="D248" r:id="rId2" display="1. Go to https://ilyn.global/ &#10; 2. Click &quot;ACCESSORIES&quot; menu &#10; 3. Click &quot;All Accessories&quot; section"/>
    <hyperlink ref="D249" r:id="rId2" display="1. Go to https://ilyn.global/ &#10; 2. Click &quot;ACCESSORIES&quot; menu &#10; 3. Click &quot;All Accessories&quot; section &#10; 4. Observe all products"/>
    <hyperlink ref="D250" r:id="rId2" display="1. Go to https://ilyn.global/ &#10; 2. Click &quot;ACCESSORIES&quot; menu &#10; 3. Click &quot;Bags&quot; section"/>
    <hyperlink ref="D251" r:id="rId2" display="1. Go to https://ilyn.global/ &#10; 2. Click &quot;ACCESSORIES&quot; menu &#10; 3. Click &quot;Bags&quot; section &#10; 4. Observe displayed products"/>
    <hyperlink ref="D252" r:id="rId2" display="1. Go to https://ilyn.global/ &#10; 2. Click &quot;ACCESSORIES&quot; menu &#10; 3. Click &quot;Home Decor&quot; section"/>
    <hyperlink ref="D253" r:id="rId2" display="1. Go to https://ilyn.global/ &#10; 2. Click &quot;ACCESSORIES&quot; menu &#10; 3. Click &quot;Home Decor&quot; section &#10; 4. Observe displayed products"/>
    <hyperlink ref="D254" r:id="rId2" display="1. Go to https://ilyn.global/ &#10; 2. Click &quot;ACCESSORIES&quot; menu &#10; 3. Click &quot;Watches&quot; section"/>
    <hyperlink ref="D255" r:id="rId2" display="1. Go to https://ilyn.global/ &#10; 2. Click &quot;ACCESSORIES&quot; menu &#10; 3. Click &quot;Watches&quot; section &#10; 4. Observe displayed products"/>
    <hyperlink ref="D256" r:id="rId2" display="1. Go to https://ilyn.global/ &#10; 2. Click &quot;ACCESSORIES&quot; menu &#10; 3. Click &quot;Wallets&quot; section"/>
    <hyperlink ref="D257" r:id="rId2" display="1. Go to https://ilyn.global/ &#10; 2. Click &quot;ACCESSORIES&quot; menu &#10; 3. Click &quot;Wallets&quot; section &#10; 4. Observe displayed products"/>
    <hyperlink ref="D258" r:id="rId2" display="1. Go to https://ilyn.global/ &#10; 2. Click &quot;ACCESSORIES&quot; menu &#10; 3. Click &quot;Cardholder&quot; section"/>
    <hyperlink ref="D259" r:id="rId2" display="1. Go to https://ilyn.global/ &#10; 2. Click &quot;ACCESSORIES&quot; menu &#10; 3. Click &quot;Cardholder&quot; section &#10; 4. Observe displayed products"/>
    <hyperlink ref="D260" r:id="rId2" display="1. Go to https://ilyn.global/ &#10; 2. Click &quot;ACCESSORIES&quot; menu &#10; 3. Click &quot;Prayer Caps&quot; section"/>
    <hyperlink ref="D261" r:id="rId2" display="1. Go to https://ilyn.global/ &#10; 2. Click &quot;ACCESSORIES&quot; menu &#10; 3. Click &quot;Prayer Caps&quot; section &#10; 4. Observe displayed products"/>
    <hyperlink ref="D262" r:id="rId2" display="1. Go to https://ilyn.global/ &#10; 2. Click &quot;ACCESSORIES&quot; menu &#10; 3. Click &quot;Handbags&quot; section"/>
    <hyperlink ref="D263" r:id="rId2" display="1. Go to https://ilyn.global/ &#10; 2. Click &quot;ACCESSORIES&quot; menu &#10; 3. Click &quot;Handbags&quot; section &#10; 4. Observe displayed products"/>
    <hyperlink ref="D264" r:id="rId2" display="1. Go to https://ilyn.global/ &#10; 2. Click &quot;ACCESSORIES&quot; menu &#10; 3. Observe all listed sections under ACCESSORIES menu"/>
    <hyperlink ref="D265" r:id="rId2" display="1. Go to https://ilyn.global/ &#10; 2. Click &quot;ACCESSORIES&quot; menu &#10; 3. Click &quot;All Accessories&quot; section"/>
    <hyperlink ref="D266" r:id="rId2" display="1. Go to https://ilyn.global/ &#10; 2. Click &quot;ACCESSORIES&quot; menu &#10; 3. Click &quot;All Accessories&quot; section &#10; 4. Observe all products"/>
    <hyperlink ref="D267" r:id="rId2" display="1. Go to https://ilyn.global/ &#10; 2. Click &quot;ACCESSORIES&quot; menu &#10; 3. Click &quot;Bags&quot; section"/>
    <hyperlink ref="D268" r:id="rId2" display="1. Go to https://ilyn.global/ &#10; 2. Click &quot;ACCESSORIES&quot; menu &#10; 3. Click &quot;Bags&quot; section &#10; 4. Observe displayed products"/>
    <hyperlink ref="D269" r:id="rId2" display="1. Go to https://ilyn.global/ &#10; 2. Click &quot;ACCESSORIES&quot; menu &#10; 3. Click &quot;Home Decor&quot; section"/>
    <hyperlink ref="D270" r:id="rId2" display="1. Go to https://ilyn.global/ &#10; 2. Click &quot;ACCESSORIES&quot; menu &#10; 3. Click &quot;Home Decor&quot; section &#10; 4. Observe displayed products"/>
    <hyperlink ref="D271" r:id="rId2" display="1. Go to https://ilyn.global/ &#10; 2. Click &quot;ACCESSORIES&quot; menu &#10; 3. Click &quot;Watches&quot; section"/>
    <hyperlink ref="D272" r:id="rId2" display="1. Go to https://ilyn.global/ &#10; 2. Click &quot;ACCESSORIES&quot; menu &#10; 3. Click &quot;Watches&quot; section &#10; 4. Observe displayed products"/>
    <hyperlink ref="D273" r:id="rId2" display="1. Go to https://ilyn.global/ &#10; 2. Click &quot;ACCESSORIES&quot; menu &#10; 3. Click &quot;Wallets&quot; section"/>
    <hyperlink ref="D274" r:id="rId2" display="1. Go to https://ilyn.global/ &#10; 2. Click &quot;ACCESSORIES&quot; menu &#10; 3. Click &quot;Wallets&quot; section &#10; 4. Observe displayed products"/>
    <hyperlink ref="D275" r:id="rId2" display="1. Go to https://ilyn.global/ &#10; 2. Click &quot;ACCESSORIES&quot; menu &#10; 3. Click &quot;Cardholder&quot; section"/>
    <hyperlink ref="D276" r:id="rId2" display="1. Go to https://ilyn.global/ &#10; 2. Click &quot;ACCESSORIES&quot; menu &#10; 3. Click &quot;Cardholder&quot; section &#10; 4. Observe displayed products"/>
    <hyperlink ref="D277" r:id="rId2" display="1. Go to https://ilyn.global/ &#10; 2. Click &quot;ACCESSORIES&quot; menu &#10; 3. Click &quot;Prayer Caps&quot; section"/>
    <hyperlink ref="D280" r:id="rId2" display="1. Go to https://ilyn.global/ &#10; 2. Click &quot;Furniture&quot; menu &#10; 3. Observe the sections listed under Furniture"/>
    <hyperlink ref="D281" r:id="rId2" display="1. Go to https://ilyn.global/ &#10; 2. Click &quot;Furniture&quot; menu &#10; 3. Hover over or click &quot;All Products&quot; section &#10; 4. Observe variants"/>
    <hyperlink ref="D282" r:id="rId2" display="1. Go to https://ilyn.global/ &#10; 2. Click &quot;Furniture&quot; menu &#10; 3. Click &quot;All Products&quot; section"/>
    <hyperlink ref="D283" r:id="rId2" display="1. Go to https://ilyn.global/ &#10; 2. Click &quot;Furniture&quot; menu &#10; 3. Click &quot;All Products&quot; section &#10; 4. Observe displayed products"/>
    <hyperlink ref="D284" r:id="rId2" display="1. Go to https://ilyn.global/ &#10; 2. Click &quot;Furniture&quot; menu &#10; 3. Hover over or click &quot;Luxury&quot; section &#10; 4. Observe variants"/>
    <hyperlink ref="D285" r:id="rId2" display="1. Go to https://ilyn.global/ &#10; 2. Click &quot;Furniture&quot; menu &#10; 3. Click &quot;Luxury&quot; section"/>
    <hyperlink ref="D286" r:id="rId2" display="1. Go to https://ilyn.global/ &#10; 2. Click &quot;Furniture&quot; menu &#10; 3. Click &quot;Luxury&quot; section &#10; 4. Observe displayed products"/>
    <hyperlink ref="D287" r:id="rId2" display="1. Go to https://ilyn.global/ &#10; 2. Click &quot;Furniture&quot; menu &#10; 3. Hover over or click &quot;Premium&quot; section &#10; 4. Observe variants"/>
    <hyperlink ref="D288" r:id="rId2" display="1. Go to https://ilyn.global/ &#10; 2. Click &quot;Furniture&quot; menu &#10; 3. Click &quot;Premium&quot; section"/>
    <hyperlink ref="D289" r:id="rId2" display="1. Go to https://ilyn.global/ &#10; 2. Click &quot;Furniture&quot; menu &#10; 3. Click &quot;Premium&quot; section &#10; 4. Observe displayed products"/>
    <hyperlink ref="D290" r:id="rId2" display="1. Go to https://ilyn.global/ &#10; 2. Click &quot;Furniture&quot; menu &#10; 3. Hover over or click &quot;Business&quot; section &#10; 4. Observe variants"/>
    <hyperlink ref="D291" r:id="rId2" display="1. Go to https://ilyn.global/ &#10; 2. Click &quot;Furniture&quot; menu &#10; 3. Click &quot;Business&quot; section"/>
    <hyperlink ref="D292" r:id="rId2" display="1. Go to https://ilyn.global/ &#10; 2. Click &quot;Furniture&quot; menu &#10; 3. Click &quot;Business&quot; section &#10; 4. Observe displayed products"/>
    <hyperlink ref="D293" r:id="rId2" display="1. Go to https://ilyn.global/ &#10; 2. Click &quot;Furniture&quot; menu &#10; 3. Hover over or click &quot;Industriè&quot; section &#10; 4. Observe variants"/>
    <hyperlink ref="D294" r:id="rId2" display="1. Go to https://ilyn.global/ &#10; 2. Click &quot;Furniture&quot; menu &#10; 3. Click &quot;Industriè&quot; section"/>
    <hyperlink ref="D295" r:id="rId2" display="1. Go to https://ilyn.global/ &#10; 2. Click &quot;Furniture&quot; menu &#10; 3. Click &quot;Industriè&quot; section &#10; 4. Observe displayed products"/>
    <hyperlink ref="D298" r:id="rId2" display="1. Go to https://ilyn.global/ &#10; 2. Click &quot;GIFT CARD&quot; menu &#10;"/>
    <hyperlink ref="D299" r:id="rId2" display="1. Go to https://ilyn.global/ &#10; 2. Click &quot;GIFT CARD&quot; menu &#10; 3. Observe displayed products"/>
    <hyperlink ref="D302" r:id="rId2" display="1. Go to https://ilyn.global/ &#10; 2. Click &quot;COTTOCOOL TECHNOLOGY&quot; menu"/>
    <hyperlink ref="D303" r:id="rId2" display="1. Go to https://ilyn.global/ &#10; 2. Click &quot;COTTOCOOL TECHNOLOGY&quot; menu &#10; 3. Observe displayed products"/>
    <hyperlink ref="D306" r:id="rId2" display="1. Go to https://ilyn.global/ &#10; 2. Click &quot;APPS&quot; menu &#10; 3. Click &quot;Waqt Al Salaah&quot; section &#10; 4. Observe &quot;Waqt Al Salaah&quot; and &quot;Memorize Quran&quot; sections"/>
    <hyperlink ref="D307" r:id="rId2" display="1. Go to https://ilyn.global/ &#10; 2. Click &quot;APPS&quot; menu &#10; 3. Click &quot;Waqt Al Salaah&quot; section"/>
    <hyperlink ref="D308" r:id="rId2" display="1. Go to https://ilyn.global/ &#10; 2. Click &quot;APPS&quot; menu &#10; 3. Click &quot;Waqt Al Salaah&quot; section &#10; 4. Observe the logo"/>
    <hyperlink ref="D309" r:id="rId2" display="1. Go to https://ilyn.global/ &#10; 2. Click &quot;APPS&quot; menu &#10; 3. Click &quot;Waqt Al Salaah&quot; section &#10; 4. Observe the page title"/>
    <hyperlink ref="D310" r:id="rId2" display="1. Go to https://ilyn.global/ &#10; 2. Click &quot;APPS&quot; menu &#10; 3. Click &quot;Waqt Al Salaah&quot; section &#10; 4. Observe the description text"/>
    <hyperlink ref="D311" r:id="rId2" display="1. Go to https://ilyn.global/ &#10; 2. Click &quot;APPS&quot; menu &#10; 3. Click &quot;Waqt Al Salaah&quot; section &#10; 4. Observe the mobile mockup image"/>
    <hyperlink ref="D312" r:id="rId2" display="1. Go to https://ilyn.global/ &#10; 2. Click &quot;APPS&quot; menu &#10; 3. Click &quot;Waqt Al Salaah&quot; section &#10; 4. Observe the Play Store button"/>
    <hyperlink ref="D313" r:id="rId2" display="1. Go to https://ilyn.global/ &#10; 2. Click &quot;APPS&quot; menu &#10; 3. Click &quot;Waqt Al Salaah&quot; section &#10; 4. Observe the App Store button"/>
    <hyperlink ref="D314" r:id="rId2" display="1. Go to https://ilyn.global/ &#10; 2. Click &quot;APPS&quot; menu &#10; 3. Click &quot;Waqt Al Salaah&quot; section &#10; 4. Click App Store button"/>
    <hyperlink ref="D315" r:id="rId2" display="1. Go to https://ilyn.global/ &#10; 2. Click &quot;APPS&quot; menu &#10; 3. Click &quot;Waqt Al Salaah&quot; section"/>
    <hyperlink ref="D316" r:id="rId2" display="1. Go to https://ilyn.global/ &#10; 2. Click &quot;APPS&quot; menu &#10; 3. Click &quot;Waqt Al Salaah&quot; section &#10; 4. Observe the Qibla Locator card"/>
    <hyperlink ref="D317" r:id="rId2" display="1. Go to https://ilyn.global/ &#10; 2. Click &quot;APPS&quot; menu &#10; 3. Click &quot;Waqt Al Salaah&quot; section &#10; 4. Observe the Tasbih card"/>
    <hyperlink ref="D318" r:id="rId2" display="1. Go to https://ilyn.global/ &#10; 2. Click &quot;APPS&quot; menu &#10; 3. Click &quot;Waqt Al Salaah&quot; section &#10; 4. Observe the Suhoor and Iftar Time card"/>
    <hyperlink ref="D319" r:id="rId2" display="1. Go to https://ilyn.global/ &#10; 2. Click &quot;APPS&quot; menu &#10; 3. Click &quot;Waqt Al Salaah&quot; section &#10; 4. Observe the Hijri Calendar card"/>
    <hyperlink ref="D320" r:id="rId2" display="1. Go to https://ilyn.global/ &#10; 2. Click &quot;APPS&quot; menu &#10; 3. Click &quot;Waqt Al Salaah&quot; section &#10; 4. Observe the Find Mosque Nearby card"/>
    <hyperlink ref="D321" r:id="rId2" display="1. Go to https://ilyn.global/ &#10; 2. Click &quot;APPS&quot; menu &#10; 3. Click &quot;Waqt Al Salaah&quot; section &#10; 4. Observe the background map"/>
    <hyperlink ref="D322" r:id="rId2" display="1. Go to https://ilyn.global/ &#10; 2. Click &quot;APPS&quot; menu &#10; 3. Click &quot;Waqt Al Salaah&quot; section &#10; 4. Observe the map line graphic"/>
    <hyperlink ref="D323" r:id="rId2" display="1. Go to https://ilyn.global/ &#10; 2. Click &quot;APPS&quot; menu &#10; 3. Click &quot;Waqt Al Salaah&quot; section &#10; 4. Observe the color theme description"/>
    <hyperlink ref="D324" r:id="rId2" display="1. Go to https://ilyn.global/ &#10; 2. Click &quot;APPS&quot; menu &#10; 3. Click &quot;Waqt Al Salaah&quot; section &#10; 4. Observe the Light Mode toggle button"/>
    <hyperlink ref="D325" r:id="rId2" display="1. Go to https://ilyn.global/ &#10; 2. Click &quot;APPS&quot; menu &#10; 3. Click &quot;Waqt Al Salaah&quot; section &#10; 4. Click Light Mode toggle"/>
    <hyperlink ref="D326" r:id="rId2" display="1. Go to https://ilyn.global/ &#10; 2. Click &quot;APPS&quot; menu &#10; 3. Click &quot;Waqt Al Salaah&quot; section &#10; 4. Click Light Mode toggle"/>
    <hyperlink ref="D327" r:id="rId2" display="1. Go to https://ilyn.global/ &#10; 2. Click &quot;APPS&quot; menu &#10; 3. Click &quot;Waqt Al Salaah&quot; section &#10; 4. Observe radio buttons"/>
    <hyperlink ref="D328" r:id="rId2" display="1. Go to https://ilyn.global/ &#10; 2. Click &quot;APPS&quot; menu &#10; 3. Click &quot;Waqt Al Salaah&quot; section &#10; 4. Click each radio button and observe image"/>
    <hyperlink ref="D329" r:id="rId2" display="1. Go to https://ilyn.global/ &#10; 2. Click &quot;APPS&quot; menu &#10; 3. Click &quot;Waqt Al Salaah&quot; section &#10; 4. Select multiple radio buttons"/>
    <hyperlink ref="D330" r:id="rId2" display="1. Go to https://ilyn.global/ &#10; 2. Click &quot;APPS&quot; menu &#10; 3. Click &quot;Waqt Al Salaah&quot; section &#10; 4. Observe the image"/>
    <hyperlink ref="D331" r:id="rId2" display="1. Go to https://ilyn.global/ &#10; 2. Click &quot;APPS&quot; menu &#10; 3. Click &quot;Waqt Al Salaah&quot; section &#10; 4. Observe the &quot;Powered by illiyeen&quot; image"/>
    <hyperlink ref="D332" r:id="rId2" display="1. Go to https://ilyn.global/ &#10; 2. Click &quot;APPS&quot; menu &#10; 3. Click &quot;Waqt Al Salaah&quot; section &#10; 4. Observe the text"/>
    <hyperlink ref="D333" r:id="rId2" display="1. Go to https://ilyn.global/ &#10; 2. Click &quot;APPS&quot; menu &#10; 3. Click &quot;Waqt Al Salaah&quot; section &#10; 4. Observe the text"/>
    <hyperlink ref="D334" r:id="rId2" display="1. Go to https://ilyn.global/ &#10; 2. Click &quot;APPS&quot; menu &#10; 3. Click &quot;Waqt Al Salaah&quot; section &#10; 4. Observe the QR scan code"/>
    <hyperlink ref="D335" r:id="rId2" display="1. Go to https://ilyn.global/ &#10; 2. Click &quot;APPS&quot; menu &#10; 3. Click &quot;Waqt Al Salaah&quot; section &#10; 4. Observe the Play Store button"/>
    <hyperlink ref="D336" r:id="rId2" display="1. Go to https://ilyn.global/ &#10; 2. Click &quot;APPS&quot; menu &#10; 3. Click &quot;Waqt Al Salaah&quot; section &#10; 4. Observe the App Store button"/>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A346"/>
  <sheetViews>
    <sheetView workbookViewId="0">
      <selection activeCell="E3" sqref="E3"/>
    </sheetView>
  </sheetViews>
  <sheetFormatPr defaultColWidth="8.88888888888889" defaultRowHeight="13.2"/>
  <cols>
    <col min="1" max="1" width="19.4444444444444" style="79" customWidth="1"/>
    <col min="2" max="2" width="20.6666666666667" style="79" customWidth="1"/>
    <col min="3" max="3" width="28.6666666666667" style="79" customWidth="1"/>
    <col min="4" max="4" width="28" style="79" customWidth="1"/>
    <col min="5" max="5" width="22.8888888888889" style="79" customWidth="1"/>
    <col min="6" max="6" width="22.2222222222222" style="79" customWidth="1"/>
    <col min="7" max="7" width="16.6666666666667" style="79" customWidth="1"/>
    <col min="8" max="8" width="15.3333333333333" style="79" customWidth="1"/>
    <col min="9" max="16383" width="8.88888888888889" style="79"/>
  </cols>
  <sheetData>
    <row r="1" s="76" customFormat="1" ht="25.95" customHeight="1" spans="1:29">
      <c r="A1" s="80" t="s">
        <v>0</v>
      </c>
      <c r="B1" s="80"/>
      <c r="C1" s="81" t="s">
        <v>1</v>
      </c>
      <c r="D1" s="82" t="s">
        <v>2</v>
      </c>
      <c r="E1" s="83">
        <v>45938</v>
      </c>
      <c r="F1" s="80"/>
      <c r="G1" s="82" t="s">
        <v>1092</v>
      </c>
      <c r="H1" s="83"/>
      <c r="I1" s="101"/>
      <c r="J1" s="101"/>
      <c r="K1" s="101"/>
      <c r="L1" s="101"/>
      <c r="M1" s="101"/>
      <c r="N1" s="101"/>
      <c r="O1" s="101"/>
      <c r="P1" s="101"/>
      <c r="Q1" s="101"/>
      <c r="R1" s="101"/>
      <c r="S1" s="101"/>
      <c r="T1" s="101"/>
      <c r="U1" s="101"/>
      <c r="V1" s="101"/>
      <c r="W1" s="101"/>
      <c r="X1" s="101"/>
      <c r="Y1" s="101"/>
      <c r="Z1" s="105"/>
      <c r="AA1" s="105"/>
      <c r="AB1" s="105"/>
      <c r="AC1" s="105"/>
    </row>
    <row r="2" s="76" customFormat="1" ht="27" customHeight="1" spans="1:29">
      <c r="A2" s="80" t="s">
        <v>6</v>
      </c>
      <c r="B2" s="80"/>
      <c r="C2" s="84"/>
      <c r="D2" s="82" t="s">
        <v>8</v>
      </c>
      <c r="E2" s="85" t="s">
        <v>4</v>
      </c>
      <c r="F2" s="80"/>
      <c r="G2" s="82"/>
      <c r="H2" s="86"/>
      <c r="I2" s="101"/>
      <c r="J2" s="101"/>
      <c r="K2" s="101"/>
      <c r="L2" s="101"/>
      <c r="M2" s="101"/>
      <c r="N2" s="101"/>
      <c r="O2" s="101"/>
      <c r="P2" s="101"/>
      <c r="Q2" s="101"/>
      <c r="R2" s="101"/>
      <c r="S2" s="101"/>
      <c r="T2" s="101"/>
      <c r="U2" s="101"/>
      <c r="V2" s="101"/>
      <c r="W2" s="101"/>
      <c r="X2" s="101"/>
      <c r="Y2" s="101"/>
      <c r="Z2" s="105"/>
      <c r="AA2" s="105"/>
      <c r="AB2" s="105"/>
      <c r="AC2" s="105"/>
    </row>
    <row r="3" s="76" customFormat="1" ht="31.95" customHeight="1" spans="1:29">
      <c r="A3" s="87"/>
      <c r="B3" s="87"/>
      <c r="C3" s="88"/>
      <c r="D3" s="82" t="s">
        <v>12</v>
      </c>
      <c r="E3" s="84" t="s">
        <v>13</v>
      </c>
      <c r="F3" s="87"/>
      <c r="G3" s="82" t="s">
        <v>14</v>
      </c>
      <c r="H3" s="84">
        <v>1</v>
      </c>
      <c r="I3" s="101"/>
      <c r="J3" s="101"/>
      <c r="K3" s="101"/>
      <c r="L3" s="101"/>
      <c r="M3" s="101"/>
      <c r="N3" s="101"/>
      <c r="O3" s="101"/>
      <c r="P3" s="101"/>
      <c r="Q3" s="101"/>
      <c r="R3" s="101"/>
      <c r="S3" s="101"/>
      <c r="T3" s="101"/>
      <c r="U3" s="101"/>
      <c r="V3" s="101"/>
      <c r="W3" s="101"/>
      <c r="X3" s="101"/>
      <c r="Y3" s="101"/>
      <c r="Z3" s="105"/>
      <c r="AA3" s="105"/>
      <c r="AB3" s="105"/>
      <c r="AC3" s="105"/>
    </row>
    <row r="4" s="76" customFormat="1" ht="36" customHeight="1" spans="1:29">
      <c r="A4" s="80" t="s">
        <v>16</v>
      </c>
      <c r="B4" s="80"/>
      <c r="C4" s="84"/>
      <c r="D4" s="82" t="s">
        <v>17</v>
      </c>
      <c r="E4" s="84"/>
      <c r="F4" s="80"/>
      <c r="G4" s="82" t="s">
        <v>18</v>
      </c>
      <c r="H4" s="88" t="s">
        <v>19</v>
      </c>
      <c r="I4" s="101"/>
      <c r="J4" s="101"/>
      <c r="K4" s="101"/>
      <c r="L4" s="101"/>
      <c r="M4" s="101"/>
      <c r="N4" s="101"/>
      <c r="O4" s="101"/>
      <c r="P4" s="101"/>
      <c r="Q4" s="101"/>
      <c r="R4" s="101"/>
      <c r="S4" s="101"/>
      <c r="T4" s="101"/>
      <c r="U4" s="101"/>
      <c r="V4" s="101"/>
      <c r="W4" s="101"/>
      <c r="X4" s="101"/>
      <c r="Y4" s="101"/>
      <c r="Z4" s="105"/>
      <c r="AA4" s="105"/>
      <c r="AB4" s="105"/>
      <c r="AC4" s="105"/>
    </row>
    <row r="5" s="77" customFormat="1" ht="33" customHeight="1" spans="1:29">
      <c r="A5" s="89" t="s">
        <v>23</v>
      </c>
      <c r="B5" s="89"/>
      <c r="C5" s="89"/>
      <c r="D5" s="89"/>
      <c r="E5" s="89"/>
      <c r="F5" s="89"/>
      <c r="G5" s="89"/>
      <c r="H5" s="89"/>
      <c r="I5" s="102"/>
      <c r="J5" s="102"/>
      <c r="K5" s="102"/>
      <c r="L5" s="102"/>
      <c r="M5" s="102"/>
      <c r="N5" s="102"/>
      <c r="O5" s="102"/>
      <c r="P5" s="102"/>
      <c r="Q5" s="102"/>
      <c r="R5" s="102"/>
      <c r="S5" s="102"/>
      <c r="T5" s="102"/>
      <c r="U5" s="102"/>
      <c r="V5" s="102"/>
      <c r="W5" s="102"/>
      <c r="X5" s="102"/>
      <c r="Y5" s="102"/>
      <c r="Z5" s="106"/>
      <c r="AA5" s="106"/>
      <c r="AB5" s="106"/>
      <c r="AC5" s="106"/>
    </row>
    <row r="6" customFormat="1" ht="22.05" customHeight="1" spans="1:29">
      <c r="A6" s="90" t="s">
        <v>24</v>
      </c>
      <c r="B6" s="90" t="s">
        <v>25</v>
      </c>
      <c r="C6" s="90" t="s">
        <v>26</v>
      </c>
      <c r="D6" s="90" t="s">
        <v>27</v>
      </c>
      <c r="E6" s="90" t="s">
        <v>28</v>
      </c>
      <c r="F6" s="91" t="s">
        <v>25</v>
      </c>
      <c r="G6" s="91" t="s">
        <v>1093</v>
      </c>
      <c r="H6" s="91" t="s">
        <v>1094</v>
      </c>
      <c r="I6" s="103"/>
      <c r="J6" s="103"/>
      <c r="K6" s="103"/>
      <c r="L6" s="103"/>
      <c r="M6" s="103"/>
      <c r="N6" s="103"/>
      <c r="O6" s="103"/>
      <c r="P6" s="103"/>
      <c r="Q6" s="103"/>
      <c r="R6" s="103"/>
      <c r="S6" s="103"/>
      <c r="T6" s="103"/>
      <c r="U6" s="103"/>
      <c r="V6" s="103"/>
      <c r="W6" s="103"/>
      <c r="X6" s="103"/>
      <c r="Y6" s="103"/>
      <c r="Z6" s="103"/>
      <c r="AA6" s="103"/>
      <c r="AB6" s="78"/>
      <c r="AC6" s="78"/>
    </row>
    <row r="7" ht="55.2" spans="1:29">
      <c r="A7" s="67" t="s">
        <v>33</v>
      </c>
      <c r="B7" s="68" t="s">
        <v>34</v>
      </c>
      <c r="C7" s="68" t="s">
        <v>35</v>
      </c>
      <c r="D7" s="69" t="s">
        <v>1095</v>
      </c>
      <c r="E7" s="68" t="s">
        <v>37</v>
      </c>
      <c r="F7" s="72" t="s">
        <v>1096</v>
      </c>
      <c r="G7" s="72" t="s">
        <v>1097</v>
      </c>
      <c r="H7" s="72" t="s">
        <v>1098</v>
      </c>
      <c r="I7" s="104"/>
      <c r="J7" s="104"/>
      <c r="K7" s="104"/>
      <c r="L7" s="104"/>
      <c r="M7" s="104"/>
      <c r="N7" s="104"/>
      <c r="O7" s="104"/>
      <c r="P7" s="104"/>
      <c r="Q7" s="104"/>
      <c r="R7" s="104"/>
      <c r="S7" s="104"/>
      <c r="T7" s="104"/>
      <c r="U7" s="104"/>
      <c r="V7" s="104"/>
      <c r="W7" s="104"/>
      <c r="X7" s="104"/>
      <c r="Y7" s="104"/>
      <c r="Z7" s="104"/>
      <c r="AA7" s="104"/>
      <c r="AB7" s="104"/>
      <c r="AC7" s="104"/>
    </row>
    <row r="8" ht="55.2" spans="1:8">
      <c r="A8" s="67" t="s">
        <v>40</v>
      </c>
      <c r="B8" s="68" t="s">
        <v>41</v>
      </c>
      <c r="C8" s="68" t="s">
        <v>35</v>
      </c>
      <c r="D8" s="73" t="s">
        <v>42</v>
      </c>
      <c r="E8" s="68" t="s">
        <v>43</v>
      </c>
      <c r="F8" s="72" t="s">
        <v>1099</v>
      </c>
      <c r="G8" s="72" t="s">
        <v>1100</v>
      </c>
      <c r="H8" s="72" t="s">
        <v>1098</v>
      </c>
    </row>
    <row r="9" ht="138" spans="1:8">
      <c r="A9" s="67" t="s">
        <v>44</v>
      </c>
      <c r="B9" s="68" t="s">
        <v>45</v>
      </c>
      <c r="C9" s="68" t="s">
        <v>35</v>
      </c>
      <c r="D9" s="73" t="s">
        <v>46</v>
      </c>
      <c r="E9" s="68" t="s">
        <v>47</v>
      </c>
      <c r="F9" s="72" t="s">
        <v>1101</v>
      </c>
      <c r="G9" s="72" t="s">
        <v>1102</v>
      </c>
      <c r="H9" s="72" t="s">
        <v>1103</v>
      </c>
    </row>
    <row r="10" ht="55.2" spans="1:8">
      <c r="A10" s="67" t="s">
        <v>48</v>
      </c>
      <c r="B10" s="68" t="s">
        <v>49</v>
      </c>
      <c r="C10" s="68" t="s">
        <v>35</v>
      </c>
      <c r="D10" s="73" t="s">
        <v>50</v>
      </c>
      <c r="E10" s="68" t="s">
        <v>51</v>
      </c>
      <c r="F10" s="72" t="s">
        <v>1104</v>
      </c>
      <c r="G10" s="72" t="s">
        <v>1102</v>
      </c>
      <c r="H10" s="72" t="s">
        <v>1103</v>
      </c>
    </row>
    <row r="11" ht="82.8" spans="1:8">
      <c r="A11" s="67" t="s">
        <v>52</v>
      </c>
      <c r="B11" s="68" t="s">
        <v>53</v>
      </c>
      <c r="C11" s="68" t="s">
        <v>35</v>
      </c>
      <c r="D11" s="73" t="s">
        <v>54</v>
      </c>
      <c r="E11" s="68" t="s">
        <v>55</v>
      </c>
      <c r="F11" s="72" t="s">
        <v>53</v>
      </c>
      <c r="G11" s="72" t="s">
        <v>1102</v>
      </c>
      <c r="H11" s="72" t="s">
        <v>1103</v>
      </c>
    </row>
    <row r="12" ht="41.4" spans="1:8">
      <c r="A12" s="67" t="s">
        <v>56</v>
      </c>
      <c r="B12" s="68" t="s">
        <v>57</v>
      </c>
      <c r="C12" s="68" t="s">
        <v>35</v>
      </c>
      <c r="D12" s="73" t="s">
        <v>58</v>
      </c>
      <c r="E12" s="68" t="s">
        <v>59</v>
      </c>
      <c r="F12" s="72" t="s">
        <v>1105</v>
      </c>
      <c r="G12" s="72" t="s">
        <v>1100</v>
      </c>
      <c r="H12" s="72" t="s">
        <v>1098</v>
      </c>
    </row>
    <row r="13" ht="55.2" spans="1:8">
      <c r="A13" s="67" t="s">
        <v>60</v>
      </c>
      <c r="B13" s="68" t="s">
        <v>61</v>
      </c>
      <c r="C13" s="68" t="s">
        <v>35</v>
      </c>
      <c r="D13" s="73" t="s">
        <v>62</v>
      </c>
      <c r="E13" s="68" t="s">
        <v>63</v>
      </c>
      <c r="F13" s="72" t="s">
        <v>61</v>
      </c>
      <c r="G13" s="72" t="s">
        <v>1097</v>
      </c>
      <c r="H13" s="72" t="s">
        <v>1098</v>
      </c>
    </row>
    <row r="14" ht="55.2" spans="1:8">
      <c r="A14" s="67" t="s">
        <v>64</v>
      </c>
      <c r="B14" s="68" t="s">
        <v>65</v>
      </c>
      <c r="C14" s="68" t="s">
        <v>35</v>
      </c>
      <c r="D14" s="73" t="s">
        <v>66</v>
      </c>
      <c r="E14" s="68" t="s">
        <v>67</v>
      </c>
      <c r="F14" s="72" t="s">
        <v>1106</v>
      </c>
      <c r="G14" s="72" t="s">
        <v>1107</v>
      </c>
      <c r="H14" s="72" t="s">
        <v>1103</v>
      </c>
    </row>
    <row r="15" ht="82.8" spans="1:8">
      <c r="A15" s="67" t="s">
        <v>68</v>
      </c>
      <c r="B15" s="68" t="s">
        <v>69</v>
      </c>
      <c r="C15" s="68" t="s">
        <v>35</v>
      </c>
      <c r="D15" s="73" t="s">
        <v>70</v>
      </c>
      <c r="E15" s="68" t="s">
        <v>71</v>
      </c>
      <c r="F15" s="72" t="s">
        <v>1108</v>
      </c>
      <c r="G15" s="72" t="s">
        <v>1102</v>
      </c>
      <c r="H15" s="72" t="s">
        <v>1103</v>
      </c>
    </row>
    <row r="16" ht="55.2" spans="1:8">
      <c r="A16" s="67" t="s">
        <v>72</v>
      </c>
      <c r="B16" s="68" t="s">
        <v>73</v>
      </c>
      <c r="C16" s="68" t="s">
        <v>35</v>
      </c>
      <c r="D16" s="73" t="s">
        <v>74</v>
      </c>
      <c r="E16" s="68" t="s">
        <v>75</v>
      </c>
      <c r="F16" s="72" t="s">
        <v>1109</v>
      </c>
      <c r="G16" s="72" t="s">
        <v>1097</v>
      </c>
      <c r="H16" s="72" t="s">
        <v>1098</v>
      </c>
    </row>
    <row r="17" ht="96.6" spans="1:8">
      <c r="A17" s="67" t="s">
        <v>76</v>
      </c>
      <c r="B17" s="68" t="s">
        <v>77</v>
      </c>
      <c r="C17" s="68" t="s">
        <v>35</v>
      </c>
      <c r="D17" s="68" t="s">
        <v>78</v>
      </c>
      <c r="E17" s="68" t="s">
        <v>79</v>
      </c>
      <c r="F17" s="72" t="s">
        <v>1110</v>
      </c>
      <c r="G17" s="72" t="s">
        <v>1100</v>
      </c>
      <c r="H17" s="72" t="s">
        <v>1098</v>
      </c>
    </row>
    <row r="18" ht="82.8" spans="1:8">
      <c r="A18" s="67" t="s">
        <v>81</v>
      </c>
      <c r="B18" s="68" t="s">
        <v>82</v>
      </c>
      <c r="C18" s="68" t="s">
        <v>35</v>
      </c>
      <c r="D18" s="73" t="s">
        <v>83</v>
      </c>
      <c r="E18" s="68" t="s">
        <v>84</v>
      </c>
      <c r="F18" s="72" t="s">
        <v>1111</v>
      </c>
      <c r="G18" s="72" t="s">
        <v>1100</v>
      </c>
      <c r="H18" s="72" t="s">
        <v>1098</v>
      </c>
    </row>
    <row r="19" ht="82.8" spans="1:8">
      <c r="A19" s="67" t="s">
        <v>85</v>
      </c>
      <c r="B19" s="68" t="s">
        <v>86</v>
      </c>
      <c r="C19" s="68" t="s">
        <v>87</v>
      </c>
      <c r="D19" s="73" t="s">
        <v>88</v>
      </c>
      <c r="E19" s="68" t="s">
        <v>89</v>
      </c>
      <c r="F19" s="72" t="s">
        <v>86</v>
      </c>
      <c r="G19" s="72" t="s">
        <v>1097</v>
      </c>
      <c r="H19" s="72" t="s">
        <v>1098</v>
      </c>
    </row>
    <row r="20" ht="82.8" spans="1:8">
      <c r="A20" s="67" t="s">
        <v>90</v>
      </c>
      <c r="B20" s="68" t="s">
        <v>91</v>
      </c>
      <c r="C20" s="68" t="s">
        <v>92</v>
      </c>
      <c r="D20" s="73" t="s">
        <v>93</v>
      </c>
      <c r="E20" s="68" t="s">
        <v>94</v>
      </c>
      <c r="F20" s="72" t="s">
        <v>91</v>
      </c>
      <c r="G20" s="72" t="s">
        <v>1097</v>
      </c>
      <c r="H20" s="72" t="s">
        <v>1098</v>
      </c>
    </row>
    <row r="21" ht="69" spans="1:8">
      <c r="A21" s="67" t="s">
        <v>95</v>
      </c>
      <c r="B21" s="68" t="s">
        <v>96</v>
      </c>
      <c r="C21" s="68" t="s">
        <v>35</v>
      </c>
      <c r="D21" s="73" t="s">
        <v>97</v>
      </c>
      <c r="E21" s="68" t="s">
        <v>98</v>
      </c>
      <c r="F21" s="72" t="s">
        <v>1112</v>
      </c>
      <c r="G21" s="72" t="s">
        <v>1097</v>
      </c>
      <c r="H21" s="72" t="s">
        <v>1098</v>
      </c>
    </row>
    <row r="22" ht="96.6" spans="1:8">
      <c r="A22" s="67" t="s">
        <v>99</v>
      </c>
      <c r="B22" s="68" t="s">
        <v>100</v>
      </c>
      <c r="C22" s="68" t="s">
        <v>35</v>
      </c>
      <c r="D22" s="73" t="s">
        <v>101</v>
      </c>
      <c r="E22" s="68" t="s">
        <v>102</v>
      </c>
      <c r="F22" s="72" t="s">
        <v>1113</v>
      </c>
      <c r="G22" s="72" t="s">
        <v>1100</v>
      </c>
      <c r="H22" s="72" t="s">
        <v>1098</v>
      </c>
    </row>
    <row r="23" ht="96.6" spans="1:8">
      <c r="A23" s="67" t="s">
        <v>103</v>
      </c>
      <c r="B23" s="92" t="s">
        <v>104</v>
      </c>
      <c r="C23" s="68">
        <v>1758989465</v>
      </c>
      <c r="D23" s="92" t="s">
        <v>105</v>
      </c>
      <c r="E23" s="92" t="s">
        <v>106</v>
      </c>
      <c r="F23" s="72" t="s">
        <v>104</v>
      </c>
      <c r="G23" s="72" t="s">
        <v>1097</v>
      </c>
      <c r="H23" s="72" t="s">
        <v>1098</v>
      </c>
    </row>
    <row r="24" ht="96.6" spans="1:8">
      <c r="A24" s="67" t="s">
        <v>107</v>
      </c>
      <c r="B24" s="92" t="s">
        <v>108</v>
      </c>
      <c r="C24" s="93" t="s">
        <v>109</v>
      </c>
      <c r="D24" s="73" t="s">
        <v>110</v>
      </c>
      <c r="E24" s="92" t="s">
        <v>111</v>
      </c>
      <c r="F24" s="72" t="s">
        <v>108</v>
      </c>
      <c r="G24" s="72" t="s">
        <v>1097</v>
      </c>
      <c r="H24" s="72" t="s">
        <v>1098</v>
      </c>
    </row>
    <row r="25" ht="82.8" spans="1:8">
      <c r="A25" s="67" t="s">
        <v>112</v>
      </c>
      <c r="B25" s="92" t="s">
        <v>113</v>
      </c>
      <c r="C25" s="68" t="s">
        <v>35</v>
      </c>
      <c r="D25" s="73" t="s">
        <v>114</v>
      </c>
      <c r="E25" s="92" t="s">
        <v>115</v>
      </c>
      <c r="F25" s="72" t="s">
        <v>1114</v>
      </c>
      <c r="G25" s="72" t="s">
        <v>1100</v>
      </c>
      <c r="H25" s="72" t="s">
        <v>1098</v>
      </c>
    </row>
    <row r="26" ht="69" spans="1:8">
      <c r="A26" s="67" t="s">
        <v>116</v>
      </c>
      <c r="B26" s="92" t="s">
        <v>117</v>
      </c>
      <c r="C26" s="68" t="s">
        <v>35</v>
      </c>
      <c r="D26" s="73" t="s">
        <v>114</v>
      </c>
      <c r="E26" s="92" t="s">
        <v>118</v>
      </c>
      <c r="F26" s="72" t="s">
        <v>117</v>
      </c>
      <c r="G26" s="72" t="s">
        <v>1097</v>
      </c>
      <c r="H26" s="72" t="s">
        <v>1098</v>
      </c>
    </row>
    <row r="27" ht="96.6" spans="1:8">
      <c r="A27" s="67" t="s">
        <v>119</v>
      </c>
      <c r="B27" s="92" t="s">
        <v>120</v>
      </c>
      <c r="C27" s="68" t="s">
        <v>35</v>
      </c>
      <c r="D27" s="73" t="s">
        <v>121</v>
      </c>
      <c r="E27" s="92" t="s">
        <v>122</v>
      </c>
      <c r="F27" s="72" t="s">
        <v>120</v>
      </c>
      <c r="G27" s="72" t="s">
        <v>1100</v>
      </c>
      <c r="H27" s="72" t="s">
        <v>1098</v>
      </c>
    </row>
    <row r="28" ht="124.2" spans="1:8">
      <c r="A28" s="67" t="s">
        <v>116</v>
      </c>
      <c r="B28" s="68" t="s">
        <v>123</v>
      </c>
      <c r="C28" s="68" t="s">
        <v>35</v>
      </c>
      <c r="D28" s="73" t="s">
        <v>124</v>
      </c>
      <c r="E28" s="68" t="s">
        <v>125</v>
      </c>
      <c r="F28" s="72" t="s">
        <v>1115</v>
      </c>
      <c r="G28" s="72" t="s">
        <v>1097</v>
      </c>
      <c r="H28" s="72" t="s">
        <v>1098</v>
      </c>
    </row>
    <row r="29" ht="96.6" spans="1:8">
      <c r="A29" s="67" t="s">
        <v>119</v>
      </c>
      <c r="B29" s="68" t="s">
        <v>126</v>
      </c>
      <c r="C29" s="68" t="s">
        <v>35</v>
      </c>
      <c r="D29" s="73" t="s">
        <v>127</v>
      </c>
      <c r="E29" s="68" t="s">
        <v>128</v>
      </c>
      <c r="F29" s="72" t="s">
        <v>1116</v>
      </c>
      <c r="G29" s="72" t="s">
        <v>1097</v>
      </c>
      <c r="H29" s="72" t="s">
        <v>1098</v>
      </c>
    </row>
    <row r="30" ht="96.6" spans="1:8">
      <c r="A30" s="67" t="s">
        <v>129</v>
      </c>
      <c r="B30" s="92" t="s">
        <v>130</v>
      </c>
      <c r="C30" s="68" t="s">
        <v>131</v>
      </c>
      <c r="D30" s="73" t="s">
        <v>132</v>
      </c>
      <c r="E30" s="92" t="s">
        <v>133</v>
      </c>
      <c r="F30" s="72" t="s">
        <v>130</v>
      </c>
      <c r="G30" s="72" t="s">
        <v>1100</v>
      </c>
      <c r="H30" s="72" t="s">
        <v>1098</v>
      </c>
    </row>
    <row r="31" ht="110.4" spans="1:8">
      <c r="A31" s="67" t="s">
        <v>134</v>
      </c>
      <c r="B31" s="92" t="s">
        <v>135</v>
      </c>
      <c r="C31" s="68">
        <v>8787564</v>
      </c>
      <c r="D31" s="73" t="s">
        <v>136</v>
      </c>
      <c r="E31" s="92" t="s">
        <v>137</v>
      </c>
      <c r="F31" s="72" t="s">
        <v>1117</v>
      </c>
      <c r="G31" s="72" t="s">
        <v>1100</v>
      </c>
      <c r="H31" s="72" t="s">
        <v>1098</v>
      </c>
    </row>
    <row r="32" ht="96.6" spans="1:8">
      <c r="A32" s="67" t="s">
        <v>138</v>
      </c>
      <c r="B32" s="68" t="s">
        <v>139</v>
      </c>
      <c r="C32" s="68">
        <v>123456</v>
      </c>
      <c r="D32" s="73" t="s">
        <v>140</v>
      </c>
      <c r="E32" s="68" t="s">
        <v>141</v>
      </c>
      <c r="F32" s="72" t="s">
        <v>1118</v>
      </c>
      <c r="G32" s="72" t="s">
        <v>1097</v>
      </c>
      <c r="H32" s="72" t="s">
        <v>1098</v>
      </c>
    </row>
    <row r="33" ht="165.6" spans="1:8">
      <c r="A33" s="67" t="s">
        <v>142</v>
      </c>
      <c r="B33" s="68" t="s">
        <v>143</v>
      </c>
      <c r="C33" s="68" t="s">
        <v>144</v>
      </c>
      <c r="D33" s="73" t="s">
        <v>145</v>
      </c>
      <c r="E33" s="68" t="s">
        <v>146</v>
      </c>
      <c r="F33" s="72" t="s">
        <v>143</v>
      </c>
      <c r="G33" s="72" t="s">
        <v>1100</v>
      </c>
      <c r="H33" s="72" t="s">
        <v>1098</v>
      </c>
    </row>
    <row r="34" ht="124.2" spans="1:8">
      <c r="A34" s="67" t="s">
        <v>147</v>
      </c>
      <c r="B34" s="68" t="s">
        <v>148</v>
      </c>
      <c r="C34" s="68" t="s">
        <v>35</v>
      </c>
      <c r="D34" s="73" t="s">
        <v>149</v>
      </c>
      <c r="E34" s="68" t="s">
        <v>150</v>
      </c>
      <c r="F34" s="72" t="s">
        <v>1119</v>
      </c>
      <c r="G34" s="72" t="s">
        <v>1100</v>
      </c>
      <c r="H34" s="72" t="s">
        <v>1098</v>
      </c>
    </row>
    <row r="35" ht="124.2" spans="1:8">
      <c r="A35" s="67" t="s">
        <v>151</v>
      </c>
      <c r="B35" s="68" t="s">
        <v>152</v>
      </c>
      <c r="C35" s="68" t="s">
        <v>35</v>
      </c>
      <c r="D35" s="73" t="s">
        <v>153</v>
      </c>
      <c r="E35" s="68" t="s">
        <v>154</v>
      </c>
      <c r="F35" s="72" t="s">
        <v>1120</v>
      </c>
      <c r="G35" s="72" t="s">
        <v>1100</v>
      </c>
      <c r="H35" s="72" t="s">
        <v>1098</v>
      </c>
    </row>
    <row r="36" ht="96.6" spans="1:8">
      <c r="A36" s="67" t="s">
        <v>155</v>
      </c>
      <c r="B36" s="68" t="s">
        <v>156</v>
      </c>
      <c r="C36" s="68" t="s">
        <v>35</v>
      </c>
      <c r="D36" s="73" t="s">
        <v>140</v>
      </c>
      <c r="E36" s="68" t="s">
        <v>141</v>
      </c>
      <c r="F36" s="72" t="s">
        <v>1121</v>
      </c>
      <c r="G36" s="72" t="s">
        <v>1097</v>
      </c>
      <c r="H36" s="72" t="s">
        <v>1098</v>
      </c>
    </row>
    <row r="37" ht="27" spans="1:8">
      <c r="A37" s="94" t="s">
        <v>159</v>
      </c>
      <c r="B37" s="95"/>
      <c r="C37" s="95"/>
      <c r="D37" s="95"/>
      <c r="E37" s="95"/>
      <c r="F37" s="95"/>
      <c r="G37" s="95"/>
      <c r="H37" s="96"/>
    </row>
    <row r="38" ht="13.8" spans="1:8">
      <c r="A38" s="97" t="s">
        <v>24</v>
      </c>
      <c r="B38" s="97" t="s">
        <v>25</v>
      </c>
      <c r="C38" s="97" t="s">
        <v>26</v>
      </c>
      <c r="D38" s="97" t="s">
        <v>27</v>
      </c>
      <c r="E38" s="97" t="s">
        <v>28</v>
      </c>
      <c r="F38" s="97" t="s">
        <v>25</v>
      </c>
      <c r="G38" s="98" t="s">
        <v>1093</v>
      </c>
      <c r="H38" s="98" t="s">
        <v>1094</v>
      </c>
    </row>
    <row r="39" ht="55.2" spans="1:8">
      <c r="A39" s="67" t="s">
        <v>160</v>
      </c>
      <c r="B39" s="68" t="s">
        <v>161</v>
      </c>
      <c r="C39" s="68" t="s">
        <v>162</v>
      </c>
      <c r="D39" s="99" t="s">
        <v>163</v>
      </c>
      <c r="E39" s="68" t="s">
        <v>164</v>
      </c>
      <c r="F39" s="72" t="s">
        <v>1122</v>
      </c>
      <c r="G39" s="72" t="s">
        <v>1097</v>
      </c>
      <c r="H39" s="72" t="s">
        <v>1098</v>
      </c>
    </row>
    <row r="40" ht="41.4" spans="1:8">
      <c r="A40" s="67" t="s">
        <v>165</v>
      </c>
      <c r="B40" s="68" t="s">
        <v>166</v>
      </c>
      <c r="C40" s="68" t="s">
        <v>162</v>
      </c>
      <c r="D40" s="99" t="s">
        <v>167</v>
      </c>
      <c r="E40" s="68" t="s">
        <v>168</v>
      </c>
      <c r="F40" s="72" t="s">
        <v>166</v>
      </c>
      <c r="G40" s="72" t="s">
        <v>1102</v>
      </c>
      <c r="H40" s="72" t="s">
        <v>1103</v>
      </c>
    </row>
    <row r="41" ht="41.4" spans="1:8">
      <c r="A41" s="67" t="s">
        <v>169</v>
      </c>
      <c r="B41" s="68" t="s">
        <v>170</v>
      </c>
      <c r="C41" s="68" t="s">
        <v>162</v>
      </c>
      <c r="D41" s="73" t="s">
        <v>171</v>
      </c>
      <c r="E41" s="68" t="s">
        <v>172</v>
      </c>
      <c r="F41" s="72" t="s">
        <v>170</v>
      </c>
      <c r="G41" s="72" t="s">
        <v>1097</v>
      </c>
      <c r="H41" s="72" t="s">
        <v>1098</v>
      </c>
    </row>
    <row r="42" ht="82.8" spans="1:8">
      <c r="A42" s="67" t="s">
        <v>173</v>
      </c>
      <c r="B42" s="68" t="s">
        <v>174</v>
      </c>
      <c r="C42" s="68" t="s">
        <v>162</v>
      </c>
      <c r="D42" s="73" t="s">
        <v>175</v>
      </c>
      <c r="E42" s="68" t="s">
        <v>176</v>
      </c>
      <c r="F42" s="72" t="s">
        <v>174</v>
      </c>
      <c r="G42" s="72" t="s">
        <v>1097</v>
      </c>
      <c r="H42" s="72" t="s">
        <v>1098</v>
      </c>
    </row>
    <row r="43" ht="55.2" spans="1:8">
      <c r="A43" s="67" t="s">
        <v>177</v>
      </c>
      <c r="B43" s="68" t="s">
        <v>178</v>
      </c>
      <c r="C43" s="68" t="s">
        <v>162</v>
      </c>
      <c r="D43" s="73" t="s">
        <v>179</v>
      </c>
      <c r="E43" s="68" t="s">
        <v>180</v>
      </c>
      <c r="F43" s="72" t="s">
        <v>178</v>
      </c>
      <c r="G43" s="72" t="s">
        <v>1097</v>
      </c>
      <c r="H43" s="72" t="s">
        <v>1098</v>
      </c>
    </row>
    <row r="44" ht="82.8" spans="1:8">
      <c r="A44" s="67" t="s">
        <v>181</v>
      </c>
      <c r="B44" s="68" t="s">
        <v>182</v>
      </c>
      <c r="C44" s="68" t="s">
        <v>162</v>
      </c>
      <c r="D44" s="99" t="s">
        <v>183</v>
      </c>
      <c r="E44" s="68" t="s">
        <v>184</v>
      </c>
      <c r="F44" s="72" t="s">
        <v>1123</v>
      </c>
      <c r="G44" s="72" t="s">
        <v>1107</v>
      </c>
      <c r="H44" s="72" t="s">
        <v>1103</v>
      </c>
    </row>
    <row r="45" ht="82.8" spans="1:8">
      <c r="A45" s="67" t="s">
        <v>185</v>
      </c>
      <c r="B45" s="68" t="s">
        <v>186</v>
      </c>
      <c r="C45" s="68" t="s">
        <v>162</v>
      </c>
      <c r="D45" s="99" t="s">
        <v>187</v>
      </c>
      <c r="E45" s="68" t="s">
        <v>188</v>
      </c>
      <c r="F45" s="72" t="s">
        <v>1124</v>
      </c>
      <c r="G45" s="72" t="s">
        <v>1100</v>
      </c>
      <c r="H45" s="72" t="s">
        <v>1098</v>
      </c>
    </row>
    <row r="46" ht="55.2" spans="1:8">
      <c r="A46" s="67" t="s">
        <v>189</v>
      </c>
      <c r="B46" s="68" t="s">
        <v>190</v>
      </c>
      <c r="C46" s="68" t="s">
        <v>162</v>
      </c>
      <c r="D46" s="99" t="s">
        <v>191</v>
      </c>
      <c r="E46" s="68" t="s">
        <v>98</v>
      </c>
      <c r="F46" s="72" t="s">
        <v>1112</v>
      </c>
      <c r="G46" s="72" t="s">
        <v>1097</v>
      </c>
      <c r="H46" s="72" t="s">
        <v>1098</v>
      </c>
    </row>
    <row r="47" ht="82.8" spans="1:8">
      <c r="A47" s="67" t="s">
        <v>192</v>
      </c>
      <c r="B47" s="68" t="s">
        <v>193</v>
      </c>
      <c r="C47" s="68" t="s">
        <v>162</v>
      </c>
      <c r="D47" s="99" t="s">
        <v>194</v>
      </c>
      <c r="E47" s="68" t="s">
        <v>102</v>
      </c>
      <c r="F47" s="72" t="s">
        <v>1113</v>
      </c>
      <c r="G47" s="72" t="s">
        <v>1100</v>
      </c>
      <c r="H47" s="72" t="s">
        <v>1098</v>
      </c>
    </row>
    <row r="48" ht="82.8" spans="1:8">
      <c r="A48" s="67" t="s">
        <v>195</v>
      </c>
      <c r="B48" s="68" t="s">
        <v>86</v>
      </c>
      <c r="C48" s="68" t="s">
        <v>196</v>
      </c>
      <c r="D48" s="99" t="s">
        <v>197</v>
      </c>
      <c r="E48" s="68" t="s">
        <v>198</v>
      </c>
      <c r="F48" s="72" t="s">
        <v>86</v>
      </c>
      <c r="G48" s="72" t="s">
        <v>1097</v>
      </c>
      <c r="H48" s="72" t="s">
        <v>1098</v>
      </c>
    </row>
    <row r="49" ht="69" spans="1:8">
      <c r="A49" s="67" t="s">
        <v>199</v>
      </c>
      <c r="B49" s="68" t="s">
        <v>91</v>
      </c>
      <c r="C49" s="100" t="s">
        <v>200</v>
      </c>
      <c r="D49" s="99" t="s">
        <v>201</v>
      </c>
      <c r="E49" s="68" t="s">
        <v>202</v>
      </c>
      <c r="F49" s="72" t="s">
        <v>91</v>
      </c>
      <c r="G49" s="72" t="s">
        <v>1097</v>
      </c>
      <c r="H49" s="72" t="s">
        <v>1098</v>
      </c>
    </row>
    <row r="50" ht="165.6" spans="1:8">
      <c r="A50" s="67" t="s">
        <v>203</v>
      </c>
      <c r="B50" s="68" t="s">
        <v>143</v>
      </c>
      <c r="C50" s="68" t="s">
        <v>204</v>
      </c>
      <c r="D50" s="99" t="s">
        <v>205</v>
      </c>
      <c r="E50" s="68" t="s">
        <v>146</v>
      </c>
      <c r="F50" s="72" t="s">
        <v>143</v>
      </c>
      <c r="G50" s="72" t="s">
        <v>1100</v>
      </c>
      <c r="H50" s="72" t="s">
        <v>1098</v>
      </c>
    </row>
    <row r="51" ht="69" spans="1:8">
      <c r="A51" s="67" t="s">
        <v>206</v>
      </c>
      <c r="B51" s="68" t="s">
        <v>139</v>
      </c>
      <c r="C51" s="68">
        <v>123456</v>
      </c>
      <c r="D51" s="99" t="s">
        <v>201</v>
      </c>
      <c r="E51" s="68" t="s">
        <v>207</v>
      </c>
      <c r="F51" s="72" t="s">
        <v>139</v>
      </c>
      <c r="G51" s="72" t="s">
        <v>1097</v>
      </c>
      <c r="H51" s="72" t="s">
        <v>1098</v>
      </c>
    </row>
    <row r="52" ht="96.6" spans="1:8">
      <c r="A52" s="67" t="s">
        <v>208</v>
      </c>
      <c r="B52" s="68" t="s">
        <v>104</v>
      </c>
      <c r="C52" s="68">
        <v>717883703</v>
      </c>
      <c r="D52" s="99" t="s">
        <v>209</v>
      </c>
      <c r="E52" s="68" t="s">
        <v>106</v>
      </c>
      <c r="F52" s="72" t="s">
        <v>104</v>
      </c>
      <c r="G52" s="72" t="s">
        <v>1097</v>
      </c>
      <c r="H52" s="72" t="s">
        <v>1098</v>
      </c>
    </row>
    <row r="53" ht="55.2" spans="1:8">
      <c r="A53" s="67" t="s">
        <v>210</v>
      </c>
      <c r="B53" s="68" t="s">
        <v>108</v>
      </c>
      <c r="C53" s="68">
        <v>1717883703</v>
      </c>
      <c r="D53" s="99" t="s">
        <v>211</v>
      </c>
      <c r="E53" s="68" t="s">
        <v>111</v>
      </c>
      <c r="F53" s="72" t="s">
        <v>108</v>
      </c>
      <c r="G53" s="72" t="s">
        <v>1097</v>
      </c>
      <c r="H53" s="72" t="s">
        <v>1098</v>
      </c>
    </row>
    <row r="54" ht="110.4" spans="1:8">
      <c r="A54" s="67" t="s">
        <v>212</v>
      </c>
      <c r="B54" s="68" t="s">
        <v>213</v>
      </c>
      <c r="C54" s="68" t="s">
        <v>214</v>
      </c>
      <c r="D54" s="73" t="s">
        <v>215</v>
      </c>
      <c r="E54" s="68" t="s">
        <v>216</v>
      </c>
      <c r="F54" s="72" t="s">
        <v>1125</v>
      </c>
      <c r="G54" s="72" t="s">
        <v>1097</v>
      </c>
      <c r="H54" s="72" t="s">
        <v>1098</v>
      </c>
    </row>
    <row r="55" ht="55.2" spans="1:8">
      <c r="A55" s="67" t="s">
        <v>217</v>
      </c>
      <c r="B55" s="68" t="s">
        <v>218</v>
      </c>
      <c r="C55" s="68" t="s">
        <v>219</v>
      </c>
      <c r="D55" s="73" t="s">
        <v>220</v>
      </c>
      <c r="E55" s="68" t="s">
        <v>221</v>
      </c>
      <c r="F55" s="72" t="s">
        <v>1126</v>
      </c>
      <c r="G55" s="72" t="s">
        <v>1097</v>
      </c>
      <c r="H55" s="72" t="s">
        <v>1098</v>
      </c>
    </row>
    <row r="56" ht="55.2" spans="1:8">
      <c r="A56" s="67" t="s">
        <v>222</v>
      </c>
      <c r="B56" s="68" t="s">
        <v>223</v>
      </c>
      <c r="C56" s="68" t="s">
        <v>219</v>
      </c>
      <c r="D56" s="73" t="s">
        <v>224</v>
      </c>
      <c r="E56" s="68" t="s">
        <v>225</v>
      </c>
      <c r="F56" s="72" t="s">
        <v>1127</v>
      </c>
      <c r="G56" s="72" t="s">
        <v>1097</v>
      </c>
      <c r="H56" s="72" t="s">
        <v>1098</v>
      </c>
    </row>
    <row r="57" ht="82.8" spans="1:8">
      <c r="A57" s="67" t="s">
        <v>226</v>
      </c>
      <c r="B57" s="68" t="s">
        <v>227</v>
      </c>
      <c r="C57" s="68" t="s">
        <v>219</v>
      </c>
      <c r="D57" s="73" t="s">
        <v>228</v>
      </c>
      <c r="E57" s="68" t="s">
        <v>229</v>
      </c>
      <c r="F57" s="72" t="s">
        <v>1128</v>
      </c>
      <c r="G57" s="72" t="s">
        <v>1102</v>
      </c>
      <c r="H57" s="72" t="s">
        <v>1103</v>
      </c>
    </row>
    <row r="58" ht="55.2" spans="1:8">
      <c r="A58" s="67" t="s">
        <v>230</v>
      </c>
      <c r="B58" s="68" t="s">
        <v>73</v>
      </c>
      <c r="C58" s="68" t="s">
        <v>219</v>
      </c>
      <c r="D58" s="73" t="s">
        <v>231</v>
      </c>
      <c r="E58" s="68" t="s">
        <v>225</v>
      </c>
      <c r="F58" s="72" t="s">
        <v>1109</v>
      </c>
      <c r="G58" s="72" t="s">
        <v>1097</v>
      </c>
      <c r="H58" s="72" t="s">
        <v>1098</v>
      </c>
    </row>
    <row r="59" ht="96.6" spans="1:8">
      <c r="A59" s="67" t="s">
        <v>232</v>
      </c>
      <c r="B59" s="68" t="s">
        <v>233</v>
      </c>
      <c r="C59" s="68" t="s">
        <v>219</v>
      </c>
      <c r="D59" s="73" t="s">
        <v>234</v>
      </c>
      <c r="E59" s="68" t="s">
        <v>79</v>
      </c>
      <c r="F59" s="72" t="s">
        <v>1110</v>
      </c>
      <c r="G59" s="72" t="s">
        <v>1100</v>
      </c>
      <c r="H59" s="72" t="s">
        <v>1098</v>
      </c>
    </row>
    <row r="60" ht="96.6" spans="1:8">
      <c r="A60" s="67" t="s">
        <v>236</v>
      </c>
      <c r="B60" s="68" t="s">
        <v>237</v>
      </c>
      <c r="C60" s="68" t="s">
        <v>219</v>
      </c>
      <c r="D60" s="73" t="s">
        <v>238</v>
      </c>
      <c r="E60" s="68" t="s">
        <v>239</v>
      </c>
      <c r="F60" s="72" t="s">
        <v>1129</v>
      </c>
      <c r="G60" s="72" t="s">
        <v>1100</v>
      </c>
      <c r="H60" s="72" t="s">
        <v>1098</v>
      </c>
    </row>
    <row r="61" ht="96.6" spans="1:8">
      <c r="A61" s="67" t="s">
        <v>240</v>
      </c>
      <c r="B61" s="68" t="s">
        <v>86</v>
      </c>
      <c r="C61" s="68" t="s">
        <v>241</v>
      </c>
      <c r="D61" s="73" t="s">
        <v>242</v>
      </c>
      <c r="E61" s="68" t="s">
        <v>198</v>
      </c>
      <c r="F61" s="72" t="s">
        <v>86</v>
      </c>
      <c r="G61" s="72" t="s">
        <v>1097</v>
      </c>
      <c r="H61" s="72" t="s">
        <v>1098</v>
      </c>
    </row>
    <row r="62" ht="82.8" spans="1:8">
      <c r="A62" s="67" t="s">
        <v>243</v>
      </c>
      <c r="B62" s="68" t="s">
        <v>91</v>
      </c>
      <c r="C62" s="68" t="s">
        <v>219</v>
      </c>
      <c r="D62" s="73" t="s">
        <v>244</v>
      </c>
      <c r="E62" s="68" t="s">
        <v>94</v>
      </c>
      <c r="F62" s="72" t="s">
        <v>91</v>
      </c>
      <c r="G62" s="72" t="s">
        <v>1097</v>
      </c>
      <c r="H62" s="72" t="s">
        <v>1098</v>
      </c>
    </row>
    <row r="63" ht="55.2" spans="1:8">
      <c r="A63" s="67" t="s">
        <v>245</v>
      </c>
      <c r="B63" s="68" t="s">
        <v>96</v>
      </c>
      <c r="C63" s="68" t="s">
        <v>219</v>
      </c>
      <c r="D63" s="73" t="s">
        <v>246</v>
      </c>
      <c r="E63" s="68" t="s">
        <v>98</v>
      </c>
      <c r="F63" s="72" t="s">
        <v>1112</v>
      </c>
      <c r="G63" s="72" t="s">
        <v>1097</v>
      </c>
      <c r="H63" s="72" t="s">
        <v>1098</v>
      </c>
    </row>
    <row r="64" ht="96.6" spans="1:8">
      <c r="A64" s="67" t="s">
        <v>247</v>
      </c>
      <c r="B64" s="68" t="s">
        <v>100</v>
      </c>
      <c r="C64" s="68" t="s">
        <v>219</v>
      </c>
      <c r="D64" s="73" t="s">
        <v>248</v>
      </c>
      <c r="E64" s="68" t="s">
        <v>102</v>
      </c>
      <c r="F64" s="72" t="s">
        <v>1113</v>
      </c>
      <c r="G64" s="72" t="s">
        <v>1100</v>
      </c>
      <c r="H64" s="72" t="s">
        <v>1098</v>
      </c>
    </row>
    <row r="65" ht="82.8" spans="1:8">
      <c r="A65" s="67" t="s">
        <v>249</v>
      </c>
      <c r="B65" s="68" t="s">
        <v>227</v>
      </c>
      <c r="C65" s="68" t="s">
        <v>219</v>
      </c>
      <c r="D65" s="73" t="s">
        <v>250</v>
      </c>
      <c r="E65" s="68" t="s">
        <v>251</v>
      </c>
      <c r="F65" s="72" t="s">
        <v>1128</v>
      </c>
      <c r="G65" s="72" t="s">
        <v>1102</v>
      </c>
      <c r="H65" s="72" t="s">
        <v>1103</v>
      </c>
    </row>
    <row r="66" ht="96.6" spans="1:8">
      <c r="A66" s="67" t="s">
        <v>252</v>
      </c>
      <c r="B66" s="92" t="s">
        <v>104</v>
      </c>
      <c r="C66" s="68">
        <v>167834</v>
      </c>
      <c r="D66" s="73" t="s">
        <v>253</v>
      </c>
      <c r="E66" s="92" t="s">
        <v>106</v>
      </c>
      <c r="F66" s="72" t="s">
        <v>104</v>
      </c>
      <c r="G66" s="72" t="s">
        <v>1097</v>
      </c>
      <c r="H66" s="72" t="s">
        <v>1098</v>
      </c>
    </row>
    <row r="67" ht="96.6" spans="1:8">
      <c r="A67" s="67" t="s">
        <v>254</v>
      </c>
      <c r="B67" s="92" t="s">
        <v>108</v>
      </c>
      <c r="C67" s="68">
        <v>1678348734</v>
      </c>
      <c r="D67" s="73" t="s">
        <v>255</v>
      </c>
      <c r="E67" s="92" t="s">
        <v>111</v>
      </c>
      <c r="F67" s="72" t="s">
        <v>108</v>
      </c>
      <c r="G67" s="72" t="s">
        <v>1097</v>
      </c>
      <c r="H67" s="72" t="s">
        <v>1098</v>
      </c>
    </row>
    <row r="68" ht="110.4" spans="1:8">
      <c r="A68" s="67" t="s">
        <v>256</v>
      </c>
      <c r="B68" s="92" t="s">
        <v>257</v>
      </c>
      <c r="C68" s="68" t="s">
        <v>219</v>
      </c>
      <c r="D68" s="73" t="s">
        <v>258</v>
      </c>
      <c r="E68" s="92" t="s">
        <v>259</v>
      </c>
      <c r="F68" s="72" t="s">
        <v>1130</v>
      </c>
      <c r="G68" s="72" t="s">
        <v>1100</v>
      </c>
      <c r="H68" s="72" t="s">
        <v>1098</v>
      </c>
    </row>
    <row r="69" ht="69" spans="1:8">
      <c r="A69" s="67" t="s">
        <v>116</v>
      </c>
      <c r="B69" s="92" t="s">
        <v>117</v>
      </c>
      <c r="C69" s="68" t="s">
        <v>219</v>
      </c>
      <c r="D69" s="73" t="s">
        <v>114</v>
      </c>
      <c r="E69" s="92" t="s">
        <v>118</v>
      </c>
      <c r="F69" s="72" t="s">
        <v>117</v>
      </c>
      <c r="G69" s="72" t="s">
        <v>1097</v>
      </c>
      <c r="H69" s="72" t="s">
        <v>1098</v>
      </c>
    </row>
    <row r="70" ht="96.6" spans="1:8">
      <c r="A70" s="67" t="s">
        <v>119</v>
      </c>
      <c r="B70" s="92" t="s">
        <v>120</v>
      </c>
      <c r="C70" s="68" t="s">
        <v>219</v>
      </c>
      <c r="D70" s="73" t="s">
        <v>260</v>
      </c>
      <c r="E70" s="92" t="s">
        <v>122</v>
      </c>
      <c r="F70" s="72" t="s">
        <v>120</v>
      </c>
      <c r="G70" s="72" t="s">
        <v>1100</v>
      </c>
      <c r="H70" s="72" t="s">
        <v>1098</v>
      </c>
    </row>
    <row r="71" ht="27.6" spans="1:8">
      <c r="A71" s="67" t="s">
        <v>116</v>
      </c>
      <c r="B71" s="68" t="s">
        <v>123</v>
      </c>
      <c r="C71" s="68" t="s">
        <v>219</v>
      </c>
      <c r="D71" s="92"/>
      <c r="E71" s="68"/>
      <c r="F71" s="72" t="s">
        <v>1115</v>
      </c>
      <c r="G71" s="72" t="s">
        <v>1097</v>
      </c>
      <c r="H71" s="72" t="s">
        <v>1098</v>
      </c>
    </row>
    <row r="72" ht="96.6" spans="1:8">
      <c r="A72" s="67" t="s">
        <v>119</v>
      </c>
      <c r="B72" s="68" t="s">
        <v>126</v>
      </c>
      <c r="C72" s="68" t="s">
        <v>219</v>
      </c>
      <c r="D72" s="73" t="s">
        <v>261</v>
      </c>
      <c r="E72" s="68" t="s">
        <v>128</v>
      </c>
      <c r="F72" s="72" t="s">
        <v>1116</v>
      </c>
      <c r="G72" s="72" t="s">
        <v>1097</v>
      </c>
      <c r="H72" s="72" t="s">
        <v>1098</v>
      </c>
    </row>
    <row r="73" ht="96.6" spans="1:8">
      <c r="A73" s="67" t="s">
        <v>129</v>
      </c>
      <c r="B73" s="92" t="s">
        <v>130</v>
      </c>
      <c r="C73" s="68" t="s">
        <v>219</v>
      </c>
      <c r="D73" s="73" t="s">
        <v>262</v>
      </c>
      <c r="E73" s="92" t="s">
        <v>133</v>
      </c>
      <c r="F73" s="72" t="s">
        <v>130</v>
      </c>
      <c r="G73" s="72" t="s">
        <v>1100</v>
      </c>
      <c r="H73" s="72" t="s">
        <v>1098</v>
      </c>
    </row>
    <row r="74" ht="110.4" spans="1:8">
      <c r="A74" s="67" t="s">
        <v>134</v>
      </c>
      <c r="B74" s="92" t="s">
        <v>135</v>
      </c>
      <c r="C74" s="68" t="s">
        <v>219</v>
      </c>
      <c r="D74" s="73" t="s">
        <v>263</v>
      </c>
      <c r="E74" s="92" t="s">
        <v>137</v>
      </c>
      <c r="F74" s="72" t="s">
        <v>1131</v>
      </c>
      <c r="G74" s="72" t="s">
        <v>1100</v>
      </c>
      <c r="H74" s="72" t="s">
        <v>1098</v>
      </c>
    </row>
    <row r="75" ht="96.6" spans="1:8">
      <c r="A75" s="67" t="s">
        <v>138</v>
      </c>
      <c r="B75" s="68" t="s">
        <v>139</v>
      </c>
      <c r="C75" s="68" t="s">
        <v>219</v>
      </c>
      <c r="D75" s="73" t="s">
        <v>262</v>
      </c>
      <c r="E75" s="68" t="s">
        <v>141</v>
      </c>
      <c r="F75" s="72" t="s">
        <v>139</v>
      </c>
      <c r="G75" s="72" t="s">
        <v>1097</v>
      </c>
      <c r="H75" s="72" t="s">
        <v>1098</v>
      </c>
    </row>
    <row r="76" ht="165.6" spans="1:8">
      <c r="A76" s="67" t="s">
        <v>142</v>
      </c>
      <c r="B76" s="68" t="s">
        <v>143</v>
      </c>
      <c r="C76" s="68" t="s">
        <v>219</v>
      </c>
      <c r="D76" s="73" t="s">
        <v>264</v>
      </c>
      <c r="E76" s="68" t="s">
        <v>146</v>
      </c>
      <c r="F76" s="72" t="s">
        <v>143</v>
      </c>
      <c r="G76" s="72" t="s">
        <v>1100</v>
      </c>
      <c r="H76" s="72" t="s">
        <v>1098</v>
      </c>
    </row>
    <row r="77" ht="124.2" spans="1:8">
      <c r="A77" s="67" t="s">
        <v>147</v>
      </c>
      <c r="B77" s="68" t="s">
        <v>148</v>
      </c>
      <c r="C77" s="68" t="s">
        <v>219</v>
      </c>
      <c r="D77" s="73" t="s">
        <v>265</v>
      </c>
      <c r="E77" s="68"/>
      <c r="F77" s="72" t="s">
        <v>1119</v>
      </c>
      <c r="G77" s="72" t="s">
        <v>1100</v>
      </c>
      <c r="H77" s="72" t="s">
        <v>1098</v>
      </c>
    </row>
    <row r="78" ht="124.2" spans="1:8">
      <c r="A78" s="67" t="s">
        <v>151</v>
      </c>
      <c r="B78" s="68" t="s">
        <v>152</v>
      </c>
      <c r="C78" s="68" t="s">
        <v>219</v>
      </c>
      <c r="D78" s="73" t="s">
        <v>266</v>
      </c>
      <c r="E78" s="68" t="s">
        <v>154</v>
      </c>
      <c r="F78" s="72" t="s">
        <v>1132</v>
      </c>
      <c r="G78" s="72" t="s">
        <v>1100</v>
      </c>
      <c r="H78" s="72" t="s">
        <v>1098</v>
      </c>
    </row>
    <row r="79" ht="96.6" spans="1:8">
      <c r="A79" s="67" t="s">
        <v>155</v>
      </c>
      <c r="B79" s="68" t="s">
        <v>156</v>
      </c>
      <c r="C79" s="68" t="s">
        <v>219</v>
      </c>
      <c r="D79" s="73" t="s">
        <v>262</v>
      </c>
      <c r="E79" s="68" t="s">
        <v>141</v>
      </c>
      <c r="F79" s="72" t="s">
        <v>1133</v>
      </c>
      <c r="G79" s="72" t="s">
        <v>1097</v>
      </c>
      <c r="H79" s="72" t="s">
        <v>1098</v>
      </c>
    </row>
    <row r="80" ht="96.6" spans="1:8">
      <c r="A80" s="67" t="s">
        <v>157</v>
      </c>
      <c r="B80" s="68" t="s">
        <v>158</v>
      </c>
      <c r="C80" s="68" t="s">
        <v>219</v>
      </c>
      <c r="D80" s="73" t="s">
        <v>262</v>
      </c>
      <c r="E80" s="68" t="s">
        <v>141</v>
      </c>
      <c r="F80" s="72" t="s">
        <v>158</v>
      </c>
      <c r="G80" s="72" t="s">
        <v>1100</v>
      </c>
      <c r="H80" s="72" t="s">
        <v>1098</v>
      </c>
    </row>
    <row r="81" ht="27" spans="1:8">
      <c r="A81" s="94" t="s">
        <v>267</v>
      </c>
      <c r="B81" s="95"/>
      <c r="C81" s="95"/>
      <c r="D81" s="95"/>
      <c r="E81" s="95"/>
      <c r="F81" s="95"/>
      <c r="G81" s="95"/>
      <c r="H81" s="96"/>
    </row>
    <row r="82" ht="13.8" spans="1:8">
      <c r="A82" s="107" t="s">
        <v>24</v>
      </c>
      <c r="B82" s="107" t="s">
        <v>25</v>
      </c>
      <c r="C82" s="107" t="s">
        <v>26</v>
      </c>
      <c r="D82" s="107" t="s">
        <v>27</v>
      </c>
      <c r="E82" s="107" t="s">
        <v>28</v>
      </c>
      <c r="F82" s="107" t="s">
        <v>25</v>
      </c>
      <c r="G82" s="98" t="s">
        <v>1093</v>
      </c>
      <c r="H82" s="98" t="s">
        <v>1094</v>
      </c>
    </row>
    <row r="83" ht="69" spans="1:8">
      <c r="A83" s="108" t="s">
        <v>268</v>
      </c>
      <c r="B83" s="92" t="s">
        <v>269</v>
      </c>
      <c r="C83" s="92" t="s">
        <v>270</v>
      </c>
      <c r="D83" s="100" t="s">
        <v>271</v>
      </c>
      <c r="E83" s="92" t="s">
        <v>272</v>
      </c>
      <c r="F83" s="72" t="s">
        <v>1134</v>
      </c>
      <c r="G83" s="72" t="s">
        <v>1097</v>
      </c>
      <c r="H83" s="72" t="s">
        <v>1098</v>
      </c>
    </row>
    <row r="84" ht="55.2" spans="1:8">
      <c r="A84" s="108" t="s">
        <v>273</v>
      </c>
      <c r="B84" s="92" t="s">
        <v>274</v>
      </c>
      <c r="C84" s="92" t="s">
        <v>270</v>
      </c>
      <c r="D84" s="100" t="s">
        <v>275</v>
      </c>
      <c r="E84" s="92" t="s">
        <v>276</v>
      </c>
      <c r="F84" s="72" t="s">
        <v>1135</v>
      </c>
      <c r="G84" s="72" t="s">
        <v>1097</v>
      </c>
      <c r="H84" s="72" t="s">
        <v>1098</v>
      </c>
    </row>
    <row r="85" ht="55.2" spans="1:8">
      <c r="A85" s="108" t="s">
        <v>277</v>
      </c>
      <c r="B85" s="92" t="s">
        <v>278</v>
      </c>
      <c r="C85" s="92" t="s">
        <v>270</v>
      </c>
      <c r="D85" s="100" t="s">
        <v>279</v>
      </c>
      <c r="E85" s="92" t="s">
        <v>280</v>
      </c>
      <c r="F85" s="72" t="s">
        <v>1136</v>
      </c>
      <c r="G85" s="72" t="s">
        <v>1102</v>
      </c>
      <c r="H85" s="72" t="s">
        <v>1103</v>
      </c>
    </row>
    <row r="86" ht="82.8" spans="1:8">
      <c r="A86" s="108" t="s">
        <v>281</v>
      </c>
      <c r="B86" s="92" t="s">
        <v>282</v>
      </c>
      <c r="C86" s="92" t="s">
        <v>270</v>
      </c>
      <c r="D86" s="100" t="s">
        <v>283</v>
      </c>
      <c r="E86" s="92" t="s">
        <v>284</v>
      </c>
      <c r="F86" s="72" t="s">
        <v>1137</v>
      </c>
      <c r="G86" s="72" t="s">
        <v>1100</v>
      </c>
      <c r="H86" s="72" t="s">
        <v>1098</v>
      </c>
    </row>
    <row r="87" ht="69" spans="1:8">
      <c r="A87" s="108" t="s">
        <v>285</v>
      </c>
      <c r="B87" s="92" t="s">
        <v>286</v>
      </c>
      <c r="C87" s="92" t="s">
        <v>270</v>
      </c>
      <c r="D87" s="100" t="s">
        <v>287</v>
      </c>
      <c r="E87" s="92" t="s">
        <v>288</v>
      </c>
      <c r="F87" s="72" t="s">
        <v>1138</v>
      </c>
      <c r="G87" s="72" t="s">
        <v>1100</v>
      </c>
      <c r="H87" s="72" t="s">
        <v>1098</v>
      </c>
    </row>
    <row r="88" ht="41.4" spans="1:8">
      <c r="A88" s="108" t="s">
        <v>289</v>
      </c>
      <c r="B88" s="92" t="s">
        <v>290</v>
      </c>
      <c r="C88" s="92" t="s">
        <v>270</v>
      </c>
      <c r="D88" s="100" t="s">
        <v>291</v>
      </c>
      <c r="E88" s="92" t="s">
        <v>292</v>
      </c>
      <c r="F88" s="72" t="s">
        <v>1139</v>
      </c>
      <c r="G88" s="72" t="s">
        <v>1100</v>
      </c>
      <c r="H88" s="72" t="s">
        <v>1098</v>
      </c>
    </row>
    <row r="89" ht="69" spans="1:8">
      <c r="A89" s="108" t="s">
        <v>293</v>
      </c>
      <c r="B89" s="92" t="s">
        <v>294</v>
      </c>
      <c r="C89" s="92" t="s">
        <v>270</v>
      </c>
      <c r="D89" s="100" t="s">
        <v>295</v>
      </c>
      <c r="E89" s="92" t="s">
        <v>296</v>
      </c>
      <c r="F89" s="72" t="s">
        <v>1140</v>
      </c>
      <c r="G89" s="72" t="s">
        <v>1097</v>
      </c>
      <c r="H89" s="72" t="s">
        <v>1098</v>
      </c>
    </row>
    <row r="90" ht="124.2" spans="1:8">
      <c r="A90" s="108" t="s">
        <v>297</v>
      </c>
      <c r="B90" s="92" t="s">
        <v>298</v>
      </c>
      <c r="C90" s="92" t="s">
        <v>270</v>
      </c>
      <c r="D90" s="100" t="s">
        <v>299</v>
      </c>
      <c r="E90" s="92" t="s">
        <v>300</v>
      </c>
      <c r="F90" s="72" t="s">
        <v>1141</v>
      </c>
      <c r="G90" s="72" t="s">
        <v>1102</v>
      </c>
      <c r="H90" s="72" t="s">
        <v>1103</v>
      </c>
    </row>
    <row r="91" ht="69" spans="1:8">
      <c r="A91" s="108" t="s">
        <v>301</v>
      </c>
      <c r="B91" s="92" t="s">
        <v>302</v>
      </c>
      <c r="C91" s="92" t="s">
        <v>270</v>
      </c>
      <c r="D91" s="100" t="s">
        <v>303</v>
      </c>
      <c r="E91" s="92" t="s">
        <v>304</v>
      </c>
      <c r="F91" s="72" t="s">
        <v>1142</v>
      </c>
      <c r="G91" s="72" t="s">
        <v>1102</v>
      </c>
      <c r="H91" s="72" t="s">
        <v>1103</v>
      </c>
    </row>
    <row r="92" ht="96.6" spans="1:8">
      <c r="A92" s="108" t="s">
        <v>305</v>
      </c>
      <c r="B92" s="92" t="s">
        <v>306</v>
      </c>
      <c r="C92" s="92" t="s">
        <v>270</v>
      </c>
      <c r="D92" s="100" t="s">
        <v>307</v>
      </c>
      <c r="E92" s="92" t="s">
        <v>308</v>
      </c>
      <c r="F92" s="72" t="s">
        <v>1143</v>
      </c>
      <c r="G92" s="72" t="s">
        <v>1100</v>
      </c>
      <c r="H92" s="72" t="s">
        <v>1098</v>
      </c>
    </row>
    <row r="93" ht="69" spans="1:8">
      <c r="A93" s="108" t="s">
        <v>309</v>
      </c>
      <c r="B93" s="92" t="s">
        <v>310</v>
      </c>
      <c r="C93" s="92" t="s">
        <v>270</v>
      </c>
      <c r="D93" s="100" t="s">
        <v>311</v>
      </c>
      <c r="E93" s="92" t="s">
        <v>312</v>
      </c>
      <c r="F93" s="72" t="s">
        <v>1144</v>
      </c>
      <c r="G93" s="72" t="s">
        <v>1107</v>
      </c>
      <c r="H93" s="72" t="s">
        <v>1103</v>
      </c>
    </row>
    <row r="94" ht="82.8" spans="1:8">
      <c r="A94" s="108" t="s">
        <v>313</v>
      </c>
      <c r="B94" s="92" t="s">
        <v>314</v>
      </c>
      <c r="C94" s="92" t="s">
        <v>270</v>
      </c>
      <c r="D94" s="100" t="s">
        <v>315</v>
      </c>
      <c r="E94" s="92" t="s">
        <v>316</v>
      </c>
      <c r="F94" s="72" t="s">
        <v>1145</v>
      </c>
      <c r="G94" s="72" t="s">
        <v>1102</v>
      </c>
      <c r="H94" s="72" t="s">
        <v>1103</v>
      </c>
    </row>
    <row r="95" ht="43.05" customHeight="1" spans="1:8">
      <c r="A95" s="109" t="s">
        <v>317</v>
      </c>
      <c r="B95" s="110"/>
      <c r="C95" s="110"/>
      <c r="D95" s="110"/>
      <c r="E95" s="110"/>
      <c r="F95" s="110"/>
      <c r="G95" s="110"/>
      <c r="H95" s="111"/>
    </row>
    <row r="96" ht="13.8" spans="1:8">
      <c r="A96" s="112" t="s">
        <v>24</v>
      </c>
      <c r="B96" s="112" t="s">
        <v>25</v>
      </c>
      <c r="C96" s="112" t="s">
        <v>26</v>
      </c>
      <c r="D96" s="112" t="s">
        <v>27</v>
      </c>
      <c r="E96" s="112" t="s">
        <v>28</v>
      </c>
      <c r="F96" s="113" t="s">
        <v>25</v>
      </c>
      <c r="G96" s="113" t="s">
        <v>1093</v>
      </c>
      <c r="H96" s="113" t="s">
        <v>1094</v>
      </c>
    </row>
    <row r="97" ht="96.6" spans="1:8">
      <c r="A97" s="108" t="s">
        <v>318</v>
      </c>
      <c r="B97" s="92" t="s">
        <v>319</v>
      </c>
      <c r="C97" s="92" t="s">
        <v>320</v>
      </c>
      <c r="D97" s="73" t="s">
        <v>321</v>
      </c>
      <c r="E97" s="92" t="s">
        <v>322</v>
      </c>
      <c r="F97" s="72" t="s">
        <v>319</v>
      </c>
      <c r="G97" s="72" t="s">
        <v>1097</v>
      </c>
      <c r="H97" s="72" t="s">
        <v>1098</v>
      </c>
    </row>
    <row r="98" ht="69" spans="1:8">
      <c r="A98" s="108" t="s">
        <v>323</v>
      </c>
      <c r="B98" s="92" t="s">
        <v>324</v>
      </c>
      <c r="C98" s="92" t="s">
        <v>320</v>
      </c>
      <c r="D98" s="73" t="s">
        <v>325</v>
      </c>
      <c r="E98" s="92" t="s">
        <v>326</v>
      </c>
      <c r="F98" s="72" t="s">
        <v>324</v>
      </c>
      <c r="G98" s="72" t="s">
        <v>1097</v>
      </c>
      <c r="H98" s="72" t="s">
        <v>1098</v>
      </c>
    </row>
    <row r="99" ht="82.8" spans="1:8">
      <c r="A99" s="108" t="s">
        <v>327</v>
      </c>
      <c r="B99" s="92" t="s">
        <v>328</v>
      </c>
      <c r="C99" s="92" t="s">
        <v>320</v>
      </c>
      <c r="D99" s="73" t="s">
        <v>329</v>
      </c>
      <c r="E99" s="92" t="s">
        <v>330</v>
      </c>
      <c r="F99" s="72" t="s">
        <v>328</v>
      </c>
      <c r="G99" s="72" t="s">
        <v>1100</v>
      </c>
      <c r="H99" s="72" t="s">
        <v>1098</v>
      </c>
    </row>
    <row r="100" ht="82.8" spans="1:8">
      <c r="A100" s="108" t="s">
        <v>331</v>
      </c>
      <c r="B100" s="92" t="s">
        <v>332</v>
      </c>
      <c r="C100" s="92" t="s">
        <v>320</v>
      </c>
      <c r="D100" s="73" t="s">
        <v>329</v>
      </c>
      <c r="E100" s="92" t="s">
        <v>333</v>
      </c>
      <c r="F100" s="72" t="s">
        <v>1146</v>
      </c>
      <c r="G100" s="72" t="s">
        <v>1102</v>
      </c>
      <c r="H100" s="72" t="s">
        <v>1103</v>
      </c>
    </row>
    <row r="101" ht="69" spans="1:8">
      <c r="A101" s="108" t="s">
        <v>334</v>
      </c>
      <c r="B101" s="92" t="s">
        <v>335</v>
      </c>
      <c r="C101" s="92" t="s">
        <v>320</v>
      </c>
      <c r="D101" s="73" t="s">
        <v>336</v>
      </c>
      <c r="E101" s="92" t="s">
        <v>337</v>
      </c>
      <c r="F101" s="72" t="s">
        <v>335</v>
      </c>
      <c r="G101" s="72" t="s">
        <v>1097</v>
      </c>
      <c r="H101" s="72" t="s">
        <v>1098</v>
      </c>
    </row>
    <row r="102" ht="69" spans="1:8">
      <c r="A102" s="108" t="s">
        <v>338</v>
      </c>
      <c r="B102" s="92" t="s">
        <v>339</v>
      </c>
      <c r="C102" s="92" t="s">
        <v>320</v>
      </c>
      <c r="D102" s="73" t="s">
        <v>340</v>
      </c>
      <c r="E102" s="92" t="s">
        <v>341</v>
      </c>
      <c r="F102" s="72" t="s">
        <v>339</v>
      </c>
      <c r="G102" s="72" t="s">
        <v>1100</v>
      </c>
      <c r="H102" s="72" t="s">
        <v>1098</v>
      </c>
    </row>
    <row r="103" ht="69" spans="1:8">
      <c r="A103" s="108" t="s">
        <v>342</v>
      </c>
      <c r="B103" s="92" t="s">
        <v>343</v>
      </c>
      <c r="C103" s="92" t="s">
        <v>320</v>
      </c>
      <c r="D103" s="73" t="s">
        <v>344</v>
      </c>
      <c r="E103" s="92" t="s">
        <v>345</v>
      </c>
      <c r="F103" s="72" t="s">
        <v>1147</v>
      </c>
      <c r="G103" s="72" t="s">
        <v>1100</v>
      </c>
      <c r="H103" s="72" t="s">
        <v>1098</v>
      </c>
    </row>
    <row r="104" ht="69" spans="1:8">
      <c r="A104" s="108" t="s">
        <v>346</v>
      </c>
      <c r="B104" s="92" t="s">
        <v>347</v>
      </c>
      <c r="C104" s="92" t="s">
        <v>320</v>
      </c>
      <c r="D104" s="73" t="s">
        <v>336</v>
      </c>
      <c r="E104" s="92" t="s">
        <v>348</v>
      </c>
      <c r="F104" s="72" t="s">
        <v>347</v>
      </c>
      <c r="G104" s="72" t="s">
        <v>1097</v>
      </c>
      <c r="H104" s="72" t="s">
        <v>1098</v>
      </c>
    </row>
    <row r="105" ht="110.4" spans="1:8">
      <c r="A105" s="108" t="s">
        <v>349</v>
      </c>
      <c r="B105" s="92" t="s">
        <v>350</v>
      </c>
      <c r="C105" s="92" t="s">
        <v>320</v>
      </c>
      <c r="D105" s="73" t="s">
        <v>351</v>
      </c>
      <c r="E105" s="92" t="s">
        <v>352</v>
      </c>
      <c r="F105" s="72" t="s">
        <v>1148</v>
      </c>
      <c r="G105" s="72" t="s">
        <v>1100</v>
      </c>
      <c r="H105" s="72" t="s">
        <v>1098</v>
      </c>
    </row>
    <row r="106" ht="55.2" spans="1:8">
      <c r="A106" s="108" t="s">
        <v>353</v>
      </c>
      <c r="B106" s="92" t="s">
        <v>354</v>
      </c>
      <c r="C106" s="92" t="s">
        <v>320</v>
      </c>
      <c r="D106" s="73" t="s">
        <v>355</v>
      </c>
      <c r="E106" s="92" t="s">
        <v>356</v>
      </c>
      <c r="F106" s="72" t="s">
        <v>1149</v>
      </c>
      <c r="G106" s="72" t="s">
        <v>1097</v>
      </c>
      <c r="H106" s="72" t="s">
        <v>1098</v>
      </c>
    </row>
    <row r="107" ht="110.4" spans="1:8">
      <c r="A107" s="108" t="s">
        <v>357</v>
      </c>
      <c r="B107" s="92" t="s">
        <v>358</v>
      </c>
      <c r="C107" s="92" t="s">
        <v>320</v>
      </c>
      <c r="D107" s="73" t="s">
        <v>359</v>
      </c>
      <c r="E107" s="92" t="s">
        <v>360</v>
      </c>
      <c r="F107" s="72" t="s">
        <v>1150</v>
      </c>
      <c r="G107" s="72" t="s">
        <v>1100</v>
      </c>
      <c r="H107" s="72" t="s">
        <v>1098</v>
      </c>
    </row>
    <row r="108" ht="96.6" spans="1:8">
      <c r="A108" s="108" t="s">
        <v>361</v>
      </c>
      <c r="B108" s="92" t="s">
        <v>362</v>
      </c>
      <c r="C108" s="92" t="s">
        <v>320</v>
      </c>
      <c r="D108" s="73" t="s">
        <v>363</v>
      </c>
      <c r="E108" s="92" t="s">
        <v>364</v>
      </c>
      <c r="F108" s="72" t="s">
        <v>1151</v>
      </c>
      <c r="G108" s="72" t="s">
        <v>1102</v>
      </c>
      <c r="H108" s="72" t="s">
        <v>1103</v>
      </c>
    </row>
    <row r="109" ht="69" spans="1:8">
      <c r="A109" s="108" t="s">
        <v>365</v>
      </c>
      <c r="B109" s="92" t="s">
        <v>366</v>
      </c>
      <c r="C109" s="92" t="s">
        <v>320</v>
      </c>
      <c r="D109" s="73" t="s">
        <v>367</v>
      </c>
      <c r="E109" s="92" t="s">
        <v>368</v>
      </c>
      <c r="F109" s="72" t="s">
        <v>1152</v>
      </c>
      <c r="G109" s="72" t="s">
        <v>1097</v>
      </c>
      <c r="H109" s="72" t="s">
        <v>1098</v>
      </c>
    </row>
    <row r="110" ht="82.8" spans="1:8">
      <c r="A110" s="108" t="s">
        <v>369</v>
      </c>
      <c r="B110" s="92" t="s">
        <v>370</v>
      </c>
      <c r="C110" s="92" t="s">
        <v>320</v>
      </c>
      <c r="D110" s="73" t="s">
        <v>371</v>
      </c>
      <c r="E110" s="92" t="s">
        <v>372</v>
      </c>
      <c r="F110" s="72" t="s">
        <v>1153</v>
      </c>
      <c r="G110" s="72" t="s">
        <v>1100</v>
      </c>
      <c r="H110" s="72" t="s">
        <v>1098</v>
      </c>
    </row>
    <row r="111" ht="69" spans="1:8">
      <c r="A111" s="108" t="s">
        <v>373</v>
      </c>
      <c r="B111" s="92" t="s">
        <v>374</v>
      </c>
      <c r="C111" s="92" t="s">
        <v>320</v>
      </c>
      <c r="D111" s="73" t="s">
        <v>375</v>
      </c>
      <c r="E111" s="92" t="s">
        <v>376</v>
      </c>
      <c r="F111" s="72" t="s">
        <v>1154</v>
      </c>
      <c r="G111" s="72" t="s">
        <v>1100</v>
      </c>
      <c r="H111" s="72" t="s">
        <v>1098</v>
      </c>
    </row>
    <row r="112" ht="69" spans="1:8">
      <c r="A112" s="108" t="s">
        <v>377</v>
      </c>
      <c r="B112" s="92" t="s">
        <v>378</v>
      </c>
      <c r="C112" s="92" t="s">
        <v>320</v>
      </c>
      <c r="D112" s="73" t="s">
        <v>379</v>
      </c>
      <c r="E112" s="92" t="s">
        <v>380</v>
      </c>
      <c r="F112" s="72" t="s">
        <v>1155</v>
      </c>
      <c r="G112" s="72" t="s">
        <v>1097</v>
      </c>
      <c r="H112" s="72" t="s">
        <v>1098</v>
      </c>
    </row>
    <row r="113" ht="110.4" spans="1:8">
      <c r="A113" s="108" t="s">
        <v>381</v>
      </c>
      <c r="B113" s="92" t="s">
        <v>382</v>
      </c>
      <c r="C113" s="92" t="s">
        <v>320</v>
      </c>
      <c r="D113" s="73" t="s">
        <v>383</v>
      </c>
      <c r="E113" s="92" t="s">
        <v>384</v>
      </c>
      <c r="F113" s="72" t="s">
        <v>382</v>
      </c>
      <c r="G113" s="72" t="s">
        <v>1100</v>
      </c>
      <c r="H113" s="72" t="s">
        <v>1098</v>
      </c>
    </row>
    <row r="114" ht="55.2" spans="1:8">
      <c r="A114" s="108" t="s">
        <v>385</v>
      </c>
      <c r="B114" s="92" t="s">
        <v>386</v>
      </c>
      <c r="C114" s="92" t="s">
        <v>320</v>
      </c>
      <c r="D114" s="100" t="s">
        <v>387</v>
      </c>
      <c r="E114" s="92" t="s">
        <v>388</v>
      </c>
      <c r="F114" s="72" t="s">
        <v>1156</v>
      </c>
      <c r="G114" s="72" t="s">
        <v>1097</v>
      </c>
      <c r="H114" s="72" t="s">
        <v>1098</v>
      </c>
    </row>
    <row r="115" ht="69" spans="1:8">
      <c r="A115" s="108" t="s">
        <v>389</v>
      </c>
      <c r="B115" s="92" t="s">
        <v>390</v>
      </c>
      <c r="C115" s="92" t="s">
        <v>320</v>
      </c>
      <c r="D115" s="100" t="s">
        <v>391</v>
      </c>
      <c r="E115" s="92" t="s">
        <v>392</v>
      </c>
      <c r="F115" s="72" t="s">
        <v>1157</v>
      </c>
      <c r="G115" s="72" t="s">
        <v>1100</v>
      </c>
      <c r="H115" s="72" t="s">
        <v>1098</v>
      </c>
    </row>
    <row r="116" ht="96.6" spans="1:8">
      <c r="A116" s="108" t="s">
        <v>393</v>
      </c>
      <c r="B116" s="92" t="s">
        <v>394</v>
      </c>
      <c r="C116" s="92" t="s">
        <v>320</v>
      </c>
      <c r="D116" s="100" t="s">
        <v>395</v>
      </c>
      <c r="E116" s="92" t="s">
        <v>396</v>
      </c>
      <c r="F116" s="72" t="s">
        <v>1158</v>
      </c>
      <c r="G116" s="72" t="s">
        <v>1102</v>
      </c>
      <c r="H116" s="72" t="s">
        <v>1103</v>
      </c>
    </row>
    <row r="117" ht="69" spans="1:8">
      <c r="A117" s="108" t="s">
        <v>397</v>
      </c>
      <c r="B117" s="92" t="s">
        <v>398</v>
      </c>
      <c r="C117" s="92" t="s">
        <v>320</v>
      </c>
      <c r="D117" s="100" t="s">
        <v>399</v>
      </c>
      <c r="E117" s="92" t="s">
        <v>400</v>
      </c>
      <c r="F117" s="72" t="s">
        <v>1159</v>
      </c>
      <c r="G117" s="72" t="s">
        <v>1097</v>
      </c>
      <c r="H117" s="72" t="s">
        <v>1098</v>
      </c>
    </row>
    <row r="118" ht="82.8" spans="1:8">
      <c r="A118" s="108" t="s">
        <v>401</v>
      </c>
      <c r="B118" s="92" t="s">
        <v>402</v>
      </c>
      <c r="C118" s="92" t="s">
        <v>320</v>
      </c>
      <c r="D118" s="100" t="s">
        <v>403</v>
      </c>
      <c r="E118" s="92" t="s">
        <v>404</v>
      </c>
      <c r="F118" s="72" t="s">
        <v>1160</v>
      </c>
      <c r="G118" s="72" t="s">
        <v>1100</v>
      </c>
      <c r="H118" s="72" t="s">
        <v>1098</v>
      </c>
    </row>
    <row r="119" ht="69" spans="1:8">
      <c r="A119" s="108" t="s">
        <v>405</v>
      </c>
      <c r="B119" s="92" t="s">
        <v>406</v>
      </c>
      <c r="C119" s="92" t="s">
        <v>320</v>
      </c>
      <c r="D119" s="100" t="s">
        <v>407</v>
      </c>
      <c r="E119" s="92" t="s">
        <v>408</v>
      </c>
      <c r="F119" s="72" t="s">
        <v>1161</v>
      </c>
      <c r="G119" s="72" t="s">
        <v>1100</v>
      </c>
      <c r="H119" s="72" t="s">
        <v>1098</v>
      </c>
    </row>
    <row r="120" ht="82.8" spans="1:8">
      <c r="A120" s="108" t="s">
        <v>409</v>
      </c>
      <c r="B120" s="92" t="s">
        <v>410</v>
      </c>
      <c r="C120" s="92" t="s">
        <v>320</v>
      </c>
      <c r="D120" s="100" t="s">
        <v>399</v>
      </c>
      <c r="E120" s="92" t="s">
        <v>411</v>
      </c>
      <c r="F120" s="72" t="s">
        <v>1162</v>
      </c>
      <c r="G120" s="72" t="s">
        <v>1097</v>
      </c>
      <c r="H120" s="72" t="s">
        <v>1098</v>
      </c>
    </row>
    <row r="121" ht="69" spans="1:8">
      <c r="A121" s="108" t="s">
        <v>412</v>
      </c>
      <c r="B121" s="92" t="s">
        <v>413</v>
      </c>
      <c r="C121" s="92" t="s">
        <v>320</v>
      </c>
      <c r="D121" s="100" t="s">
        <v>414</v>
      </c>
      <c r="E121" s="92" t="s">
        <v>415</v>
      </c>
      <c r="F121" s="72" t="s">
        <v>1163</v>
      </c>
      <c r="G121" s="72" t="s">
        <v>1100</v>
      </c>
      <c r="H121" s="72" t="s">
        <v>1098</v>
      </c>
    </row>
    <row r="122" ht="69" spans="1:8">
      <c r="A122" s="108" t="s">
        <v>416</v>
      </c>
      <c r="B122" s="92" t="s">
        <v>417</v>
      </c>
      <c r="C122" s="92" t="s">
        <v>320</v>
      </c>
      <c r="D122" s="100" t="s">
        <v>391</v>
      </c>
      <c r="E122" s="92" t="s">
        <v>418</v>
      </c>
      <c r="F122" s="72" t="s">
        <v>1164</v>
      </c>
      <c r="G122" s="72" t="s">
        <v>1100</v>
      </c>
      <c r="H122" s="72" t="s">
        <v>1098</v>
      </c>
    </row>
    <row r="123" ht="82.8" spans="1:8">
      <c r="A123" s="108" t="s">
        <v>419</v>
      </c>
      <c r="B123" s="92" t="s">
        <v>420</v>
      </c>
      <c r="C123" s="92" t="s">
        <v>320</v>
      </c>
      <c r="D123" s="100" t="s">
        <v>421</v>
      </c>
      <c r="E123" s="92" t="s">
        <v>422</v>
      </c>
      <c r="F123" s="72" t="s">
        <v>1165</v>
      </c>
      <c r="G123" s="72" t="s">
        <v>1100</v>
      </c>
      <c r="H123" s="72" t="s">
        <v>1098</v>
      </c>
    </row>
    <row r="124" ht="41.4" spans="1:8">
      <c r="A124" s="108" t="s">
        <v>423</v>
      </c>
      <c r="B124" s="92" t="s">
        <v>424</v>
      </c>
      <c r="C124" s="92" t="s">
        <v>320</v>
      </c>
      <c r="D124" s="100" t="s">
        <v>421</v>
      </c>
      <c r="E124" s="92" t="s">
        <v>425</v>
      </c>
      <c r="F124" s="72" t="s">
        <v>1166</v>
      </c>
      <c r="G124" s="72" t="s">
        <v>1097</v>
      </c>
      <c r="H124" s="72" t="s">
        <v>1098</v>
      </c>
    </row>
    <row r="125" ht="96.6" spans="1:8">
      <c r="A125" s="108" t="s">
        <v>426</v>
      </c>
      <c r="B125" s="92" t="s">
        <v>427</v>
      </c>
      <c r="C125" s="92" t="s">
        <v>320</v>
      </c>
      <c r="D125" s="100" t="s">
        <v>428</v>
      </c>
      <c r="E125" s="92" t="s">
        <v>429</v>
      </c>
      <c r="F125" s="72" t="s">
        <v>1167</v>
      </c>
      <c r="G125" s="72" t="s">
        <v>1100</v>
      </c>
      <c r="H125" s="72" t="s">
        <v>1098</v>
      </c>
    </row>
    <row r="126" ht="96.6" spans="1:8">
      <c r="A126" s="108" t="s">
        <v>430</v>
      </c>
      <c r="B126" s="92" t="s">
        <v>431</v>
      </c>
      <c r="C126" s="92" t="s">
        <v>320</v>
      </c>
      <c r="D126" s="100" t="s">
        <v>432</v>
      </c>
      <c r="E126" s="92" t="s">
        <v>433</v>
      </c>
      <c r="F126" s="72" t="s">
        <v>1168</v>
      </c>
      <c r="G126" s="72" t="s">
        <v>1102</v>
      </c>
      <c r="H126" s="72" t="s">
        <v>1103</v>
      </c>
    </row>
    <row r="127" ht="69" spans="1:8">
      <c r="A127" s="108" t="s">
        <v>434</v>
      </c>
      <c r="B127" s="92" t="s">
        <v>435</v>
      </c>
      <c r="C127" s="92" t="s">
        <v>320</v>
      </c>
      <c r="D127" s="100" t="s">
        <v>436</v>
      </c>
      <c r="E127" s="92" t="s">
        <v>437</v>
      </c>
      <c r="F127" s="72" t="s">
        <v>1169</v>
      </c>
      <c r="G127" s="72" t="s">
        <v>1097</v>
      </c>
      <c r="H127" s="72" t="s">
        <v>1098</v>
      </c>
    </row>
    <row r="128" ht="82.8" spans="1:8">
      <c r="A128" s="108" t="s">
        <v>438</v>
      </c>
      <c r="B128" s="92" t="s">
        <v>439</v>
      </c>
      <c r="C128" s="92" t="s">
        <v>320</v>
      </c>
      <c r="D128" s="100" t="s">
        <v>440</v>
      </c>
      <c r="E128" s="92" t="s">
        <v>441</v>
      </c>
      <c r="F128" s="72" t="s">
        <v>1170</v>
      </c>
      <c r="G128" s="72" t="s">
        <v>1100</v>
      </c>
      <c r="H128" s="72" t="s">
        <v>1098</v>
      </c>
    </row>
    <row r="129" ht="69" spans="1:8">
      <c r="A129" s="108" t="s">
        <v>442</v>
      </c>
      <c r="B129" s="92" t="s">
        <v>443</v>
      </c>
      <c r="C129" s="92" t="s">
        <v>320</v>
      </c>
      <c r="D129" s="100" t="s">
        <v>444</v>
      </c>
      <c r="E129" s="92" t="s">
        <v>445</v>
      </c>
      <c r="F129" s="72" t="s">
        <v>1171</v>
      </c>
      <c r="G129" s="72" t="s">
        <v>1100</v>
      </c>
      <c r="H129" s="72" t="s">
        <v>1098</v>
      </c>
    </row>
    <row r="130" ht="69" spans="1:8">
      <c r="A130" s="108" t="s">
        <v>446</v>
      </c>
      <c r="B130" s="92" t="s">
        <v>447</v>
      </c>
      <c r="C130" s="92" t="s">
        <v>320</v>
      </c>
      <c r="D130" s="100" t="s">
        <v>448</v>
      </c>
      <c r="E130" s="92" t="s">
        <v>449</v>
      </c>
      <c r="F130" s="72" t="s">
        <v>447</v>
      </c>
      <c r="G130" s="72" t="s">
        <v>1097</v>
      </c>
      <c r="H130" s="72" t="s">
        <v>1098</v>
      </c>
    </row>
    <row r="131" ht="82.8" spans="1:8">
      <c r="A131" s="108" t="s">
        <v>450</v>
      </c>
      <c r="B131" s="92" t="s">
        <v>451</v>
      </c>
      <c r="C131" s="92" t="s">
        <v>320</v>
      </c>
      <c r="D131" s="100" t="s">
        <v>452</v>
      </c>
      <c r="E131" s="92" t="s">
        <v>453</v>
      </c>
      <c r="F131" s="72" t="s">
        <v>1172</v>
      </c>
      <c r="G131" s="72" t="s">
        <v>1100</v>
      </c>
      <c r="H131" s="72" t="s">
        <v>1098</v>
      </c>
    </row>
    <row r="132" ht="96.6" spans="1:8">
      <c r="A132" s="108" t="s">
        <v>454</v>
      </c>
      <c r="B132" s="92" t="s">
        <v>455</v>
      </c>
      <c r="C132" s="92" t="s">
        <v>320</v>
      </c>
      <c r="D132" s="100" t="s">
        <v>428</v>
      </c>
      <c r="E132" s="92" t="s">
        <v>456</v>
      </c>
      <c r="F132" s="72" t="s">
        <v>1173</v>
      </c>
      <c r="G132" s="72" t="s">
        <v>1100</v>
      </c>
      <c r="H132" s="72" t="s">
        <v>1098</v>
      </c>
    </row>
    <row r="133" ht="69" spans="1:8">
      <c r="A133" s="108" t="s">
        <v>457</v>
      </c>
      <c r="B133" s="92" t="s">
        <v>458</v>
      </c>
      <c r="C133" s="92" t="s">
        <v>320</v>
      </c>
      <c r="D133" s="100" t="s">
        <v>459</v>
      </c>
      <c r="E133" s="92" t="s">
        <v>460</v>
      </c>
      <c r="F133" s="72" t="s">
        <v>1174</v>
      </c>
      <c r="G133" s="72" t="s">
        <v>1097</v>
      </c>
      <c r="H133" s="72" t="s">
        <v>1098</v>
      </c>
    </row>
    <row r="134" ht="69" spans="1:8">
      <c r="A134" s="108" t="s">
        <v>461</v>
      </c>
      <c r="B134" s="92" t="s">
        <v>462</v>
      </c>
      <c r="C134" s="92" t="s">
        <v>320</v>
      </c>
      <c r="D134" s="100" t="s">
        <v>463</v>
      </c>
      <c r="E134" s="92" t="s">
        <v>464</v>
      </c>
      <c r="F134" s="72" t="s">
        <v>1175</v>
      </c>
      <c r="G134" s="72" t="s">
        <v>1097</v>
      </c>
      <c r="H134" s="72" t="s">
        <v>1098</v>
      </c>
    </row>
    <row r="135" ht="82.8" spans="1:8">
      <c r="A135" s="108" t="s">
        <v>465</v>
      </c>
      <c r="B135" s="92" t="s">
        <v>466</v>
      </c>
      <c r="C135" s="92" t="s">
        <v>320</v>
      </c>
      <c r="D135" s="100" t="s">
        <v>467</v>
      </c>
      <c r="E135" s="92" t="s">
        <v>468</v>
      </c>
      <c r="F135" s="72" t="s">
        <v>1176</v>
      </c>
      <c r="G135" s="72" t="s">
        <v>1102</v>
      </c>
      <c r="H135" s="72" t="s">
        <v>1103</v>
      </c>
    </row>
    <row r="136" ht="82.8" spans="1:8">
      <c r="A136" s="108" t="s">
        <v>469</v>
      </c>
      <c r="B136" s="92" t="s">
        <v>470</v>
      </c>
      <c r="C136" s="92" t="s">
        <v>320</v>
      </c>
      <c r="D136" s="100" t="s">
        <v>471</v>
      </c>
      <c r="E136" s="92" t="s">
        <v>472</v>
      </c>
      <c r="F136" s="72" t="s">
        <v>1177</v>
      </c>
      <c r="G136" s="72" t="s">
        <v>1097</v>
      </c>
      <c r="H136" s="72" t="s">
        <v>1098</v>
      </c>
    </row>
    <row r="137" ht="82.8" spans="1:8">
      <c r="A137" s="108" t="s">
        <v>473</v>
      </c>
      <c r="B137" s="92" t="s">
        <v>474</v>
      </c>
      <c r="C137" s="92" t="s">
        <v>320</v>
      </c>
      <c r="D137" s="100" t="s">
        <v>475</v>
      </c>
      <c r="E137" s="92" t="s">
        <v>476</v>
      </c>
      <c r="F137" s="72" t="s">
        <v>1178</v>
      </c>
      <c r="G137" s="72" t="s">
        <v>1100</v>
      </c>
      <c r="H137" s="72" t="s">
        <v>1098</v>
      </c>
    </row>
    <row r="138" ht="82.8" spans="1:8">
      <c r="A138" s="108" t="s">
        <v>477</v>
      </c>
      <c r="B138" s="92" t="s">
        <v>478</v>
      </c>
      <c r="C138" s="92" t="s">
        <v>320</v>
      </c>
      <c r="D138" s="100" t="s">
        <v>479</v>
      </c>
      <c r="E138" s="92" t="s">
        <v>480</v>
      </c>
      <c r="F138" s="72" t="s">
        <v>1179</v>
      </c>
      <c r="G138" s="72" t="s">
        <v>1100</v>
      </c>
      <c r="H138" s="72" t="s">
        <v>1098</v>
      </c>
    </row>
    <row r="139" ht="31.05" customHeight="1" spans="1:8">
      <c r="A139" s="94" t="s">
        <v>481</v>
      </c>
      <c r="B139" s="95"/>
      <c r="C139" s="95"/>
      <c r="D139" s="95"/>
      <c r="E139" s="95"/>
      <c r="F139" s="95"/>
      <c r="G139" s="95"/>
      <c r="H139" s="96"/>
    </row>
    <row r="140" ht="13.8" spans="1:8">
      <c r="A140" s="107" t="s">
        <v>24</v>
      </c>
      <c r="B140" s="107" t="s">
        <v>25</v>
      </c>
      <c r="C140" s="107" t="s">
        <v>26</v>
      </c>
      <c r="D140" s="107" t="s">
        <v>27</v>
      </c>
      <c r="E140" s="107" t="s">
        <v>28</v>
      </c>
      <c r="F140" s="91" t="s">
        <v>25</v>
      </c>
      <c r="G140" s="91" t="s">
        <v>1093</v>
      </c>
      <c r="H140" s="91" t="s">
        <v>1094</v>
      </c>
    </row>
    <row r="141" ht="151.8" spans="1:8">
      <c r="A141" s="108" t="s">
        <v>482</v>
      </c>
      <c r="B141" s="92" t="s">
        <v>483</v>
      </c>
      <c r="C141" s="92" t="s">
        <v>484</v>
      </c>
      <c r="D141" s="100" t="s">
        <v>485</v>
      </c>
      <c r="E141" s="92" t="s">
        <v>486</v>
      </c>
      <c r="F141" s="72" t="s">
        <v>1180</v>
      </c>
      <c r="G141" s="72" t="s">
        <v>1097</v>
      </c>
      <c r="H141" s="72" t="s">
        <v>1098</v>
      </c>
    </row>
    <row r="142" ht="82.8" spans="1:8">
      <c r="A142" s="108" t="s">
        <v>487</v>
      </c>
      <c r="B142" s="92" t="s">
        <v>488</v>
      </c>
      <c r="C142" s="92" t="s">
        <v>484</v>
      </c>
      <c r="D142" s="100" t="s">
        <v>489</v>
      </c>
      <c r="E142" s="92" t="s">
        <v>490</v>
      </c>
      <c r="F142" s="72" t="s">
        <v>1181</v>
      </c>
      <c r="G142" s="72" t="s">
        <v>1100</v>
      </c>
      <c r="H142" s="72" t="s">
        <v>1098</v>
      </c>
    </row>
    <row r="143" ht="55.2" spans="1:8">
      <c r="A143" s="108" t="s">
        <v>491</v>
      </c>
      <c r="B143" s="92" t="s">
        <v>492</v>
      </c>
      <c r="C143" s="92" t="s">
        <v>484</v>
      </c>
      <c r="D143" s="100" t="s">
        <v>493</v>
      </c>
      <c r="E143" s="92" t="s">
        <v>494</v>
      </c>
      <c r="F143" s="72" t="s">
        <v>492</v>
      </c>
      <c r="G143" s="72" t="s">
        <v>1097</v>
      </c>
      <c r="H143" s="72" t="s">
        <v>1098</v>
      </c>
    </row>
    <row r="144" ht="55.2" spans="1:8">
      <c r="A144" s="108" t="s">
        <v>495</v>
      </c>
      <c r="B144" s="92" t="s">
        <v>496</v>
      </c>
      <c r="C144" s="92" t="s">
        <v>484</v>
      </c>
      <c r="D144" s="100" t="s">
        <v>497</v>
      </c>
      <c r="E144" s="92" t="s">
        <v>498</v>
      </c>
      <c r="F144" s="72" t="s">
        <v>496</v>
      </c>
      <c r="G144" s="72" t="s">
        <v>1100</v>
      </c>
      <c r="H144" s="72" t="s">
        <v>1098</v>
      </c>
    </row>
    <row r="145" ht="69" spans="1:8">
      <c r="A145" s="108" t="s">
        <v>499</v>
      </c>
      <c r="B145" s="92" t="s">
        <v>500</v>
      </c>
      <c r="C145" s="92" t="s">
        <v>484</v>
      </c>
      <c r="D145" s="100" t="s">
        <v>501</v>
      </c>
      <c r="E145" s="92" t="s">
        <v>502</v>
      </c>
      <c r="F145" s="72" t="s">
        <v>500</v>
      </c>
      <c r="G145" s="72" t="s">
        <v>1100</v>
      </c>
      <c r="H145" s="72" t="s">
        <v>1098</v>
      </c>
    </row>
    <row r="146" ht="41.4" spans="1:8">
      <c r="A146" s="108" t="s">
        <v>503</v>
      </c>
      <c r="B146" s="92" t="s">
        <v>504</v>
      </c>
      <c r="C146" s="92" t="s">
        <v>484</v>
      </c>
      <c r="D146" s="100" t="s">
        <v>505</v>
      </c>
      <c r="E146" s="92" t="s">
        <v>506</v>
      </c>
      <c r="F146" s="72" t="s">
        <v>504</v>
      </c>
      <c r="G146" s="72" t="s">
        <v>1097</v>
      </c>
      <c r="H146" s="72" t="s">
        <v>1098</v>
      </c>
    </row>
    <row r="147" ht="55.2" spans="1:8">
      <c r="A147" s="108" t="s">
        <v>507</v>
      </c>
      <c r="B147" s="92" t="s">
        <v>508</v>
      </c>
      <c r="C147" s="92" t="s">
        <v>484</v>
      </c>
      <c r="D147" s="100" t="s">
        <v>509</v>
      </c>
      <c r="E147" s="92" t="s">
        <v>510</v>
      </c>
      <c r="F147" s="72" t="s">
        <v>1182</v>
      </c>
      <c r="G147" s="72" t="s">
        <v>1100</v>
      </c>
      <c r="H147" s="72" t="s">
        <v>1098</v>
      </c>
    </row>
    <row r="148" ht="69" spans="1:8">
      <c r="A148" s="108" t="s">
        <v>511</v>
      </c>
      <c r="B148" s="92" t="s">
        <v>512</v>
      </c>
      <c r="C148" s="92" t="s">
        <v>484</v>
      </c>
      <c r="D148" s="100" t="s">
        <v>513</v>
      </c>
      <c r="E148" s="92" t="s">
        <v>514</v>
      </c>
      <c r="F148" s="72" t="s">
        <v>512</v>
      </c>
      <c r="G148" s="72" t="s">
        <v>1100</v>
      </c>
      <c r="H148" s="72" t="s">
        <v>1098</v>
      </c>
    </row>
    <row r="149" ht="55.2" spans="1:8">
      <c r="A149" s="108" t="s">
        <v>515</v>
      </c>
      <c r="B149" s="92" t="s">
        <v>516</v>
      </c>
      <c r="C149" s="92" t="s">
        <v>484</v>
      </c>
      <c r="D149" s="100" t="s">
        <v>517</v>
      </c>
      <c r="E149" s="92" t="s">
        <v>518</v>
      </c>
      <c r="F149" s="72" t="s">
        <v>516</v>
      </c>
      <c r="G149" s="72" t="s">
        <v>1097</v>
      </c>
      <c r="H149" s="72" t="s">
        <v>1098</v>
      </c>
    </row>
    <row r="150" ht="55.2" spans="1:8">
      <c r="A150" s="108" t="s">
        <v>519</v>
      </c>
      <c r="B150" s="92" t="s">
        <v>520</v>
      </c>
      <c r="C150" s="92" t="s">
        <v>484</v>
      </c>
      <c r="D150" s="100" t="s">
        <v>521</v>
      </c>
      <c r="E150" s="92" t="s">
        <v>522</v>
      </c>
      <c r="F150" s="72" t="s">
        <v>520</v>
      </c>
      <c r="G150" s="72" t="s">
        <v>1100</v>
      </c>
      <c r="H150" s="72" t="s">
        <v>1098</v>
      </c>
    </row>
    <row r="151" ht="82.8" spans="1:8">
      <c r="A151" s="108" t="s">
        <v>523</v>
      </c>
      <c r="B151" s="92" t="s">
        <v>524</v>
      </c>
      <c r="C151" s="92" t="s">
        <v>484</v>
      </c>
      <c r="D151" s="100" t="s">
        <v>525</v>
      </c>
      <c r="E151" s="92" t="s">
        <v>526</v>
      </c>
      <c r="F151" s="72" t="s">
        <v>524</v>
      </c>
      <c r="G151" s="72" t="s">
        <v>1100</v>
      </c>
      <c r="H151" s="72" t="s">
        <v>1098</v>
      </c>
    </row>
    <row r="152" ht="41.4" spans="1:8">
      <c r="A152" s="108" t="s">
        <v>527</v>
      </c>
      <c r="B152" s="92" t="s">
        <v>528</v>
      </c>
      <c r="C152" s="92" t="s">
        <v>484</v>
      </c>
      <c r="D152" s="100" t="s">
        <v>529</v>
      </c>
      <c r="E152" s="92" t="s">
        <v>530</v>
      </c>
      <c r="F152" s="72" t="s">
        <v>528</v>
      </c>
      <c r="G152" s="72" t="s">
        <v>1097</v>
      </c>
      <c r="H152" s="72" t="s">
        <v>1098</v>
      </c>
    </row>
    <row r="153" ht="82.8" spans="1:8">
      <c r="A153" s="108" t="s">
        <v>531</v>
      </c>
      <c r="B153" s="92" t="s">
        <v>532</v>
      </c>
      <c r="C153" s="92" t="s">
        <v>484</v>
      </c>
      <c r="D153" s="100" t="s">
        <v>533</v>
      </c>
      <c r="E153" s="92" t="s">
        <v>534</v>
      </c>
      <c r="F153" s="72" t="s">
        <v>532</v>
      </c>
      <c r="G153" s="72" t="s">
        <v>1100</v>
      </c>
      <c r="H153" s="72" t="s">
        <v>1098</v>
      </c>
    </row>
    <row r="154" ht="69" spans="1:8">
      <c r="A154" s="108" t="s">
        <v>535</v>
      </c>
      <c r="B154" s="92" t="s">
        <v>536</v>
      </c>
      <c r="C154" s="92" t="s">
        <v>484</v>
      </c>
      <c r="D154" s="100" t="s">
        <v>537</v>
      </c>
      <c r="E154" s="92" t="s">
        <v>538</v>
      </c>
      <c r="F154" s="72" t="s">
        <v>536</v>
      </c>
      <c r="G154" s="72" t="s">
        <v>1100</v>
      </c>
      <c r="H154" s="72" t="s">
        <v>1098</v>
      </c>
    </row>
    <row r="155" ht="55.2" spans="1:8">
      <c r="A155" s="108" t="s">
        <v>539</v>
      </c>
      <c r="B155" s="92" t="s">
        <v>540</v>
      </c>
      <c r="C155" s="92" t="s">
        <v>484</v>
      </c>
      <c r="D155" s="100" t="s">
        <v>541</v>
      </c>
      <c r="E155" s="92" t="s">
        <v>542</v>
      </c>
      <c r="F155" s="72" t="s">
        <v>540</v>
      </c>
      <c r="G155" s="72" t="s">
        <v>1097</v>
      </c>
      <c r="H155" s="72" t="s">
        <v>1098</v>
      </c>
    </row>
    <row r="156" ht="55.2" spans="1:8">
      <c r="A156" s="108" t="s">
        <v>543</v>
      </c>
      <c r="B156" s="92" t="s">
        <v>544</v>
      </c>
      <c r="C156" s="92" t="s">
        <v>484</v>
      </c>
      <c r="D156" s="100" t="s">
        <v>545</v>
      </c>
      <c r="E156" s="92" t="s">
        <v>546</v>
      </c>
      <c r="F156" s="72" t="s">
        <v>544</v>
      </c>
      <c r="G156" s="72" t="s">
        <v>1100</v>
      </c>
      <c r="H156" s="72" t="s">
        <v>1098</v>
      </c>
    </row>
    <row r="157" ht="82.8" spans="1:8">
      <c r="A157" s="108" t="s">
        <v>547</v>
      </c>
      <c r="B157" s="92" t="s">
        <v>548</v>
      </c>
      <c r="C157" s="92" t="s">
        <v>484</v>
      </c>
      <c r="D157" s="100" t="s">
        <v>549</v>
      </c>
      <c r="E157" s="92" t="s">
        <v>550</v>
      </c>
      <c r="F157" s="72" t="s">
        <v>548</v>
      </c>
      <c r="G157" s="72" t="s">
        <v>1100</v>
      </c>
      <c r="H157" s="72" t="s">
        <v>1098</v>
      </c>
    </row>
    <row r="158" ht="41.4" spans="1:8">
      <c r="A158" s="108" t="s">
        <v>551</v>
      </c>
      <c r="B158" s="92" t="s">
        <v>552</v>
      </c>
      <c r="C158" s="92" t="s">
        <v>484</v>
      </c>
      <c r="D158" s="100" t="s">
        <v>553</v>
      </c>
      <c r="E158" s="92" t="s">
        <v>554</v>
      </c>
      <c r="F158" s="72" t="s">
        <v>552</v>
      </c>
      <c r="G158" s="72" t="s">
        <v>1097</v>
      </c>
      <c r="H158" s="72" t="s">
        <v>1098</v>
      </c>
    </row>
    <row r="159" ht="69" spans="1:8">
      <c r="A159" s="108" t="s">
        <v>555</v>
      </c>
      <c r="B159" s="92" t="s">
        <v>556</v>
      </c>
      <c r="C159" s="92" t="s">
        <v>484</v>
      </c>
      <c r="D159" s="100" t="s">
        <v>557</v>
      </c>
      <c r="E159" s="92" t="s">
        <v>558</v>
      </c>
      <c r="F159" s="72" t="s">
        <v>556</v>
      </c>
      <c r="G159" s="72" t="s">
        <v>1100</v>
      </c>
      <c r="H159" s="72" t="s">
        <v>1098</v>
      </c>
    </row>
    <row r="160" ht="69" spans="1:8">
      <c r="A160" s="108" t="s">
        <v>559</v>
      </c>
      <c r="B160" s="92" t="s">
        <v>560</v>
      </c>
      <c r="C160" s="92" t="s">
        <v>484</v>
      </c>
      <c r="D160" s="100" t="s">
        <v>561</v>
      </c>
      <c r="E160" s="92" t="s">
        <v>562</v>
      </c>
      <c r="F160" s="72" t="s">
        <v>560</v>
      </c>
      <c r="G160" s="72" t="s">
        <v>1100</v>
      </c>
      <c r="H160" s="72" t="s">
        <v>1098</v>
      </c>
    </row>
    <row r="161" ht="55.2" spans="1:8">
      <c r="A161" s="108" t="s">
        <v>563</v>
      </c>
      <c r="B161" s="92" t="s">
        <v>564</v>
      </c>
      <c r="C161" s="92" t="s">
        <v>484</v>
      </c>
      <c r="D161" s="100" t="s">
        <v>565</v>
      </c>
      <c r="E161" s="92" t="s">
        <v>566</v>
      </c>
      <c r="F161" s="72" t="s">
        <v>564</v>
      </c>
      <c r="G161" s="72" t="s">
        <v>1097</v>
      </c>
      <c r="H161" s="72" t="s">
        <v>1098</v>
      </c>
    </row>
    <row r="162" ht="69" spans="1:8">
      <c r="A162" s="108" t="s">
        <v>567</v>
      </c>
      <c r="B162" s="92" t="s">
        <v>568</v>
      </c>
      <c r="C162" s="92" t="s">
        <v>484</v>
      </c>
      <c r="D162" s="100" t="s">
        <v>569</v>
      </c>
      <c r="E162" s="92" t="s">
        <v>570</v>
      </c>
      <c r="F162" s="72" t="s">
        <v>568</v>
      </c>
      <c r="G162" s="72" t="s">
        <v>1100</v>
      </c>
      <c r="H162" s="72" t="s">
        <v>1098</v>
      </c>
    </row>
    <row r="163" ht="69" spans="1:8">
      <c r="A163" s="108" t="s">
        <v>571</v>
      </c>
      <c r="B163" s="92" t="s">
        <v>572</v>
      </c>
      <c r="C163" s="92" t="s">
        <v>484</v>
      </c>
      <c r="D163" s="100" t="s">
        <v>573</v>
      </c>
      <c r="E163" s="92" t="s">
        <v>574</v>
      </c>
      <c r="F163" s="72" t="s">
        <v>572</v>
      </c>
      <c r="G163" s="72" t="s">
        <v>1100</v>
      </c>
      <c r="H163" s="72" t="s">
        <v>1098</v>
      </c>
    </row>
    <row r="164" ht="55.2" spans="1:8">
      <c r="A164" s="108" t="s">
        <v>575</v>
      </c>
      <c r="B164" s="92" t="s">
        <v>576</v>
      </c>
      <c r="C164" s="92" t="s">
        <v>484</v>
      </c>
      <c r="D164" s="100" t="s">
        <v>577</v>
      </c>
      <c r="E164" s="92" t="s">
        <v>578</v>
      </c>
      <c r="F164" s="72" t="s">
        <v>576</v>
      </c>
      <c r="G164" s="72" t="s">
        <v>1100</v>
      </c>
      <c r="H164" s="72" t="s">
        <v>1098</v>
      </c>
    </row>
    <row r="165" ht="41.4" spans="1:8">
      <c r="A165" s="108" t="s">
        <v>579</v>
      </c>
      <c r="B165" s="92" t="s">
        <v>580</v>
      </c>
      <c r="C165" s="92" t="s">
        <v>484</v>
      </c>
      <c r="D165" s="100" t="s">
        <v>581</v>
      </c>
      <c r="E165" s="92" t="s">
        <v>582</v>
      </c>
      <c r="F165" s="72" t="s">
        <v>580</v>
      </c>
      <c r="G165" s="72" t="s">
        <v>1097</v>
      </c>
      <c r="H165" s="72" t="s">
        <v>1098</v>
      </c>
    </row>
    <row r="166" ht="55.2" spans="1:8">
      <c r="A166" s="108" t="s">
        <v>583</v>
      </c>
      <c r="B166" s="92" t="s">
        <v>584</v>
      </c>
      <c r="C166" s="92" t="s">
        <v>484</v>
      </c>
      <c r="D166" s="100" t="s">
        <v>577</v>
      </c>
      <c r="E166" s="92" t="s">
        <v>578</v>
      </c>
      <c r="F166" s="72" t="s">
        <v>584</v>
      </c>
      <c r="G166" s="72" t="s">
        <v>1100</v>
      </c>
      <c r="H166" s="72" t="s">
        <v>1098</v>
      </c>
    </row>
    <row r="167" ht="69" spans="1:8">
      <c r="A167" s="108" t="s">
        <v>585</v>
      </c>
      <c r="B167" s="92" t="s">
        <v>586</v>
      </c>
      <c r="C167" s="92" t="s">
        <v>484</v>
      </c>
      <c r="D167" s="100" t="s">
        <v>587</v>
      </c>
      <c r="E167" s="92" t="s">
        <v>588</v>
      </c>
      <c r="F167" s="72" t="s">
        <v>586</v>
      </c>
      <c r="G167" s="72" t="s">
        <v>1100</v>
      </c>
      <c r="H167" s="72" t="s">
        <v>1098</v>
      </c>
    </row>
    <row r="168" ht="55.2" spans="1:8">
      <c r="A168" s="108" t="s">
        <v>589</v>
      </c>
      <c r="B168" s="92" t="s">
        <v>590</v>
      </c>
      <c r="C168" s="92" t="s">
        <v>484</v>
      </c>
      <c r="D168" s="100" t="s">
        <v>591</v>
      </c>
      <c r="E168" s="92" t="s">
        <v>592</v>
      </c>
      <c r="F168" s="72" t="s">
        <v>590</v>
      </c>
      <c r="G168" s="72" t="s">
        <v>1097</v>
      </c>
      <c r="H168" s="72" t="s">
        <v>1098</v>
      </c>
    </row>
    <row r="169" ht="69" spans="1:8">
      <c r="A169" s="108" t="s">
        <v>593</v>
      </c>
      <c r="B169" s="92" t="s">
        <v>594</v>
      </c>
      <c r="C169" s="92" t="s">
        <v>484</v>
      </c>
      <c r="D169" s="100" t="s">
        <v>595</v>
      </c>
      <c r="E169" s="92" t="s">
        <v>596</v>
      </c>
      <c r="F169" s="72" t="s">
        <v>594</v>
      </c>
      <c r="G169" s="72" t="s">
        <v>1100</v>
      </c>
      <c r="H169" s="72" t="s">
        <v>1098</v>
      </c>
    </row>
    <row r="170" ht="69" spans="1:8">
      <c r="A170" s="108" t="s">
        <v>597</v>
      </c>
      <c r="B170" s="92" t="s">
        <v>598</v>
      </c>
      <c r="C170" s="92" t="s">
        <v>484</v>
      </c>
      <c r="D170" s="100" t="s">
        <v>599</v>
      </c>
      <c r="E170" s="92" t="s">
        <v>600</v>
      </c>
      <c r="F170" s="72" t="s">
        <v>598</v>
      </c>
      <c r="G170" s="72" t="s">
        <v>1100</v>
      </c>
      <c r="H170" s="72" t="s">
        <v>1098</v>
      </c>
    </row>
    <row r="171" ht="69" spans="1:8">
      <c r="A171" s="108" t="s">
        <v>601</v>
      </c>
      <c r="B171" s="92" t="s">
        <v>602</v>
      </c>
      <c r="C171" s="92" t="s">
        <v>484</v>
      </c>
      <c r="D171" s="100" t="s">
        <v>603</v>
      </c>
      <c r="E171" s="92" t="s">
        <v>604</v>
      </c>
      <c r="F171" s="72" t="s">
        <v>602</v>
      </c>
      <c r="G171" s="72" t="s">
        <v>1097</v>
      </c>
      <c r="H171" s="72" t="s">
        <v>1098</v>
      </c>
    </row>
    <row r="172" ht="69" spans="1:8">
      <c r="A172" s="108" t="s">
        <v>605</v>
      </c>
      <c r="B172" s="92" t="s">
        <v>606</v>
      </c>
      <c r="C172" s="92" t="s">
        <v>484</v>
      </c>
      <c r="D172" s="100" t="s">
        <v>607</v>
      </c>
      <c r="E172" s="92" t="s">
        <v>608</v>
      </c>
      <c r="F172" s="72" t="s">
        <v>606</v>
      </c>
      <c r="G172" s="72" t="s">
        <v>1100</v>
      </c>
      <c r="H172" s="72" t="s">
        <v>1098</v>
      </c>
    </row>
    <row r="173" ht="82.8" spans="1:8">
      <c r="A173" s="108" t="s">
        <v>609</v>
      </c>
      <c r="B173" s="92" t="s">
        <v>610</v>
      </c>
      <c r="C173" s="92" t="s">
        <v>484</v>
      </c>
      <c r="D173" s="100" t="s">
        <v>611</v>
      </c>
      <c r="E173" s="92" t="s">
        <v>612</v>
      </c>
      <c r="F173" s="72" t="s">
        <v>610</v>
      </c>
      <c r="G173" s="72" t="s">
        <v>1100</v>
      </c>
      <c r="H173" s="72" t="s">
        <v>1098</v>
      </c>
    </row>
    <row r="174" ht="55.2" spans="1:8">
      <c r="A174" s="108" t="s">
        <v>613</v>
      </c>
      <c r="B174" s="92" t="s">
        <v>614</v>
      </c>
      <c r="C174" s="92" t="s">
        <v>484</v>
      </c>
      <c r="D174" s="100" t="s">
        <v>615</v>
      </c>
      <c r="E174" s="92" t="s">
        <v>616</v>
      </c>
      <c r="F174" s="72" t="s">
        <v>614</v>
      </c>
      <c r="G174" s="72" t="s">
        <v>1097</v>
      </c>
      <c r="H174" s="72" t="s">
        <v>1098</v>
      </c>
    </row>
    <row r="175" ht="82.8" spans="1:8">
      <c r="A175" s="108" t="s">
        <v>617</v>
      </c>
      <c r="B175" s="92" t="s">
        <v>618</v>
      </c>
      <c r="C175" s="92" t="s">
        <v>484</v>
      </c>
      <c r="D175" s="100" t="s">
        <v>619</v>
      </c>
      <c r="E175" s="92" t="s">
        <v>620</v>
      </c>
      <c r="F175" s="72" t="s">
        <v>618</v>
      </c>
      <c r="G175" s="72" t="s">
        <v>1100</v>
      </c>
      <c r="H175" s="72" t="s">
        <v>1098</v>
      </c>
    </row>
    <row r="176" ht="69" spans="1:8">
      <c r="A176" s="108" t="s">
        <v>621</v>
      </c>
      <c r="B176" s="92" t="s">
        <v>622</v>
      </c>
      <c r="C176" s="92" t="s">
        <v>484</v>
      </c>
      <c r="D176" s="100" t="s">
        <v>623</v>
      </c>
      <c r="E176" s="92" t="s">
        <v>624</v>
      </c>
      <c r="F176" s="72" t="s">
        <v>622</v>
      </c>
      <c r="G176" s="72" t="s">
        <v>1100</v>
      </c>
      <c r="H176" s="72" t="s">
        <v>1098</v>
      </c>
    </row>
    <row r="177" ht="41.4" spans="1:8">
      <c r="A177" s="108" t="s">
        <v>625</v>
      </c>
      <c r="B177" s="92" t="s">
        <v>626</v>
      </c>
      <c r="C177" s="92" t="s">
        <v>484</v>
      </c>
      <c r="D177" s="100" t="s">
        <v>627</v>
      </c>
      <c r="E177" s="92" t="s">
        <v>628</v>
      </c>
      <c r="F177" s="72" t="s">
        <v>626</v>
      </c>
      <c r="G177" s="72" t="s">
        <v>1097</v>
      </c>
      <c r="H177" s="72" t="s">
        <v>1098</v>
      </c>
    </row>
    <row r="178" ht="55.2" spans="1:8">
      <c r="A178" s="108" t="s">
        <v>629</v>
      </c>
      <c r="B178" s="92" t="s">
        <v>630</v>
      </c>
      <c r="C178" s="92" t="s">
        <v>484</v>
      </c>
      <c r="D178" s="100" t="s">
        <v>631</v>
      </c>
      <c r="E178" s="92" t="s">
        <v>632</v>
      </c>
      <c r="F178" s="72" t="s">
        <v>630</v>
      </c>
      <c r="G178" s="72" t="s">
        <v>1100</v>
      </c>
      <c r="H178" s="72" t="s">
        <v>1098</v>
      </c>
    </row>
    <row r="179" ht="33" customHeight="1" spans="1:8">
      <c r="A179" s="94" t="s">
        <v>633</v>
      </c>
      <c r="B179" s="95"/>
      <c r="C179" s="95"/>
      <c r="D179" s="95"/>
      <c r="E179" s="95"/>
      <c r="F179" s="95"/>
      <c r="G179" s="95"/>
      <c r="H179" s="96"/>
    </row>
    <row r="180" ht="13.8" spans="1:8">
      <c r="A180" s="107" t="s">
        <v>24</v>
      </c>
      <c r="B180" s="107" t="s">
        <v>25</v>
      </c>
      <c r="C180" s="107" t="s">
        <v>26</v>
      </c>
      <c r="D180" s="107" t="s">
        <v>27</v>
      </c>
      <c r="E180" s="107" t="s">
        <v>28</v>
      </c>
      <c r="F180" s="91" t="s">
        <v>25</v>
      </c>
      <c r="G180" s="91" t="s">
        <v>1093</v>
      </c>
      <c r="H180" s="91" t="s">
        <v>1094</v>
      </c>
    </row>
    <row r="181" ht="96.6" spans="1:8">
      <c r="A181" s="108" t="s">
        <v>634</v>
      </c>
      <c r="B181" s="92" t="s">
        <v>635</v>
      </c>
      <c r="C181" s="92" t="s">
        <v>636</v>
      </c>
      <c r="D181" s="100" t="s">
        <v>637</v>
      </c>
      <c r="E181" s="92" t="s">
        <v>638</v>
      </c>
      <c r="F181" s="72" t="s">
        <v>1183</v>
      </c>
      <c r="G181" s="72" t="s">
        <v>1097</v>
      </c>
      <c r="H181" s="72" t="s">
        <v>1098</v>
      </c>
    </row>
    <row r="182" ht="82.8" spans="1:8">
      <c r="A182" s="108" t="s">
        <v>639</v>
      </c>
      <c r="B182" s="92" t="s">
        <v>640</v>
      </c>
      <c r="C182" s="92" t="s">
        <v>636</v>
      </c>
      <c r="D182" s="100" t="s">
        <v>641</v>
      </c>
      <c r="E182" s="92" t="s">
        <v>642</v>
      </c>
      <c r="F182" s="72" t="s">
        <v>1184</v>
      </c>
      <c r="G182" s="72" t="s">
        <v>1100</v>
      </c>
      <c r="H182" s="72" t="s">
        <v>1098</v>
      </c>
    </row>
    <row r="183" ht="41.4" spans="1:8">
      <c r="A183" s="108" t="s">
        <v>643</v>
      </c>
      <c r="B183" s="92" t="s">
        <v>644</v>
      </c>
      <c r="C183" s="92" t="s">
        <v>636</v>
      </c>
      <c r="D183" s="100" t="s">
        <v>645</v>
      </c>
      <c r="E183" s="92" t="s">
        <v>646</v>
      </c>
      <c r="F183" s="72" t="s">
        <v>1185</v>
      </c>
      <c r="G183" s="72" t="s">
        <v>1097</v>
      </c>
      <c r="H183" s="72" t="s">
        <v>1098</v>
      </c>
    </row>
    <row r="184" ht="82.8" spans="1:8">
      <c r="A184" s="108" t="s">
        <v>647</v>
      </c>
      <c r="B184" s="92" t="s">
        <v>648</v>
      </c>
      <c r="C184" s="92" t="s">
        <v>636</v>
      </c>
      <c r="D184" s="100" t="s">
        <v>649</v>
      </c>
      <c r="E184" s="92" t="s">
        <v>650</v>
      </c>
      <c r="F184" s="72" t="s">
        <v>1186</v>
      </c>
      <c r="G184" s="72" t="s">
        <v>1100</v>
      </c>
      <c r="H184" s="72" t="s">
        <v>1098</v>
      </c>
    </row>
    <row r="185" ht="69" spans="1:8">
      <c r="A185" s="108" t="s">
        <v>651</v>
      </c>
      <c r="B185" s="92" t="s">
        <v>652</v>
      </c>
      <c r="C185" s="92" t="s">
        <v>636</v>
      </c>
      <c r="D185" s="100" t="s">
        <v>653</v>
      </c>
      <c r="E185" s="92" t="s">
        <v>654</v>
      </c>
      <c r="F185" s="72" t="s">
        <v>1187</v>
      </c>
      <c r="G185" s="72" t="s">
        <v>1100</v>
      </c>
      <c r="H185" s="72" t="s">
        <v>1098</v>
      </c>
    </row>
    <row r="186" ht="41.4" spans="1:8">
      <c r="A186" s="108" t="s">
        <v>655</v>
      </c>
      <c r="B186" s="92" t="s">
        <v>656</v>
      </c>
      <c r="C186" s="92" t="s">
        <v>636</v>
      </c>
      <c r="D186" s="100" t="s">
        <v>657</v>
      </c>
      <c r="E186" s="92" t="s">
        <v>658</v>
      </c>
      <c r="F186" s="72" t="s">
        <v>1188</v>
      </c>
      <c r="G186" s="72" t="s">
        <v>1097</v>
      </c>
      <c r="H186" s="72" t="s">
        <v>1098</v>
      </c>
    </row>
    <row r="187" ht="55.2" spans="1:8">
      <c r="A187" s="108" t="s">
        <v>659</v>
      </c>
      <c r="B187" s="92" t="s">
        <v>660</v>
      </c>
      <c r="C187" s="92" t="s">
        <v>636</v>
      </c>
      <c r="D187" s="100" t="s">
        <v>661</v>
      </c>
      <c r="E187" s="92" t="s">
        <v>662</v>
      </c>
      <c r="F187" s="72" t="s">
        <v>1189</v>
      </c>
      <c r="G187" s="72" t="s">
        <v>1100</v>
      </c>
      <c r="H187" s="72" t="s">
        <v>1098</v>
      </c>
    </row>
    <row r="188" ht="69" spans="1:8">
      <c r="A188" s="108" t="s">
        <v>663</v>
      </c>
      <c r="B188" s="92" t="s">
        <v>664</v>
      </c>
      <c r="C188" s="92" t="s">
        <v>636</v>
      </c>
      <c r="D188" s="100" t="s">
        <v>665</v>
      </c>
      <c r="E188" s="92" t="s">
        <v>666</v>
      </c>
      <c r="F188" s="72" t="s">
        <v>1190</v>
      </c>
      <c r="G188" s="72" t="s">
        <v>1100</v>
      </c>
      <c r="H188" s="72" t="s">
        <v>1098</v>
      </c>
    </row>
    <row r="189" ht="55.2" spans="1:8">
      <c r="A189" s="108" t="s">
        <v>667</v>
      </c>
      <c r="B189" s="92" t="s">
        <v>668</v>
      </c>
      <c r="C189" s="92" t="s">
        <v>636</v>
      </c>
      <c r="D189" s="100" t="s">
        <v>669</v>
      </c>
      <c r="E189" s="92" t="s">
        <v>670</v>
      </c>
      <c r="F189" s="72" t="s">
        <v>1191</v>
      </c>
      <c r="G189" s="72" t="s">
        <v>1097</v>
      </c>
      <c r="H189" s="72" t="s">
        <v>1098</v>
      </c>
    </row>
    <row r="190" ht="69" spans="1:8">
      <c r="A190" s="108" t="s">
        <v>671</v>
      </c>
      <c r="B190" s="92" t="s">
        <v>672</v>
      </c>
      <c r="C190" s="92" t="s">
        <v>636</v>
      </c>
      <c r="D190" s="100" t="s">
        <v>673</v>
      </c>
      <c r="E190" s="92" t="s">
        <v>674</v>
      </c>
      <c r="F190" s="72" t="s">
        <v>1192</v>
      </c>
      <c r="G190" s="72" t="s">
        <v>1100</v>
      </c>
      <c r="H190" s="72" t="s">
        <v>1098</v>
      </c>
    </row>
    <row r="191" ht="69" spans="1:8">
      <c r="A191" s="108" t="s">
        <v>675</v>
      </c>
      <c r="B191" s="92" t="s">
        <v>676</v>
      </c>
      <c r="C191" s="92" t="s">
        <v>636</v>
      </c>
      <c r="D191" s="100" t="s">
        <v>677</v>
      </c>
      <c r="E191" s="92" t="s">
        <v>678</v>
      </c>
      <c r="F191" s="72" t="s">
        <v>1193</v>
      </c>
      <c r="G191" s="72" t="s">
        <v>1100</v>
      </c>
      <c r="H191" s="72" t="s">
        <v>1098</v>
      </c>
    </row>
    <row r="192" ht="41.4" spans="1:8">
      <c r="A192" s="108" t="s">
        <v>679</v>
      </c>
      <c r="B192" s="92" t="s">
        <v>680</v>
      </c>
      <c r="C192" s="92" t="s">
        <v>636</v>
      </c>
      <c r="D192" s="100" t="s">
        <v>681</v>
      </c>
      <c r="E192" s="92" t="s">
        <v>682</v>
      </c>
      <c r="F192" s="72" t="s">
        <v>1194</v>
      </c>
      <c r="G192" s="72" t="s">
        <v>1097</v>
      </c>
      <c r="H192" s="72" t="s">
        <v>1098</v>
      </c>
    </row>
    <row r="193" ht="69" spans="1:8">
      <c r="A193" s="108" t="s">
        <v>683</v>
      </c>
      <c r="B193" s="92" t="s">
        <v>684</v>
      </c>
      <c r="C193" s="92" t="s">
        <v>636</v>
      </c>
      <c r="D193" s="100" t="s">
        <v>685</v>
      </c>
      <c r="E193" s="92" t="s">
        <v>686</v>
      </c>
      <c r="F193" s="72" t="s">
        <v>1195</v>
      </c>
      <c r="G193" s="72" t="s">
        <v>1100</v>
      </c>
      <c r="H193" s="72" t="s">
        <v>1098</v>
      </c>
    </row>
    <row r="194" ht="69" spans="1:8">
      <c r="A194" s="108" t="s">
        <v>687</v>
      </c>
      <c r="B194" s="92" t="s">
        <v>688</v>
      </c>
      <c r="C194" s="92" t="s">
        <v>636</v>
      </c>
      <c r="D194" s="100" t="s">
        <v>689</v>
      </c>
      <c r="E194" s="92" t="s">
        <v>690</v>
      </c>
      <c r="F194" s="72" t="s">
        <v>1196</v>
      </c>
      <c r="G194" s="72" t="s">
        <v>1100</v>
      </c>
      <c r="H194" s="72" t="s">
        <v>1098</v>
      </c>
    </row>
    <row r="195" ht="41.4" spans="1:8">
      <c r="A195" s="108" t="s">
        <v>691</v>
      </c>
      <c r="B195" s="92" t="s">
        <v>692</v>
      </c>
      <c r="C195" s="92" t="s">
        <v>636</v>
      </c>
      <c r="D195" s="100" t="s">
        <v>693</v>
      </c>
      <c r="E195" s="92" t="s">
        <v>694</v>
      </c>
      <c r="F195" s="72" t="s">
        <v>1197</v>
      </c>
      <c r="G195" s="72" t="s">
        <v>1097</v>
      </c>
      <c r="H195" s="72" t="s">
        <v>1098</v>
      </c>
    </row>
    <row r="196" ht="55.2" spans="1:8">
      <c r="A196" s="108" t="s">
        <v>695</v>
      </c>
      <c r="B196" s="92" t="s">
        <v>696</v>
      </c>
      <c r="C196" s="92" t="s">
        <v>636</v>
      </c>
      <c r="D196" s="100" t="s">
        <v>697</v>
      </c>
      <c r="E196" s="92" t="s">
        <v>698</v>
      </c>
      <c r="F196" s="72" t="s">
        <v>1198</v>
      </c>
      <c r="G196" s="72" t="s">
        <v>1100</v>
      </c>
      <c r="H196" s="72" t="s">
        <v>1098</v>
      </c>
    </row>
    <row r="197" ht="69" spans="1:8">
      <c r="A197" s="108" t="s">
        <v>699</v>
      </c>
      <c r="B197" s="92" t="s">
        <v>700</v>
      </c>
      <c r="C197" s="92" t="s">
        <v>636</v>
      </c>
      <c r="D197" s="100" t="s">
        <v>701</v>
      </c>
      <c r="E197" s="92" t="s">
        <v>624</v>
      </c>
      <c r="F197" s="72" t="s">
        <v>622</v>
      </c>
      <c r="G197" s="72" t="s">
        <v>1100</v>
      </c>
      <c r="H197" s="72" t="s">
        <v>1098</v>
      </c>
    </row>
    <row r="198" ht="55.2" spans="1:8">
      <c r="A198" s="108" t="s">
        <v>702</v>
      </c>
      <c r="B198" s="92" t="s">
        <v>703</v>
      </c>
      <c r="C198" s="92" t="s">
        <v>636</v>
      </c>
      <c r="D198" s="100" t="s">
        <v>704</v>
      </c>
      <c r="E198" s="92" t="s">
        <v>628</v>
      </c>
      <c r="F198" s="72" t="s">
        <v>626</v>
      </c>
      <c r="G198" s="72" t="s">
        <v>1097</v>
      </c>
      <c r="H198" s="72" t="s">
        <v>1098</v>
      </c>
    </row>
    <row r="199" ht="55.2" spans="1:8">
      <c r="A199" s="108" t="s">
        <v>705</v>
      </c>
      <c r="B199" s="92" t="s">
        <v>706</v>
      </c>
      <c r="C199" s="92" t="s">
        <v>636</v>
      </c>
      <c r="D199" s="100" t="s">
        <v>707</v>
      </c>
      <c r="E199" s="92" t="s">
        <v>632</v>
      </c>
      <c r="F199" s="72" t="s">
        <v>1199</v>
      </c>
      <c r="G199" s="72" t="s">
        <v>1100</v>
      </c>
      <c r="H199" s="72" t="s">
        <v>1098</v>
      </c>
    </row>
    <row r="200" ht="33" customHeight="1" spans="1:8">
      <c r="A200" s="94" t="s">
        <v>708</v>
      </c>
      <c r="B200" s="95"/>
      <c r="C200" s="95"/>
      <c r="D200" s="95"/>
      <c r="E200" s="95"/>
      <c r="F200" s="95"/>
      <c r="G200" s="95"/>
      <c r="H200" s="96"/>
    </row>
    <row r="201" ht="13.8" spans="1:8">
      <c r="A201" s="107" t="s">
        <v>24</v>
      </c>
      <c r="B201" s="107" t="s">
        <v>25</v>
      </c>
      <c r="C201" s="107" t="s">
        <v>26</v>
      </c>
      <c r="D201" s="107" t="s">
        <v>27</v>
      </c>
      <c r="E201" s="107" t="s">
        <v>28</v>
      </c>
      <c r="F201" s="91" t="s">
        <v>25</v>
      </c>
      <c r="G201" s="91" t="s">
        <v>1093</v>
      </c>
      <c r="H201" s="91" t="s">
        <v>1094</v>
      </c>
    </row>
    <row r="202" ht="124.2" spans="1:8">
      <c r="A202" s="108" t="s">
        <v>709</v>
      </c>
      <c r="B202" s="92" t="s">
        <v>710</v>
      </c>
      <c r="C202" s="92" t="s">
        <v>711</v>
      </c>
      <c r="D202" s="100" t="s">
        <v>712</v>
      </c>
      <c r="E202" s="92" t="s">
        <v>713</v>
      </c>
      <c r="F202" s="72" t="s">
        <v>710</v>
      </c>
      <c r="G202" s="72" t="s">
        <v>1097</v>
      </c>
      <c r="H202" s="72" t="s">
        <v>1098</v>
      </c>
    </row>
    <row r="203" ht="41.4" spans="1:8">
      <c r="A203" s="108" t="s">
        <v>714</v>
      </c>
      <c r="B203" s="92" t="s">
        <v>715</v>
      </c>
      <c r="C203" s="92" t="s">
        <v>711</v>
      </c>
      <c r="D203" s="100" t="s">
        <v>716</v>
      </c>
      <c r="E203" s="92" t="s">
        <v>717</v>
      </c>
      <c r="F203" s="72" t="s">
        <v>715</v>
      </c>
      <c r="G203" s="72" t="s">
        <v>1097</v>
      </c>
      <c r="H203" s="72" t="s">
        <v>1098</v>
      </c>
    </row>
    <row r="204" ht="55.2" spans="1:8">
      <c r="A204" s="108" t="s">
        <v>718</v>
      </c>
      <c r="B204" s="92" t="s">
        <v>719</v>
      </c>
      <c r="C204" s="92" t="s">
        <v>711</v>
      </c>
      <c r="D204" s="100" t="s">
        <v>720</v>
      </c>
      <c r="E204" s="92" t="s">
        <v>721</v>
      </c>
      <c r="F204" s="72" t="s">
        <v>719</v>
      </c>
      <c r="G204" s="72" t="s">
        <v>1100</v>
      </c>
      <c r="H204" s="72" t="s">
        <v>1098</v>
      </c>
    </row>
    <row r="205" ht="55.2" spans="1:8">
      <c r="A205" s="108" t="s">
        <v>722</v>
      </c>
      <c r="B205" s="92" t="s">
        <v>540</v>
      </c>
      <c r="C205" s="92" t="s">
        <v>711</v>
      </c>
      <c r="D205" s="100" t="s">
        <v>723</v>
      </c>
      <c r="E205" s="92" t="s">
        <v>542</v>
      </c>
      <c r="F205" s="72" t="s">
        <v>540</v>
      </c>
      <c r="G205" s="72" t="s">
        <v>1097</v>
      </c>
      <c r="H205" s="72" t="s">
        <v>1098</v>
      </c>
    </row>
    <row r="206" ht="55.2" spans="1:8">
      <c r="A206" s="108" t="s">
        <v>724</v>
      </c>
      <c r="B206" s="92" t="s">
        <v>725</v>
      </c>
      <c r="C206" s="92" t="s">
        <v>711</v>
      </c>
      <c r="D206" s="100" t="s">
        <v>726</v>
      </c>
      <c r="E206" s="92" t="s">
        <v>727</v>
      </c>
      <c r="F206" s="72" t="s">
        <v>725</v>
      </c>
      <c r="G206" s="72" t="s">
        <v>1100</v>
      </c>
      <c r="H206" s="72" t="s">
        <v>1098</v>
      </c>
    </row>
    <row r="207" ht="41.4" spans="1:8">
      <c r="A207" s="108" t="s">
        <v>728</v>
      </c>
      <c r="B207" s="92" t="s">
        <v>552</v>
      </c>
      <c r="C207" s="92" t="s">
        <v>711</v>
      </c>
      <c r="D207" s="100" t="s">
        <v>729</v>
      </c>
      <c r="E207" s="92" t="s">
        <v>554</v>
      </c>
      <c r="F207" s="72" t="s">
        <v>552</v>
      </c>
      <c r="G207" s="72" t="s">
        <v>1097</v>
      </c>
      <c r="H207" s="72" t="s">
        <v>1098</v>
      </c>
    </row>
    <row r="208" ht="55.2" spans="1:8">
      <c r="A208" s="108" t="s">
        <v>730</v>
      </c>
      <c r="B208" s="92" t="s">
        <v>731</v>
      </c>
      <c r="C208" s="92" t="s">
        <v>711</v>
      </c>
      <c r="D208" s="100" t="s">
        <v>732</v>
      </c>
      <c r="E208" s="92" t="s">
        <v>733</v>
      </c>
      <c r="F208" s="72" t="s">
        <v>731</v>
      </c>
      <c r="G208" s="72" t="s">
        <v>1100</v>
      </c>
      <c r="H208" s="72" t="s">
        <v>1098</v>
      </c>
    </row>
    <row r="209" ht="69" spans="1:8">
      <c r="A209" s="108" t="s">
        <v>734</v>
      </c>
      <c r="B209" s="92" t="s">
        <v>735</v>
      </c>
      <c r="C209" s="92" t="s">
        <v>711</v>
      </c>
      <c r="D209" s="100" t="s">
        <v>736</v>
      </c>
      <c r="E209" s="92" t="s">
        <v>737</v>
      </c>
      <c r="F209" s="72" t="s">
        <v>735</v>
      </c>
      <c r="G209" s="72" t="s">
        <v>1097</v>
      </c>
      <c r="H209" s="72" t="s">
        <v>1098</v>
      </c>
    </row>
    <row r="210" ht="69" spans="1:8">
      <c r="A210" s="108" t="s">
        <v>738</v>
      </c>
      <c r="B210" s="92" t="s">
        <v>739</v>
      </c>
      <c r="C210" s="92" t="s">
        <v>711</v>
      </c>
      <c r="D210" s="100" t="s">
        <v>740</v>
      </c>
      <c r="E210" s="92" t="s">
        <v>741</v>
      </c>
      <c r="F210" s="72" t="s">
        <v>739</v>
      </c>
      <c r="G210" s="72" t="s">
        <v>1100</v>
      </c>
      <c r="H210" s="72" t="s">
        <v>1098</v>
      </c>
    </row>
    <row r="211" ht="124.2" spans="1:8">
      <c r="A211" s="108" t="s">
        <v>742</v>
      </c>
      <c r="B211" s="92" t="s">
        <v>710</v>
      </c>
      <c r="C211" s="92" t="s">
        <v>711</v>
      </c>
      <c r="D211" s="100" t="s">
        <v>743</v>
      </c>
      <c r="E211" s="92" t="s">
        <v>713</v>
      </c>
      <c r="F211" s="72" t="s">
        <v>710</v>
      </c>
      <c r="G211" s="72" t="s">
        <v>1097</v>
      </c>
      <c r="H211" s="72" t="s">
        <v>1098</v>
      </c>
    </row>
    <row r="212" ht="41.4" spans="1:8">
      <c r="A212" s="108" t="s">
        <v>744</v>
      </c>
      <c r="B212" s="92" t="s">
        <v>715</v>
      </c>
      <c r="C212" s="92" t="s">
        <v>711</v>
      </c>
      <c r="D212" s="100" t="s">
        <v>716</v>
      </c>
      <c r="E212" s="92" t="s">
        <v>717</v>
      </c>
      <c r="F212" s="72" t="s">
        <v>715</v>
      </c>
      <c r="G212" s="72" t="s">
        <v>1097</v>
      </c>
      <c r="H212" s="72" t="s">
        <v>1098</v>
      </c>
    </row>
    <row r="213" ht="55.2" spans="1:8">
      <c r="A213" s="108" t="s">
        <v>745</v>
      </c>
      <c r="B213" s="92" t="s">
        <v>719</v>
      </c>
      <c r="C213" s="92" t="s">
        <v>711</v>
      </c>
      <c r="D213" s="100" t="s">
        <v>720</v>
      </c>
      <c r="E213" s="92" t="s">
        <v>721</v>
      </c>
      <c r="F213" s="72" t="s">
        <v>719</v>
      </c>
      <c r="G213" s="72" t="s">
        <v>1100</v>
      </c>
      <c r="H213" s="72" t="s">
        <v>1098</v>
      </c>
    </row>
    <row r="214" ht="55.2" spans="1:8">
      <c r="A214" s="108" t="s">
        <v>746</v>
      </c>
      <c r="B214" s="92" t="s">
        <v>540</v>
      </c>
      <c r="C214" s="92" t="s">
        <v>711</v>
      </c>
      <c r="D214" s="100" t="s">
        <v>723</v>
      </c>
      <c r="E214" s="92" t="s">
        <v>542</v>
      </c>
      <c r="F214" s="72" t="s">
        <v>540</v>
      </c>
      <c r="G214" s="72" t="s">
        <v>1097</v>
      </c>
      <c r="H214" s="72" t="s">
        <v>1098</v>
      </c>
    </row>
    <row r="215" ht="55.2" spans="1:8">
      <c r="A215" s="108" t="s">
        <v>747</v>
      </c>
      <c r="B215" s="92" t="s">
        <v>725</v>
      </c>
      <c r="C215" s="92" t="s">
        <v>711</v>
      </c>
      <c r="D215" s="100" t="s">
        <v>726</v>
      </c>
      <c r="E215" s="92" t="s">
        <v>727</v>
      </c>
      <c r="F215" s="72" t="s">
        <v>725</v>
      </c>
      <c r="G215" s="72" t="s">
        <v>1100</v>
      </c>
      <c r="H215" s="72" t="s">
        <v>1098</v>
      </c>
    </row>
    <row r="216" ht="41.4" spans="1:8">
      <c r="A216" s="108" t="s">
        <v>748</v>
      </c>
      <c r="B216" s="92" t="s">
        <v>552</v>
      </c>
      <c r="C216" s="92" t="s">
        <v>711</v>
      </c>
      <c r="D216" s="100" t="s">
        <v>729</v>
      </c>
      <c r="E216" s="92" t="s">
        <v>554</v>
      </c>
      <c r="F216" s="72" t="s">
        <v>552</v>
      </c>
      <c r="G216" s="72" t="s">
        <v>1097</v>
      </c>
      <c r="H216" s="72" t="s">
        <v>1098</v>
      </c>
    </row>
    <row r="217" ht="55.2" spans="1:8">
      <c r="A217" s="108" t="s">
        <v>749</v>
      </c>
      <c r="B217" s="92" t="s">
        <v>731</v>
      </c>
      <c r="C217" s="92" t="s">
        <v>711</v>
      </c>
      <c r="D217" s="100" t="s">
        <v>732</v>
      </c>
      <c r="E217" s="92" t="s">
        <v>733</v>
      </c>
      <c r="F217" s="72" t="s">
        <v>731</v>
      </c>
      <c r="G217" s="72" t="s">
        <v>1100</v>
      </c>
      <c r="H217" s="72" t="s">
        <v>1098</v>
      </c>
    </row>
    <row r="218" ht="69" spans="1:8">
      <c r="A218" s="108" t="s">
        <v>750</v>
      </c>
      <c r="B218" s="92" t="s">
        <v>735</v>
      </c>
      <c r="C218" s="92" t="s">
        <v>711</v>
      </c>
      <c r="D218" s="100" t="s">
        <v>736</v>
      </c>
      <c r="E218" s="92" t="s">
        <v>737</v>
      </c>
      <c r="F218" s="72" t="s">
        <v>735</v>
      </c>
      <c r="G218" s="72" t="s">
        <v>1097</v>
      </c>
      <c r="H218" s="72" t="s">
        <v>1098</v>
      </c>
    </row>
    <row r="219" ht="69" spans="1:8">
      <c r="A219" s="108" t="s">
        <v>751</v>
      </c>
      <c r="B219" s="92" t="s">
        <v>739</v>
      </c>
      <c r="C219" s="92" t="s">
        <v>711</v>
      </c>
      <c r="D219" s="100" t="s">
        <v>740</v>
      </c>
      <c r="E219" s="92" t="s">
        <v>741</v>
      </c>
      <c r="F219" s="72" t="s">
        <v>739</v>
      </c>
      <c r="G219" s="72" t="s">
        <v>1100</v>
      </c>
      <c r="H219" s="72" t="s">
        <v>1098</v>
      </c>
    </row>
    <row r="220" ht="124.2" spans="1:8">
      <c r="A220" s="108" t="s">
        <v>752</v>
      </c>
      <c r="B220" s="92" t="s">
        <v>710</v>
      </c>
      <c r="C220" s="92" t="s">
        <v>711</v>
      </c>
      <c r="D220" s="100" t="s">
        <v>743</v>
      </c>
      <c r="E220" s="92" t="s">
        <v>713</v>
      </c>
      <c r="F220" s="72" t="s">
        <v>710</v>
      </c>
      <c r="G220" s="72" t="s">
        <v>1097</v>
      </c>
      <c r="H220" s="72" t="s">
        <v>1098</v>
      </c>
    </row>
    <row r="221" ht="41.4" spans="1:8">
      <c r="A221" s="108" t="s">
        <v>753</v>
      </c>
      <c r="B221" s="92" t="s">
        <v>715</v>
      </c>
      <c r="C221" s="92" t="s">
        <v>711</v>
      </c>
      <c r="D221" s="100" t="s">
        <v>716</v>
      </c>
      <c r="E221" s="92" t="s">
        <v>717</v>
      </c>
      <c r="F221" s="72" t="s">
        <v>715</v>
      </c>
      <c r="G221" s="72" t="s">
        <v>1097</v>
      </c>
      <c r="H221" s="72" t="s">
        <v>1098</v>
      </c>
    </row>
    <row r="222" ht="55.2" spans="1:8">
      <c r="A222" s="108" t="s">
        <v>754</v>
      </c>
      <c r="B222" s="92" t="s">
        <v>719</v>
      </c>
      <c r="C222" s="92" t="s">
        <v>711</v>
      </c>
      <c r="D222" s="100" t="s">
        <v>720</v>
      </c>
      <c r="E222" s="92" t="s">
        <v>721</v>
      </c>
      <c r="F222" s="72" t="s">
        <v>719</v>
      </c>
      <c r="G222" s="72" t="s">
        <v>1100</v>
      </c>
      <c r="H222" s="72" t="s">
        <v>1098</v>
      </c>
    </row>
    <row r="223" ht="55.2" spans="1:8">
      <c r="A223" s="108" t="s">
        <v>755</v>
      </c>
      <c r="B223" s="92" t="s">
        <v>540</v>
      </c>
      <c r="C223" s="92" t="s">
        <v>711</v>
      </c>
      <c r="D223" s="100" t="s">
        <v>723</v>
      </c>
      <c r="E223" s="92" t="s">
        <v>542</v>
      </c>
      <c r="F223" s="72" t="s">
        <v>540</v>
      </c>
      <c r="G223" s="72" t="s">
        <v>1097</v>
      </c>
      <c r="H223" s="72" t="s">
        <v>1098</v>
      </c>
    </row>
    <row r="224" ht="55.2" spans="1:8">
      <c r="A224" s="108" t="s">
        <v>756</v>
      </c>
      <c r="B224" s="92" t="s">
        <v>725</v>
      </c>
      <c r="C224" s="92" t="s">
        <v>711</v>
      </c>
      <c r="D224" s="100" t="s">
        <v>726</v>
      </c>
      <c r="E224" s="92" t="s">
        <v>727</v>
      </c>
      <c r="F224" s="72" t="s">
        <v>725</v>
      </c>
      <c r="G224" s="72" t="s">
        <v>1100</v>
      </c>
      <c r="H224" s="72" t="s">
        <v>1098</v>
      </c>
    </row>
    <row r="225" ht="41.4" spans="1:8">
      <c r="A225" s="108" t="s">
        <v>757</v>
      </c>
      <c r="B225" s="92" t="s">
        <v>552</v>
      </c>
      <c r="C225" s="92" t="s">
        <v>711</v>
      </c>
      <c r="D225" s="100" t="s">
        <v>729</v>
      </c>
      <c r="E225" s="92" t="s">
        <v>554</v>
      </c>
      <c r="F225" s="72" t="s">
        <v>552</v>
      </c>
      <c r="G225" s="72" t="s">
        <v>1097</v>
      </c>
      <c r="H225" s="72" t="s">
        <v>1098</v>
      </c>
    </row>
    <row r="226" ht="55.2" spans="1:8">
      <c r="A226" s="108" t="s">
        <v>758</v>
      </c>
      <c r="B226" s="92" t="s">
        <v>731</v>
      </c>
      <c r="C226" s="92" t="s">
        <v>711</v>
      </c>
      <c r="D226" s="100" t="s">
        <v>732</v>
      </c>
      <c r="E226" s="92" t="s">
        <v>733</v>
      </c>
      <c r="F226" s="72" t="s">
        <v>731</v>
      </c>
      <c r="G226" s="72" t="s">
        <v>1100</v>
      </c>
      <c r="H226" s="72" t="s">
        <v>1098</v>
      </c>
    </row>
    <row r="227" ht="69" spans="1:8">
      <c r="A227" s="108" t="s">
        <v>759</v>
      </c>
      <c r="B227" s="92" t="s">
        <v>735</v>
      </c>
      <c r="C227" s="92" t="s">
        <v>711</v>
      </c>
      <c r="D227" s="100" t="s">
        <v>736</v>
      </c>
      <c r="E227" s="92" t="s">
        <v>737</v>
      </c>
      <c r="F227" s="72" t="s">
        <v>735</v>
      </c>
      <c r="G227" s="72" t="s">
        <v>1097</v>
      </c>
      <c r="H227" s="72" t="s">
        <v>1098</v>
      </c>
    </row>
    <row r="228" ht="69" spans="1:8">
      <c r="A228" s="108" t="s">
        <v>760</v>
      </c>
      <c r="B228" s="92" t="s">
        <v>739</v>
      </c>
      <c r="C228" s="92" t="s">
        <v>711</v>
      </c>
      <c r="D228" s="100" t="s">
        <v>740</v>
      </c>
      <c r="E228" s="92" t="s">
        <v>741</v>
      </c>
      <c r="F228" s="72" t="s">
        <v>739</v>
      </c>
      <c r="G228" s="72" t="s">
        <v>1100</v>
      </c>
      <c r="H228" s="72" t="s">
        <v>1098</v>
      </c>
    </row>
    <row r="229" ht="124.2" spans="1:8">
      <c r="A229" s="108" t="s">
        <v>761</v>
      </c>
      <c r="B229" s="92" t="s">
        <v>710</v>
      </c>
      <c r="C229" s="92" t="s">
        <v>711</v>
      </c>
      <c r="D229" s="100" t="s">
        <v>743</v>
      </c>
      <c r="E229" s="92" t="s">
        <v>713</v>
      </c>
      <c r="F229" s="72" t="s">
        <v>710</v>
      </c>
      <c r="G229" s="72" t="s">
        <v>1097</v>
      </c>
      <c r="H229" s="72" t="s">
        <v>1098</v>
      </c>
    </row>
    <row r="230" ht="41.4" spans="1:8">
      <c r="A230" s="108" t="s">
        <v>762</v>
      </c>
      <c r="B230" s="92" t="s">
        <v>715</v>
      </c>
      <c r="C230" s="92" t="s">
        <v>711</v>
      </c>
      <c r="D230" s="100" t="s">
        <v>716</v>
      </c>
      <c r="E230" s="92" t="s">
        <v>717</v>
      </c>
      <c r="F230" s="72" t="s">
        <v>715</v>
      </c>
      <c r="G230" s="72" t="s">
        <v>1097</v>
      </c>
      <c r="H230" s="72" t="s">
        <v>1098</v>
      </c>
    </row>
    <row r="231" ht="55.2" spans="1:8">
      <c r="A231" s="108" t="s">
        <v>763</v>
      </c>
      <c r="B231" s="92" t="s">
        <v>719</v>
      </c>
      <c r="C231" s="92" t="s">
        <v>711</v>
      </c>
      <c r="D231" s="100" t="s">
        <v>720</v>
      </c>
      <c r="E231" s="92" t="s">
        <v>721</v>
      </c>
      <c r="F231" s="72" t="s">
        <v>719</v>
      </c>
      <c r="G231" s="72" t="s">
        <v>1100</v>
      </c>
      <c r="H231" s="72" t="s">
        <v>1098</v>
      </c>
    </row>
    <row r="232" ht="39" customHeight="1" spans="1:8">
      <c r="A232" s="94" t="s">
        <v>764</v>
      </c>
      <c r="B232" s="95"/>
      <c r="C232" s="95"/>
      <c r="D232" s="95"/>
      <c r="E232" s="95"/>
      <c r="F232" s="95"/>
      <c r="G232" s="95"/>
      <c r="H232" s="96"/>
    </row>
    <row r="233" ht="13.8" spans="1:8">
      <c r="A233" s="107" t="s">
        <v>24</v>
      </c>
      <c r="B233" s="107" t="s">
        <v>25</v>
      </c>
      <c r="C233" s="107" t="s">
        <v>26</v>
      </c>
      <c r="D233" s="107" t="s">
        <v>27</v>
      </c>
      <c r="E233" s="107" t="s">
        <v>28</v>
      </c>
      <c r="F233" s="91" t="s">
        <v>25</v>
      </c>
      <c r="G233" s="91" t="s">
        <v>1093</v>
      </c>
      <c r="H233" s="91" t="s">
        <v>1094</v>
      </c>
    </row>
    <row r="234" ht="118.8" spans="1:8">
      <c r="A234" s="108" t="s">
        <v>765</v>
      </c>
      <c r="B234" s="92" t="s">
        <v>766</v>
      </c>
      <c r="C234" s="92" t="s">
        <v>767</v>
      </c>
      <c r="D234" s="100" t="s">
        <v>768</v>
      </c>
      <c r="E234" s="92" t="s">
        <v>769</v>
      </c>
      <c r="F234" s="72" t="s">
        <v>1200</v>
      </c>
      <c r="G234" s="72" t="s">
        <v>1097</v>
      </c>
      <c r="H234" s="72" t="s">
        <v>1098</v>
      </c>
    </row>
    <row r="235" ht="55.2" spans="1:8">
      <c r="A235" s="108" t="s">
        <v>770</v>
      </c>
      <c r="B235" s="92" t="s">
        <v>771</v>
      </c>
      <c r="C235" s="92" t="s">
        <v>767</v>
      </c>
      <c r="D235" s="100" t="s">
        <v>772</v>
      </c>
      <c r="E235" s="92" t="s">
        <v>773</v>
      </c>
      <c r="F235" s="72" t="s">
        <v>1201</v>
      </c>
      <c r="G235" s="72" t="s">
        <v>1097</v>
      </c>
      <c r="H235" s="72" t="s">
        <v>1098</v>
      </c>
    </row>
    <row r="236" ht="69" spans="1:8">
      <c r="A236" s="108" t="s">
        <v>774</v>
      </c>
      <c r="B236" s="92" t="s">
        <v>775</v>
      </c>
      <c r="C236" s="92" t="s">
        <v>767</v>
      </c>
      <c r="D236" s="100" t="s">
        <v>776</v>
      </c>
      <c r="E236" s="92" t="s">
        <v>777</v>
      </c>
      <c r="F236" s="72" t="s">
        <v>1202</v>
      </c>
      <c r="G236" s="72" t="s">
        <v>1100</v>
      </c>
      <c r="H236" s="72" t="s">
        <v>1098</v>
      </c>
    </row>
    <row r="237" ht="52.8" spans="1:8">
      <c r="A237" s="108" t="s">
        <v>778</v>
      </c>
      <c r="B237" s="92" t="s">
        <v>779</v>
      </c>
      <c r="C237" s="92" t="s">
        <v>767</v>
      </c>
      <c r="D237" s="100" t="s">
        <v>780</v>
      </c>
      <c r="E237" s="92" t="s">
        <v>781</v>
      </c>
      <c r="F237" s="72" t="s">
        <v>1203</v>
      </c>
      <c r="G237" s="72" t="s">
        <v>1097</v>
      </c>
      <c r="H237" s="72" t="s">
        <v>1098</v>
      </c>
    </row>
    <row r="238" ht="55.2" spans="1:8">
      <c r="A238" s="108" t="s">
        <v>782</v>
      </c>
      <c r="B238" s="92" t="s">
        <v>783</v>
      </c>
      <c r="C238" s="92" t="s">
        <v>767</v>
      </c>
      <c r="D238" s="100" t="s">
        <v>784</v>
      </c>
      <c r="E238" s="92" t="s">
        <v>785</v>
      </c>
      <c r="F238" s="72" t="s">
        <v>1204</v>
      </c>
      <c r="G238" s="72" t="s">
        <v>1100</v>
      </c>
      <c r="H238" s="72" t="s">
        <v>1098</v>
      </c>
    </row>
    <row r="239" ht="41.4" spans="1:8">
      <c r="A239" s="108" t="s">
        <v>786</v>
      </c>
      <c r="B239" s="92" t="s">
        <v>787</v>
      </c>
      <c r="C239" s="92" t="s">
        <v>767</v>
      </c>
      <c r="D239" s="100" t="s">
        <v>788</v>
      </c>
      <c r="E239" s="92" t="s">
        <v>789</v>
      </c>
      <c r="F239" s="72" t="s">
        <v>1205</v>
      </c>
      <c r="G239" s="72" t="s">
        <v>1097</v>
      </c>
      <c r="H239" s="72" t="s">
        <v>1098</v>
      </c>
    </row>
    <row r="240" ht="55.2" spans="1:8">
      <c r="A240" s="108" t="s">
        <v>790</v>
      </c>
      <c r="B240" s="92" t="s">
        <v>791</v>
      </c>
      <c r="C240" s="92" t="s">
        <v>767</v>
      </c>
      <c r="D240" s="100" t="s">
        <v>792</v>
      </c>
      <c r="E240" s="92" t="s">
        <v>793</v>
      </c>
      <c r="F240" s="72" t="s">
        <v>1206</v>
      </c>
      <c r="G240" s="72" t="s">
        <v>1100</v>
      </c>
      <c r="H240" s="72" t="s">
        <v>1098</v>
      </c>
    </row>
    <row r="241" ht="66" spans="1:8">
      <c r="A241" s="108" t="s">
        <v>794</v>
      </c>
      <c r="B241" s="92" t="s">
        <v>795</v>
      </c>
      <c r="C241" s="92" t="s">
        <v>767</v>
      </c>
      <c r="D241" s="100" t="s">
        <v>796</v>
      </c>
      <c r="E241" s="92" t="s">
        <v>797</v>
      </c>
      <c r="F241" s="72" t="s">
        <v>1207</v>
      </c>
      <c r="G241" s="72" t="s">
        <v>1097</v>
      </c>
      <c r="H241" s="72" t="s">
        <v>1098</v>
      </c>
    </row>
    <row r="242" ht="66" spans="1:8">
      <c r="A242" s="108" t="s">
        <v>798</v>
      </c>
      <c r="B242" s="92" t="s">
        <v>799</v>
      </c>
      <c r="C242" s="92" t="s">
        <v>767</v>
      </c>
      <c r="D242" s="100" t="s">
        <v>800</v>
      </c>
      <c r="E242" s="92" t="s">
        <v>801</v>
      </c>
      <c r="F242" s="72" t="s">
        <v>1208</v>
      </c>
      <c r="G242" s="72" t="s">
        <v>1100</v>
      </c>
      <c r="H242" s="72" t="s">
        <v>1098</v>
      </c>
    </row>
    <row r="243" ht="37.05" customHeight="1" spans="1:8">
      <c r="A243" s="94" t="s">
        <v>802</v>
      </c>
      <c r="B243" s="95"/>
      <c r="C243" s="95"/>
      <c r="D243" s="95"/>
      <c r="E243" s="95"/>
      <c r="F243" s="95"/>
      <c r="G243" s="95"/>
      <c r="H243" s="96"/>
    </row>
    <row r="244" ht="13.8" spans="1:8">
      <c r="A244" s="107" t="s">
        <v>24</v>
      </c>
      <c r="B244" s="107" t="s">
        <v>25</v>
      </c>
      <c r="C244" s="107" t="s">
        <v>26</v>
      </c>
      <c r="D244" s="107" t="s">
        <v>27</v>
      </c>
      <c r="E244" s="107" t="s">
        <v>28</v>
      </c>
      <c r="F244" s="113" t="s">
        <v>25</v>
      </c>
      <c r="G244" s="113" t="s">
        <v>1093</v>
      </c>
      <c r="H244" s="113" t="s">
        <v>1094</v>
      </c>
    </row>
    <row r="245" ht="165.6" spans="1:8">
      <c r="A245" s="108" t="s">
        <v>803</v>
      </c>
      <c r="B245" s="92" t="s">
        <v>804</v>
      </c>
      <c r="C245" s="92" t="s">
        <v>805</v>
      </c>
      <c r="D245" s="100" t="s">
        <v>806</v>
      </c>
      <c r="E245" s="92" t="s">
        <v>807</v>
      </c>
      <c r="F245" s="72" t="s">
        <v>804</v>
      </c>
      <c r="G245" s="72" t="s">
        <v>1100</v>
      </c>
      <c r="H245" s="72" t="s">
        <v>1098</v>
      </c>
    </row>
    <row r="246" ht="69" spans="1:8">
      <c r="A246" s="108" t="s">
        <v>808</v>
      </c>
      <c r="B246" s="92" t="s">
        <v>809</v>
      </c>
      <c r="C246" s="92" t="s">
        <v>805</v>
      </c>
      <c r="D246" s="100" t="s">
        <v>810</v>
      </c>
      <c r="E246" s="92" t="s">
        <v>811</v>
      </c>
      <c r="F246" s="72" t="s">
        <v>809</v>
      </c>
      <c r="G246" s="72" t="s">
        <v>1097</v>
      </c>
      <c r="H246" s="72" t="s">
        <v>1098</v>
      </c>
    </row>
    <row r="247" ht="165.6" spans="1:8">
      <c r="A247" s="108" t="s">
        <v>812</v>
      </c>
      <c r="B247" s="92" t="s">
        <v>813</v>
      </c>
      <c r="C247" s="92" t="s">
        <v>805</v>
      </c>
      <c r="D247" s="100" t="s">
        <v>814</v>
      </c>
      <c r="E247" s="92" t="s">
        <v>815</v>
      </c>
      <c r="F247" s="72" t="s">
        <v>1209</v>
      </c>
      <c r="G247" s="72" t="s">
        <v>1097</v>
      </c>
      <c r="H247" s="72" t="s">
        <v>1098</v>
      </c>
    </row>
    <row r="248" ht="41.4" spans="1:8">
      <c r="A248" s="108" t="s">
        <v>816</v>
      </c>
      <c r="B248" s="92" t="s">
        <v>817</v>
      </c>
      <c r="C248" s="92" t="s">
        <v>805</v>
      </c>
      <c r="D248" s="100" t="s">
        <v>818</v>
      </c>
      <c r="E248" s="92" t="s">
        <v>819</v>
      </c>
      <c r="F248" s="72" t="s">
        <v>817</v>
      </c>
      <c r="G248" s="72" t="s">
        <v>1097</v>
      </c>
      <c r="H248" s="72" t="s">
        <v>1098</v>
      </c>
    </row>
    <row r="249" ht="55.2" spans="1:8">
      <c r="A249" s="108" t="s">
        <v>820</v>
      </c>
      <c r="B249" s="92" t="s">
        <v>821</v>
      </c>
      <c r="C249" s="92" t="s">
        <v>805</v>
      </c>
      <c r="D249" s="100" t="s">
        <v>822</v>
      </c>
      <c r="E249" s="92" t="s">
        <v>823</v>
      </c>
      <c r="F249" s="72" t="s">
        <v>821</v>
      </c>
      <c r="G249" s="72" t="s">
        <v>1100</v>
      </c>
      <c r="H249" s="72" t="s">
        <v>1098</v>
      </c>
    </row>
    <row r="250" ht="55.2" spans="1:8">
      <c r="A250" s="108" t="s">
        <v>824</v>
      </c>
      <c r="B250" s="92" t="s">
        <v>825</v>
      </c>
      <c r="C250" s="92" t="s">
        <v>805</v>
      </c>
      <c r="D250" s="100" t="s">
        <v>826</v>
      </c>
      <c r="E250" s="92" t="s">
        <v>827</v>
      </c>
      <c r="F250" s="72" t="s">
        <v>825</v>
      </c>
      <c r="G250" s="72" t="s">
        <v>1097</v>
      </c>
      <c r="H250" s="72" t="s">
        <v>1098</v>
      </c>
    </row>
    <row r="251" ht="55.2" spans="1:8">
      <c r="A251" s="108" t="s">
        <v>828</v>
      </c>
      <c r="B251" s="92" t="s">
        <v>829</v>
      </c>
      <c r="C251" s="92" t="s">
        <v>805</v>
      </c>
      <c r="D251" s="100" t="s">
        <v>830</v>
      </c>
      <c r="E251" s="92" t="s">
        <v>831</v>
      </c>
      <c r="F251" s="72" t="s">
        <v>829</v>
      </c>
      <c r="G251" s="72" t="s">
        <v>1100</v>
      </c>
      <c r="H251" s="72" t="s">
        <v>1098</v>
      </c>
    </row>
    <row r="252" ht="41.4" spans="1:8">
      <c r="A252" s="108" t="s">
        <v>832</v>
      </c>
      <c r="B252" s="92" t="s">
        <v>833</v>
      </c>
      <c r="C252" s="92" t="s">
        <v>805</v>
      </c>
      <c r="D252" s="100" t="s">
        <v>834</v>
      </c>
      <c r="E252" s="92" t="s">
        <v>835</v>
      </c>
      <c r="F252" s="72" t="s">
        <v>833</v>
      </c>
      <c r="G252" s="72" t="s">
        <v>1097</v>
      </c>
      <c r="H252" s="72" t="s">
        <v>1098</v>
      </c>
    </row>
    <row r="253" ht="55.2" spans="1:8">
      <c r="A253" s="108" t="s">
        <v>836</v>
      </c>
      <c r="B253" s="92" t="s">
        <v>837</v>
      </c>
      <c r="C253" s="92" t="s">
        <v>805</v>
      </c>
      <c r="D253" s="100" t="s">
        <v>838</v>
      </c>
      <c r="E253" s="92" t="s">
        <v>839</v>
      </c>
      <c r="F253" s="72" t="s">
        <v>837</v>
      </c>
      <c r="G253" s="72" t="s">
        <v>1100</v>
      </c>
      <c r="H253" s="72" t="s">
        <v>1098</v>
      </c>
    </row>
    <row r="254" ht="41.4" spans="1:8">
      <c r="A254" s="108" t="s">
        <v>840</v>
      </c>
      <c r="B254" s="92" t="s">
        <v>841</v>
      </c>
      <c r="C254" s="92" t="s">
        <v>805</v>
      </c>
      <c r="D254" s="100" t="s">
        <v>842</v>
      </c>
      <c r="E254" s="92" t="s">
        <v>843</v>
      </c>
      <c r="F254" s="72" t="s">
        <v>841</v>
      </c>
      <c r="G254" s="72" t="s">
        <v>1097</v>
      </c>
      <c r="H254" s="72" t="s">
        <v>1098</v>
      </c>
    </row>
    <row r="255" ht="55.2" spans="1:8">
      <c r="A255" s="108" t="s">
        <v>844</v>
      </c>
      <c r="B255" s="92" t="s">
        <v>845</v>
      </c>
      <c r="C255" s="92" t="s">
        <v>805</v>
      </c>
      <c r="D255" s="100" t="s">
        <v>846</v>
      </c>
      <c r="E255" s="92" t="s">
        <v>847</v>
      </c>
      <c r="F255" s="72" t="s">
        <v>845</v>
      </c>
      <c r="G255" s="72" t="s">
        <v>1100</v>
      </c>
      <c r="H255" s="72" t="s">
        <v>1098</v>
      </c>
    </row>
    <row r="256" ht="55.2" spans="1:8">
      <c r="A256" s="108" t="s">
        <v>848</v>
      </c>
      <c r="B256" s="92" t="s">
        <v>849</v>
      </c>
      <c r="C256" s="92" t="s">
        <v>805</v>
      </c>
      <c r="D256" s="100" t="s">
        <v>850</v>
      </c>
      <c r="E256" s="92" t="s">
        <v>851</v>
      </c>
      <c r="F256" s="72" t="s">
        <v>849</v>
      </c>
      <c r="G256" s="72" t="s">
        <v>1097</v>
      </c>
      <c r="H256" s="72" t="s">
        <v>1098</v>
      </c>
    </row>
    <row r="257" ht="55.2" spans="1:8">
      <c r="A257" s="108" t="s">
        <v>852</v>
      </c>
      <c r="B257" s="92" t="s">
        <v>853</v>
      </c>
      <c r="C257" s="92" t="s">
        <v>805</v>
      </c>
      <c r="D257" s="100" t="s">
        <v>854</v>
      </c>
      <c r="E257" s="92" t="s">
        <v>855</v>
      </c>
      <c r="F257" s="72" t="s">
        <v>853</v>
      </c>
      <c r="G257" s="72" t="s">
        <v>1100</v>
      </c>
      <c r="H257" s="72" t="s">
        <v>1098</v>
      </c>
    </row>
    <row r="258" ht="55.2" spans="1:8">
      <c r="A258" s="108" t="s">
        <v>856</v>
      </c>
      <c r="B258" s="92" t="s">
        <v>857</v>
      </c>
      <c r="C258" s="92" t="s">
        <v>805</v>
      </c>
      <c r="D258" s="100" t="s">
        <v>858</v>
      </c>
      <c r="E258" s="92" t="s">
        <v>859</v>
      </c>
      <c r="F258" s="72" t="s">
        <v>857</v>
      </c>
      <c r="G258" s="72" t="s">
        <v>1097</v>
      </c>
      <c r="H258" s="72" t="s">
        <v>1098</v>
      </c>
    </row>
    <row r="259" ht="55.2" spans="1:8">
      <c r="A259" s="108" t="s">
        <v>860</v>
      </c>
      <c r="B259" s="92" t="s">
        <v>861</v>
      </c>
      <c r="C259" s="92" t="s">
        <v>805</v>
      </c>
      <c r="D259" s="100" t="s">
        <v>862</v>
      </c>
      <c r="E259" s="92" t="s">
        <v>863</v>
      </c>
      <c r="F259" s="72" t="s">
        <v>861</v>
      </c>
      <c r="G259" s="72" t="s">
        <v>1100</v>
      </c>
      <c r="H259" s="72" t="s">
        <v>1098</v>
      </c>
    </row>
    <row r="260" ht="41.4" spans="1:8">
      <c r="A260" s="108" t="s">
        <v>864</v>
      </c>
      <c r="B260" s="92" t="s">
        <v>865</v>
      </c>
      <c r="C260" s="92" t="s">
        <v>805</v>
      </c>
      <c r="D260" s="100" t="s">
        <v>866</v>
      </c>
      <c r="E260" s="92" t="s">
        <v>867</v>
      </c>
      <c r="F260" s="72" t="s">
        <v>865</v>
      </c>
      <c r="G260" s="72" t="s">
        <v>1097</v>
      </c>
      <c r="H260" s="72" t="s">
        <v>1098</v>
      </c>
    </row>
    <row r="261" ht="55.2" spans="1:8">
      <c r="A261" s="108" t="s">
        <v>868</v>
      </c>
      <c r="B261" s="92" t="s">
        <v>869</v>
      </c>
      <c r="C261" s="92" t="s">
        <v>805</v>
      </c>
      <c r="D261" s="100" t="s">
        <v>870</v>
      </c>
      <c r="E261" s="92" t="s">
        <v>871</v>
      </c>
      <c r="F261" s="72" t="s">
        <v>869</v>
      </c>
      <c r="G261" s="72" t="s">
        <v>1100</v>
      </c>
      <c r="H261" s="72" t="s">
        <v>1098</v>
      </c>
    </row>
    <row r="262" ht="165.6" spans="1:8">
      <c r="A262" s="108" t="s">
        <v>872</v>
      </c>
      <c r="B262" s="92" t="s">
        <v>804</v>
      </c>
      <c r="C262" s="92" t="s">
        <v>805</v>
      </c>
      <c r="D262" s="100" t="s">
        <v>806</v>
      </c>
      <c r="E262" s="92" t="s">
        <v>807</v>
      </c>
      <c r="F262" s="72" t="s">
        <v>1210</v>
      </c>
      <c r="G262" s="72" t="s">
        <v>1100</v>
      </c>
      <c r="H262" s="72" t="s">
        <v>1098</v>
      </c>
    </row>
    <row r="263" ht="69" spans="1:8">
      <c r="A263" s="108" t="s">
        <v>873</v>
      </c>
      <c r="B263" s="92" t="s">
        <v>809</v>
      </c>
      <c r="C263" s="92" t="s">
        <v>805</v>
      </c>
      <c r="D263" s="100" t="s">
        <v>810</v>
      </c>
      <c r="E263" s="92" t="s">
        <v>811</v>
      </c>
      <c r="F263" s="72" t="s">
        <v>1211</v>
      </c>
      <c r="G263" s="72" t="s">
        <v>1097</v>
      </c>
      <c r="H263" s="72" t="s">
        <v>1098</v>
      </c>
    </row>
    <row r="264" ht="165.6" spans="1:8">
      <c r="A264" s="108" t="s">
        <v>874</v>
      </c>
      <c r="B264" s="92" t="s">
        <v>813</v>
      </c>
      <c r="C264" s="92" t="s">
        <v>805</v>
      </c>
      <c r="D264" s="100" t="s">
        <v>814</v>
      </c>
      <c r="E264" s="92" t="s">
        <v>815</v>
      </c>
      <c r="F264" s="72" t="s">
        <v>1212</v>
      </c>
      <c r="G264" s="72" t="s">
        <v>1100</v>
      </c>
      <c r="H264" s="72" t="s">
        <v>1098</v>
      </c>
    </row>
    <row r="265" ht="41.4" spans="1:8">
      <c r="A265" s="108" t="s">
        <v>875</v>
      </c>
      <c r="B265" s="92" t="s">
        <v>817</v>
      </c>
      <c r="C265" s="92" t="s">
        <v>805</v>
      </c>
      <c r="D265" s="100" t="s">
        <v>818</v>
      </c>
      <c r="E265" s="92" t="s">
        <v>876</v>
      </c>
      <c r="F265" s="72" t="s">
        <v>817</v>
      </c>
      <c r="G265" s="72" t="s">
        <v>1097</v>
      </c>
      <c r="H265" s="72" t="s">
        <v>1098</v>
      </c>
    </row>
    <row r="266" ht="55.2" spans="1:8">
      <c r="A266" s="108" t="s">
        <v>877</v>
      </c>
      <c r="B266" s="92" t="s">
        <v>821</v>
      </c>
      <c r="C266" s="92" t="s">
        <v>805</v>
      </c>
      <c r="D266" s="100" t="s">
        <v>822</v>
      </c>
      <c r="E266" s="92" t="s">
        <v>878</v>
      </c>
      <c r="F266" s="72" t="s">
        <v>821</v>
      </c>
      <c r="G266" s="72" t="s">
        <v>1100</v>
      </c>
      <c r="H266" s="72" t="s">
        <v>1098</v>
      </c>
    </row>
    <row r="267" ht="55.2" spans="1:8">
      <c r="A267" s="108" t="s">
        <v>879</v>
      </c>
      <c r="B267" s="92" t="s">
        <v>825</v>
      </c>
      <c r="C267" s="92" t="s">
        <v>805</v>
      </c>
      <c r="D267" s="100" t="s">
        <v>826</v>
      </c>
      <c r="E267" s="92" t="s">
        <v>827</v>
      </c>
      <c r="F267" s="72" t="s">
        <v>825</v>
      </c>
      <c r="G267" s="72" t="s">
        <v>1097</v>
      </c>
      <c r="H267" s="72" t="s">
        <v>1098</v>
      </c>
    </row>
    <row r="268" ht="55.2" spans="1:8">
      <c r="A268" s="108" t="s">
        <v>880</v>
      </c>
      <c r="B268" s="92" t="s">
        <v>829</v>
      </c>
      <c r="C268" s="92" t="s">
        <v>805</v>
      </c>
      <c r="D268" s="100" t="s">
        <v>830</v>
      </c>
      <c r="E268" s="92" t="s">
        <v>831</v>
      </c>
      <c r="F268" s="72" t="s">
        <v>829</v>
      </c>
      <c r="G268" s="72" t="s">
        <v>1100</v>
      </c>
      <c r="H268" s="72" t="s">
        <v>1098</v>
      </c>
    </row>
    <row r="269" ht="41.4" spans="1:8">
      <c r="A269" s="108" t="s">
        <v>881</v>
      </c>
      <c r="B269" s="92" t="s">
        <v>833</v>
      </c>
      <c r="C269" s="92" t="s">
        <v>805</v>
      </c>
      <c r="D269" s="100" t="s">
        <v>834</v>
      </c>
      <c r="E269" s="92" t="s">
        <v>835</v>
      </c>
      <c r="F269" s="72" t="s">
        <v>833</v>
      </c>
      <c r="G269" s="72" t="s">
        <v>1097</v>
      </c>
      <c r="H269" s="72" t="s">
        <v>1098</v>
      </c>
    </row>
    <row r="270" ht="55.2" spans="1:8">
      <c r="A270" s="108" t="s">
        <v>882</v>
      </c>
      <c r="B270" s="92" t="s">
        <v>837</v>
      </c>
      <c r="C270" s="92" t="s">
        <v>805</v>
      </c>
      <c r="D270" s="100" t="s">
        <v>838</v>
      </c>
      <c r="E270" s="92" t="s">
        <v>839</v>
      </c>
      <c r="F270" s="72" t="s">
        <v>837</v>
      </c>
      <c r="G270" s="72" t="s">
        <v>1100</v>
      </c>
      <c r="H270" s="72" t="s">
        <v>1098</v>
      </c>
    </row>
    <row r="271" ht="41.4" spans="1:8">
      <c r="A271" s="108" t="s">
        <v>883</v>
      </c>
      <c r="B271" s="92" t="s">
        <v>841</v>
      </c>
      <c r="C271" s="92" t="s">
        <v>805</v>
      </c>
      <c r="D271" s="100" t="s">
        <v>842</v>
      </c>
      <c r="E271" s="92" t="s">
        <v>843</v>
      </c>
      <c r="F271" s="72" t="s">
        <v>841</v>
      </c>
      <c r="G271" s="72" t="s">
        <v>1097</v>
      </c>
      <c r="H271" s="72" t="s">
        <v>1098</v>
      </c>
    </row>
    <row r="272" ht="55.2" spans="1:8">
      <c r="A272" s="108" t="s">
        <v>884</v>
      </c>
      <c r="B272" s="92" t="s">
        <v>845</v>
      </c>
      <c r="C272" s="92" t="s">
        <v>805</v>
      </c>
      <c r="D272" s="100" t="s">
        <v>846</v>
      </c>
      <c r="E272" s="92" t="s">
        <v>847</v>
      </c>
      <c r="F272" s="72" t="s">
        <v>845</v>
      </c>
      <c r="G272" s="72" t="s">
        <v>1100</v>
      </c>
      <c r="H272" s="72" t="s">
        <v>1098</v>
      </c>
    </row>
    <row r="273" ht="55.2" spans="1:8">
      <c r="A273" s="108" t="s">
        <v>885</v>
      </c>
      <c r="B273" s="92" t="s">
        <v>849</v>
      </c>
      <c r="C273" s="92" t="s">
        <v>805</v>
      </c>
      <c r="D273" s="100" t="s">
        <v>850</v>
      </c>
      <c r="E273" s="92" t="s">
        <v>851</v>
      </c>
      <c r="F273" s="72" t="s">
        <v>849</v>
      </c>
      <c r="G273" s="72" t="s">
        <v>1097</v>
      </c>
      <c r="H273" s="72" t="s">
        <v>1098</v>
      </c>
    </row>
    <row r="274" ht="55.2" spans="1:8">
      <c r="A274" s="108" t="s">
        <v>886</v>
      </c>
      <c r="B274" s="92" t="s">
        <v>853</v>
      </c>
      <c r="C274" s="92" t="s">
        <v>805</v>
      </c>
      <c r="D274" s="100" t="s">
        <v>854</v>
      </c>
      <c r="E274" s="92" t="s">
        <v>855</v>
      </c>
      <c r="F274" s="72" t="s">
        <v>853</v>
      </c>
      <c r="G274" s="72" t="s">
        <v>1100</v>
      </c>
      <c r="H274" s="72" t="s">
        <v>1098</v>
      </c>
    </row>
    <row r="275" ht="55.2" spans="1:8">
      <c r="A275" s="108" t="s">
        <v>887</v>
      </c>
      <c r="B275" s="92" t="s">
        <v>857</v>
      </c>
      <c r="C275" s="92" t="s">
        <v>805</v>
      </c>
      <c r="D275" s="100" t="s">
        <v>858</v>
      </c>
      <c r="E275" s="92" t="s">
        <v>859</v>
      </c>
      <c r="F275" s="72" t="s">
        <v>857</v>
      </c>
      <c r="G275" s="72" t="s">
        <v>1097</v>
      </c>
      <c r="H275" s="72" t="s">
        <v>1098</v>
      </c>
    </row>
    <row r="276" ht="43.05" customHeight="1" spans="1:8">
      <c r="A276" s="94" t="s">
        <v>888</v>
      </c>
      <c r="B276" s="95"/>
      <c r="C276" s="95"/>
      <c r="D276" s="95"/>
      <c r="E276" s="95"/>
      <c r="F276" s="95"/>
      <c r="G276" s="95"/>
      <c r="H276" s="96"/>
    </row>
    <row r="277" ht="13.8" spans="1:8">
      <c r="A277" s="107" t="s">
        <v>24</v>
      </c>
      <c r="B277" s="107" t="s">
        <v>25</v>
      </c>
      <c r="C277" s="107" t="s">
        <v>26</v>
      </c>
      <c r="D277" s="107" t="s">
        <v>27</v>
      </c>
      <c r="E277" s="107" t="s">
        <v>28</v>
      </c>
      <c r="F277" s="91" t="s">
        <v>25</v>
      </c>
      <c r="G277" s="91" t="s">
        <v>1093</v>
      </c>
      <c r="H277" s="91" t="s">
        <v>1094</v>
      </c>
    </row>
    <row r="278" ht="96.6" spans="1:8">
      <c r="A278" s="108" t="s">
        <v>889</v>
      </c>
      <c r="B278" s="92" t="s">
        <v>890</v>
      </c>
      <c r="C278" s="92" t="s">
        <v>891</v>
      </c>
      <c r="D278" s="100" t="s">
        <v>892</v>
      </c>
      <c r="E278" s="92" t="s">
        <v>893</v>
      </c>
      <c r="F278" s="72" t="s">
        <v>890</v>
      </c>
      <c r="G278" s="72" t="s">
        <v>1097</v>
      </c>
      <c r="H278" s="72" t="s">
        <v>1098</v>
      </c>
    </row>
    <row r="279" ht="179.4" spans="1:8">
      <c r="A279" s="108" t="s">
        <v>894</v>
      </c>
      <c r="B279" s="92" t="s">
        <v>895</v>
      </c>
      <c r="C279" s="92" t="s">
        <v>891</v>
      </c>
      <c r="D279" s="100" t="s">
        <v>896</v>
      </c>
      <c r="E279" s="92" t="s">
        <v>897</v>
      </c>
      <c r="F279" s="72" t="s">
        <v>895</v>
      </c>
      <c r="G279" s="72" t="s">
        <v>1100</v>
      </c>
      <c r="H279" s="72" t="s">
        <v>1098</v>
      </c>
    </row>
    <row r="280" ht="55.2" spans="1:8">
      <c r="A280" s="108" t="s">
        <v>898</v>
      </c>
      <c r="B280" s="92" t="s">
        <v>899</v>
      </c>
      <c r="C280" s="92" t="s">
        <v>891</v>
      </c>
      <c r="D280" s="100" t="s">
        <v>900</v>
      </c>
      <c r="E280" s="92" t="s">
        <v>901</v>
      </c>
      <c r="F280" s="72" t="s">
        <v>899</v>
      </c>
      <c r="G280" s="72" t="s">
        <v>1097</v>
      </c>
      <c r="H280" s="72" t="s">
        <v>1098</v>
      </c>
    </row>
    <row r="281" ht="165.6" spans="1:8">
      <c r="A281" s="108" t="s">
        <v>902</v>
      </c>
      <c r="B281" s="92" t="s">
        <v>903</v>
      </c>
      <c r="C281" s="92" t="s">
        <v>891</v>
      </c>
      <c r="D281" s="100" t="s">
        <v>904</v>
      </c>
      <c r="E281" s="92" t="s">
        <v>905</v>
      </c>
      <c r="F281" s="72" t="s">
        <v>903</v>
      </c>
      <c r="G281" s="72" t="s">
        <v>1100</v>
      </c>
      <c r="H281" s="72" t="s">
        <v>1098</v>
      </c>
    </row>
    <row r="282" ht="124.2" spans="1:8">
      <c r="A282" s="108" t="s">
        <v>906</v>
      </c>
      <c r="B282" s="92" t="s">
        <v>907</v>
      </c>
      <c r="C282" s="92" t="s">
        <v>891</v>
      </c>
      <c r="D282" s="100" t="s">
        <v>908</v>
      </c>
      <c r="E282" s="92" t="s">
        <v>909</v>
      </c>
      <c r="F282" s="72" t="s">
        <v>907</v>
      </c>
      <c r="G282" s="72" t="s">
        <v>1100</v>
      </c>
      <c r="H282" s="72" t="s">
        <v>1098</v>
      </c>
    </row>
    <row r="283" ht="41.4" spans="1:8">
      <c r="A283" s="108" t="s">
        <v>910</v>
      </c>
      <c r="B283" s="92" t="s">
        <v>787</v>
      </c>
      <c r="C283" s="92" t="s">
        <v>891</v>
      </c>
      <c r="D283" s="100" t="s">
        <v>911</v>
      </c>
      <c r="E283" s="92" t="s">
        <v>912</v>
      </c>
      <c r="F283" s="72" t="s">
        <v>787</v>
      </c>
      <c r="G283" s="72" t="s">
        <v>1097</v>
      </c>
      <c r="H283" s="72" t="s">
        <v>1098</v>
      </c>
    </row>
    <row r="284" ht="124.2" spans="1:8">
      <c r="A284" s="108" t="s">
        <v>913</v>
      </c>
      <c r="B284" s="92" t="s">
        <v>914</v>
      </c>
      <c r="C284" s="92" t="s">
        <v>891</v>
      </c>
      <c r="D284" s="100" t="s">
        <v>915</v>
      </c>
      <c r="E284" s="92" t="s">
        <v>916</v>
      </c>
      <c r="F284" s="72" t="s">
        <v>914</v>
      </c>
      <c r="G284" s="72" t="s">
        <v>1100</v>
      </c>
      <c r="H284" s="72" t="s">
        <v>1098</v>
      </c>
    </row>
    <row r="285" ht="179.4" spans="1:8">
      <c r="A285" s="108" t="s">
        <v>917</v>
      </c>
      <c r="B285" s="92" t="s">
        <v>918</v>
      </c>
      <c r="C285" s="92" t="s">
        <v>891</v>
      </c>
      <c r="D285" s="100" t="s">
        <v>919</v>
      </c>
      <c r="E285" s="92" t="s">
        <v>920</v>
      </c>
      <c r="F285" s="72" t="s">
        <v>918</v>
      </c>
      <c r="G285" s="72" t="s">
        <v>1100</v>
      </c>
      <c r="H285" s="72" t="s">
        <v>1098</v>
      </c>
    </row>
    <row r="286" ht="41.4" spans="1:8">
      <c r="A286" s="108" t="s">
        <v>921</v>
      </c>
      <c r="B286" s="92" t="s">
        <v>779</v>
      </c>
      <c r="C286" s="92" t="s">
        <v>891</v>
      </c>
      <c r="D286" s="100" t="s">
        <v>922</v>
      </c>
      <c r="E286" s="92" t="s">
        <v>923</v>
      </c>
      <c r="F286" s="72" t="s">
        <v>779</v>
      </c>
      <c r="G286" s="72" t="s">
        <v>1097</v>
      </c>
      <c r="H286" s="72" t="s">
        <v>1098</v>
      </c>
    </row>
    <row r="287" ht="179.4" spans="1:8">
      <c r="A287" s="108" t="s">
        <v>924</v>
      </c>
      <c r="B287" s="92" t="s">
        <v>925</v>
      </c>
      <c r="C287" s="92" t="s">
        <v>891</v>
      </c>
      <c r="D287" s="100" t="s">
        <v>926</v>
      </c>
      <c r="E287" s="92" t="s">
        <v>927</v>
      </c>
      <c r="F287" s="72" t="s">
        <v>925</v>
      </c>
      <c r="G287" s="72" t="s">
        <v>1100</v>
      </c>
      <c r="H287" s="72" t="s">
        <v>1098</v>
      </c>
    </row>
    <row r="288" ht="110.4" spans="1:8">
      <c r="A288" s="108" t="s">
        <v>928</v>
      </c>
      <c r="B288" s="92" t="s">
        <v>929</v>
      </c>
      <c r="C288" s="92" t="s">
        <v>891</v>
      </c>
      <c r="D288" s="100" t="s">
        <v>930</v>
      </c>
      <c r="E288" s="92" t="s">
        <v>931</v>
      </c>
      <c r="F288" s="72" t="s">
        <v>929</v>
      </c>
      <c r="G288" s="72" t="s">
        <v>1100</v>
      </c>
      <c r="H288" s="72" t="s">
        <v>1098</v>
      </c>
    </row>
    <row r="289" ht="41.4" spans="1:8">
      <c r="A289" s="108" t="s">
        <v>932</v>
      </c>
      <c r="B289" s="92" t="s">
        <v>933</v>
      </c>
      <c r="C289" s="92" t="s">
        <v>891</v>
      </c>
      <c r="D289" s="100" t="s">
        <v>934</v>
      </c>
      <c r="E289" s="92" t="s">
        <v>935</v>
      </c>
      <c r="F289" s="72" t="s">
        <v>933</v>
      </c>
      <c r="G289" s="72" t="s">
        <v>1097</v>
      </c>
      <c r="H289" s="72" t="s">
        <v>1098</v>
      </c>
    </row>
    <row r="290" ht="110.4" spans="1:8">
      <c r="A290" s="108" t="s">
        <v>936</v>
      </c>
      <c r="B290" s="92" t="s">
        <v>937</v>
      </c>
      <c r="C290" s="92" t="s">
        <v>891</v>
      </c>
      <c r="D290" s="100" t="s">
        <v>938</v>
      </c>
      <c r="E290" s="92" t="s">
        <v>939</v>
      </c>
      <c r="F290" s="72" t="s">
        <v>937</v>
      </c>
      <c r="G290" s="72" t="s">
        <v>1100</v>
      </c>
      <c r="H290" s="72" t="s">
        <v>1098</v>
      </c>
    </row>
    <row r="291" ht="193.2" spans="1:8">
      <c r="A291" s="108" t="s">
        <v>940</v>
      </c>
      <c r="B291" s="92" t="s">
        <v>941</v>
      </c>
      <c r="C291" s="92" t="s">
        <v>891</v>
      </c>
      <c r="D291" s="100" t="s">
        <v>942</v>
      </c>
      <c r="E291" s="92" t="s">
        <v>943</v>
      </c>
      <c r="F291" s="72" t="s">
        <v>941</v>
      </c>
      <c r="G291" s="72" t="s">
        <v>1100</v>
      </c>
      <c r="H291" s="72" t="s">
        <v>1098</v>
      </c>
    </row>
    <row r="292" ht="41.4" spans="1:8">
      <c r="A292" s="108" t="s">
        <v>944</v>
      </c>
      <c r="B292" s="92" t="s">
        <v>945</v>
      </c>
      <c r="C292" s="92" t="s">
        <v>891</v>
      </c>
      <c r="D292" s="100" t="s">
        <v>946</v>
      </c>
      <c r="E292" s="92" t="s">
        <v>947</v>
      </c>
      <c r="F292" s="72" t="s">
        <v>945</v>
      </c>
      <c r="G292" s="72" t="s">
        <v>1097</v>
      </c>
      <c r="H292" s="72" t="s">
        <v>1098</v>
      </c>
    </row>
    <row r="293" ht="193.2" spans="1:8">
      <c r="A293" s="108" t="s">
        <v>948</v>
      </c>
      <c r="B293" s="92" t="s">
        <v>949</v>
      </c>
      <c r="C293" s="92" t="s">
        <v>891</v>
      </c>
      <c r="D293" s="100" t="s">
        <v>950</v>
      </c>
      <c r="E293" s="92" t="s">
        <v>951</v>
      </c>
      <c r="F293" s="72" t="s">
        <v>949</v>
      </c>
      <c r="G293" s="72" t="s">
        <v>1100</v>
      </c>
      <c r="H293" s="72" t="s">
        <v>1098</v>
      </c>
    </row>
    <row r="294" ht="31.95" customHeight="1" spans="1:8">
      <c r="A294" s="94" t="s">
        <v>952</v>
      </c>
      <c r="B294" s="95"/>
      <c r="C294" s="95"/>
      <c r="D294" s="95"/>
      <c r="E294" s="95"/>
      <c r="F294" s="95"/>
      <c r="G294" s="95"/>
      <c r="H294" s="96"/>
    </row>
    <row r="295" ht="13.8" spans="1:8">
      <c r="A295" s="107" t="s">
        <v>24</v>
      </c>
      <c r="B295" s="107" t="s">
        <v>25</v>
      </c>
      <c r="C295" s="107" t="s">
        <v>26</v>
      </c>
      <c r="D295" s="107" t="s">
        <v>27</v>
      </c>
      <c r="E295" s="107" t="s">
        <v>28</v>
      </c>
      <c r="F295" s="91" t="s">
        <v>25</v>
      </c>
      <c r="G295" s="91" t="s">
        <v>1093</v>
      </c>
      <c r="H295" s="91" t="s">
        <v>1094</v>
      </c>
    </row>
    <row r="296" ht="41.4" spans="1:8">
      <c r="A296" s="108" t="s">
        <v>953</v>
      </c>
      <c r="B296" s="92" t="s">
        <v>954</v>
      </c>
      <c r="C296" s="92" t="s">
        <v>955</v>
      </c>
      <c r="D296" s="73" t="s">
        <v>956</v>
      </c>
      <c r="E296" s="92" t="s">
        <v>957</v>
      </c>
      <c r="F296" s="72" t="s">
        <v>954</v>
      </c>
      <c r="G296" s="114" t="s">
        <v>1097</v>
      </c>
      <c r="H296" s="114" t="s">
        <v>1098</v>
      </c>
    </row>
    <row r="297" ht="41.4" spans="1:8">
      <c r="A297" s="108" t="s">
        <v>958</v>
      </c>
      <c r="B297" s="92" t="s">
        <v>959</v>
      </c>
      <c r="C297" s="92" t="s">
        <v>955</v>
      </c>
      <c r="D297" s="73" t="s">
        <v>960</v>
      </c>
      <c r="E297" s="92" t="s">
        <v>961</v>
      </c>
      <c r="F297" s="72" t="s">
        <v>959</v>
      </c>
      <c r="G297" s="114" t="s">
        <v>1100</v>
      </c>
      <c r="H297" s="114" t="s">
        <v>1098</v>
      </c>
    </row>
    <row r="298" ht="43.05" customHeight="1" spans="1:8">
      <c r="A298" s="94" t="s">
        <v>962</v>
      </c>
      <c r="B298" s="95"/>
      <c r="C298" s="95"/>
      <c r="D298" s="95"/>
      <c r="E298" s="95"/>
      <c r="F298" s="95"/>
      <c r="G298" s="95"/>
      <c r="H298" s="96"/>
    </row>
    <row r="299" ht="13.8" spans="1:8">
      <c r="A299" s="107" t="s">
        <v>24</v>
      </c>
      <c r="B299" s="107" t="s">
        <v>25</v>
      </c>
      <c r="C299" s="107" t="s">
        <v>26</v>
      </c>
      <c r="D299" s="107" t="s">
        <v>27</v>
      </c>
      <c r="E299" s="107" t="s">
        <v>28</v>
      </c>
      <c r="F299" s="91" t="s">
        <v>25</v>
      </c>
      <c r="G299" s="91" t="s">
        <v>1093</v>
      </c>
      <c r="H299" s="91" t="s">
        <v>1094</v>
      </c>
    </row>
    <row r="300" ht="82.8" spans="1:8">
      <c r="A300" s="108" t="s">
        <v>963</v>
      </c>
      <c r="B300" s="92" t="s">
        <v>964</v>
      </c>
      <c r="C300" s="92" t="s">
        <v>965</v>
      </c>
      <c r="D300" s="100" t="s">
        <v>966</v>
      </c>
      <c r="E300" s="92" t="s">
        <v>967</v>
      </c>
      <c r="F300" s="72" t="s">
        <v>964</v>
      </c>
      <c r="G300" s="114" t="s">
        <v>1097</v>
      </c>
      <c r="H300" s="114" t="s">
        <v>1098</v>
      </c>
    </row>
    <row r="301" ht="82.8" spans="1:8">
      <c r="A301" s="108" t="s">
        <v>968</v>
      </c>
      <c r="B301" s="92" t="s">
        <v>969</v>
      </c>
      <c r="C301" s="92" t="s">
        <v>965</v>
      </c>
      <c r="D301" s="100" t="s">
        <v>970</v>
      </c>
      <c r="E301" s="92" t="s">
        <v>971</v>
      </c>
      <c r="F301" s="72" t="s">
        <v>969</v>
      </c>
      <c r="G301" s="114" t="s">
        <v>1100</v>
      </c>
      <c r="H301" s="114" t="s">
        <v>1098</v>
      </c>
    </row>
    <row r="302" ht="37.05" customHeight="1" spans="1:8">
      <c r="A302" s="94" t="s">
        <v>972</v>
      </c>
      <c r="B302" s="95"/>
      <c r="C302" s="95"/>
      <c r="D302" s="95"/>
      <c r="E302" s="95"/>
      <c r="F302" s="95"/>
      <c r="G302" s="95"/>
      <c r="H302" s="96"/>
    </row>
    <row r="303" ht="13.8" spans="1:8">
      <c r="A303" s="107" t="s">
        <v>24</v>
      </c>
      <c r="B303" s="107" t="s">
        <v>25</v>
      </c>
      <c r="C303" s="107" t="s">
        <v>26</v>
      </c>
      <c r="D303" s="107" t="s">
        <v>27</v>
      </c>
      <c r="E303" s="107" t="s">
        <v>28</v>
      </c>
      <c r="F303" s="91" t="s">
        <v>25</v>
      </c>
      <c r="G303" s="91" t="s">
        <v>1093</v>
      </c>
      <c r="H303" s="91" t="s">
        <v>1094</v>
      </c>
    </row>
    <row r="304" ht="69" spans="1:8">
      <c r="A304" s="108" t="s">
        <v>973</v>
      </c>
      <c r="B304" s="92" t="s">
        <v>974</v>
      </c>
      <c r="C304" s="92" t="s">
        <v>975</v>
      </c>
      <c r="D304" s="100" t="s">
        <v>976</v>
      </c>
      <c r="E304" s="92" t="s">
        <v>977</v>
      </c>
      <c r="F304" s="72" t="s">
        <v>974</v>
      </c>
      <c r="G304" s="72" t="s">
        <v>1097</v>
      </c>
      <c r="H304" s="72" t="s">
        <v>1098</v>
      </c>
    </row>
    <row r="305" ht="55.2" spans="1:8">
      <c r="A305" s="108" t="s">
        <v>978</v>
      </c>
      <c r="B305" s="92" t="s">
        <v>979</v>
      </c>
      <c r="C305" s="92" t="s">
        <v>975</v>
      </c>
      <c r="D305" s="100" t="s">
        <v>980</v>
      </c>
      <c r="E305" s="92" t="s">
        <v>981</v>
      </c>
      <c r="F305" s="72" t="s">
        <v>979</v>
      </c>
      <c r="G305" s="72" t="s">
        <v>1097</v>
      </c>
      <c r="H305" s="72" t="s">
        <v>1098</v>
      </c>
    </row>
    <row r="306" ht="55.2" spans="1:8">
      <c r="A306" s="108" t="s">
        <v>982</v>
      </c>
      <c r="B306" s="92" t="s">
        <v>983</v>
      </c>
      <c r="C306" s="92" t="s">
        <v>975</v>
      </c>
      <c r="D306" s="100" t="s">
        <v>984</v>
      </c>
      <c r="E306" s="92" t="s">
        <v>985</v>
      </c>
      <c r="F306" s="72" t="s">
        <v>983</v>
      </c>
      <c r="G306" s="72" t="s">
        <v>1100</v>
      </c>
      <c r="H306" s="72" t="s">
        <v>1213</v>
      </c>
    </row>
    <row r="307" ht="55.2" spans="1:8">
      <c r="A307" s="108" t="s">
        <v>986</v>
      </c>
      <c r="B307" s="92" t="s">
        <v>987</v>
      </c>
      <c r="C307" s="92" t="s">
        <v>975</v>
      </c>
      <c r="D307" s="100" t="s">
        <v>988</v>
      </c>
      <c r="E307" s="92" t="s">
        <v>989</v>
      </c>
      <c r="F307" s="72" t="s">
        <v>987</v>
      </c>
      <c r="G307" s="72" t="s">
        <v>1100</v>
      </c>
      <c r="H307" s="72" t="s">
        <v>1213</v>
      </c>
    </row>
    <row r="308" ht="55.2" spans="1:8">
      <c r="A308" s="108" t="s">
        <v>990</v>
      </c>
      <c r="B308" s="92" t="s">
        <v>991</v>
      </c>
      <c r="C308" s="92" t="s">
        <v>975</v>
      </c>
      <c r="D308" s="100" t="s">
        <v>992</v>
      </c>
      <c r="E308" s="92" t="s">
        <v>993</v>
      </c>
      <c r="F308" s="72" t="s">
        <v>991</v>
      </c>
      <c r="G308" s="72" t="s">
        <v>1100</v>
      </c>
      <c r="H308" s="72" t="s">
        <v>1213</v>
      </c>
    </row>
    <row r="309" ht="69" spans="1:8">
      <c r="A309" s="108" t="s">
        <v>994</v>
      </c>
      <c r="B309" s="92" t="s">
        <v>995</v>
      </c>
      <c r="C309" s="92" t="s">
        <v>975</v>
      </c>
      <c r="D309" s="100" t="s">
        <v>996</v>
      </c>
      <c r="E309" s="92" t="s">
        <v>997</v>
      </c>
      <c r="F309" s="72" t="s">
        <v>995</v>
      </c>
      <c r="G309" s="72" t="s">
        <v>1100</v>
      </c>
      <c r="H309" s="72" t="s">
        <v>1213</v>
      </c>
    </row>
    <row r="310" ht="55.2" spans="1:8">
      <c r="A310" s="108" t="s">
        <v>998</v>
      </c>
      <c r="B310" s="92" t="s">
        <v>999</v>
      </c>
      <c r="C310" s="92" t="s">
        <v>975</v>
      </c>
      <c r="D310" s="100" t="s">
        <v>1000</v>
      </c>
      <c r="E310" s="92" t="s">
        <v>1001</v>
      </c>
      <c r="F310" s="72" t="s">
        <v>999</v>
      </c>
      <c r="G310" s="72" t="s">
        <v>1097</v>
      </c>
      <c r="H310" s="72" t="s">
        <v>1098</v>
      </c>
    </row>
    <row r="311" ht="55.2" spans="1:8">
      <c r="A311" s="108" t="s">
        <v>1002</v>
      </c>
      <c r="B311" s="92" t="s">
        <v>1003</v>
      </c>
      <c r="C311" s="92" t="s">
        <v>975</v>
      </c>
      <c r="D311" s="100" t="s">
        <v>1004</v>
      </c>
      <c r="E311" s="92" t="s">
        <v>1005</v>
      </c>
      <c r="F311" s="72" t="s">
        <v>1003</v>
      </c>
      <c r="G311" s="72" t="s">
        <v>1097</v>
      </c>
      <c r="H311" s="72" t="s">
        <v>1098</v>
      </c>
    </row>
    <row r="312" ht="69" spans="1:8">
      <c r="A312" s="108" t="s">
        <v>1006</v>
      </c>
      <c r="B312" s="92" t="s">
        <v>1007</v>
      </c>
      <c r="C312" s="92" t="s">
        <v>975</v>
      </c>
      <c r="D312" s="100" t="s">
        <v>1008</v>
      </c>
      <c r="E312" s="92" t="s">
        <v>1009</v>
      </c>
      <c r="F312" s="72" t="s">
        <v>1007</v>
      </c>
      <c r="G312" s="72" t="s">
        <v>1097</v>
      </c>
      <c r="H312" s="72" t="s">
        <v>1098</v>
      </c>
    </row>
    <row r="313" ht="41.4" spans="1:8">
      <c r="A313" s="108" t="s">
        <v>1010</v>
      </c>
      <c r="B313" s="92" t="s">
        <v>1011</v>
      </c>
      <c r="C313" s="92" t="s">
        <v>975</v>
      </c>
      <c r="D313" s="100" t="s">
        <v>980</v>
      </c>
      <c r="E313" s="92" t="s">
        <v>1012</v>
      </c>
      <c r="F313" s="72" t="s">
        <v>1014</v>
      </c>
      <c r="G313" s="72" t="s">
        <v>1100</v>
      </c>
      <c r="H313" s="72" t="s">
        <v>1213</v>
      </c>
    </row>
    <row r="314" ht="55.2" spans="1:8">
      <c r="A314" s="108" t="s">
        <v>1013</v>
      </c>
      <c r="B314" s="92" t="s">
        <v>1014</v>
      </c>
      <c r="C314" s="92" t="s">
        <v>975</v>
      </c>
      <c r="D314" s="100" t="s">
        <v>1015</v>
      </c>
      <c r="E314" s="92" t="s">
        <v>1016</v>
      </c>
      <c r="F314" s="72" t="s">
        <v>1018</v>
      </c>
      <c r="G314" s="72" t="s">
        <v>1100</v>
      </c>
      <c r="H314" s="72" t="s">
        <v>1213</v>
      </c>
    </row>
    <row r="315" ht="55.2" spans="1:8">
      <c r="A315" s="108" t="s">
        <v>1017</v>
      </c>
      <c r="B315" s="92" t="s">
        <v>1018</v>
      </c>
      <c r="C315" s="92" t="s">
        <v>975</v>
      </c>
      <c r="D315" s="100" t="s">
        <v>1019</v>
      </c>
      <c r="E315" s="92" t="s">
        <v>1020</v>
      </c>
      <c r="F315" s="72" t="s">
        <v>1022</v>
      </c>
      <c r="G315" s="72" t="s">
        <v>1100</v>
      </c>
      <c r="H315" s="72" t="s">
        <v>1213</v>
      </c>
    </row>
    <row r="316" ht="69" spans="1:8">
      <c r="A316" s="108" t="s">
        <v>1021</v>
      </c>
      <c r="B316" s="92" t="s">
        <v>1022</v>
      </c>
      <c r="C316" s="92" t="s">
        <v>975</v>
      </c>
      <c r="D316" s="100" t="s">
        <v>1023</v>
      </c>
      <c r="E316" s="92" t="s">
        <v>1024</v>
      </c>
      <c r="F316" s="72" t="s">
        <v>1026</v>
      </c>
      <c r="G316" s="72" t="s">
        <v>1100</v>
      </c>
      <c r="H316" s="72" t="s">
        <v>1213</v>
      </c>
    </row>
    <row r="317" ht="55.2" spans="1:8">
      <c r="A317" s="108" t="s">
        <v>1025</v>
      </c>
      <c r="B317" s="92" t="s">
        <v>1026</v>
      </c>
      <c r="C317" s="92" t="s">
        <v>975</v>
      </c>
      <c r="D317" s="100" t="s">
        <v>1027</v>
      </c>
      <c r="E317" s="92" t="s">
        <v>1024</v>
      </c>
      <c r="F317" s="72" t="s">
        <v>1029</v>
      </c>
      <c r="G317" s="72" t="s">
        <v>1100</v>
      </c>
      <c r="H317" s="72" t="s">
        <v>1213</v>
      </c>
    </row>
    <row r="318" ht="69" spans="1:8">
      <c r="A318" s="108" t="s">
        <v>1028</v>
      </c>
      <c r="B318" s="92" t="s">
        <v>1029</v>
      </c>
      <c r="C318" s="92" t="s">
        <v>975</v>
      </c>
      <c r="D318" s="100" t="s">
        <v>1030</v>
      </c>
      <c r="E318" s="92" t="s">
        <v>1031</v>
      </c>
      <c r="F318" s="72" t="s">
        <v>1033</v>
      </c>
      <c r="G318" s="72" t="s">
        <v>1100</v>
      </c>
      <c r="H318" s="72" t="s">
        <v>1213</v>
      </c>
    </row>
    <row r="319" ht="69" spans="1:8">
      <c r="A319" s="108" t="s">
        <v>1032</v>
      </c>
      <c r="B319" s="92" t="s">
        <v>1033</v>
      </c>
      <c r="C319" s="92" t="s">
        <v>975</v>
      </c>
      <c r="D319" s="100" t="s">
        <v>1034</v>
      </c>
      <c r="E319" s="92" t="s">
        <v>1035</v>
      </c>
      <c r="F319" s="72" t="s">
        <v>1037</v>
      </c>
      <c r="G319" s="72" t="s">
        <v>1102</v>
      </c>
      <c r="H319" s="72" t="s">
        <v>1103</v>
      </c>
    </row>
    <row r="320" ht="79.2" spans="1:8">
      <c r="A320" s="108" t="s">
        <v>1036</v>
      </c>
      <c r="B320" s="92" t="s">
        <v>1037</v>
      </c>
      <c r="C320" s="92" t="s">
        <v>975</v>
      </c>
      <c r="D320" s="100" t="s">
        <v>1038</v>
      </c>
      <c r="E320" s="92" t="s">
        <v>1039</v>
      </c>
      <c r="F320" s="72" t="s">
        <v>1041</v>
      </c>
      <c r="G320" s="72" t="s">
        <v>1102</v>
      </c>
      <c r="H320" s="72" t="s">
        <v>1103</v>
      </c>
    </row>
    <row r="321" ht="82.8" spans="1:8">
      <c r="A321" s="108" t="s">
        <v>1040</v>
      </c>
      <c r="B321" s="92" t="s">
        <v>1041</v>
      </c>
      <c r="C321" s="92" t="s">
        <v>975</v>
      </c>
      <c r="D321" s="100" t="s">
        <v>1042</v>
      </c>
      <c r="E321" s="92" t="s">
        <v>1043</v>
      </c>
      <c r="F321" s="72" t="s">
        <v>1045</v>
      </c>
      <c r="G321" s="72" t="s">
        <v>1100</v>
      </c>
      <c r="H321" s="72" t="s">
        <v>1213</v>
      </c>
    </row>
    <row r="322" ht="69" spans="1:8">
      <c r="A322" s="108" t="s">
        <v>1044</v>
      </c>
      <c r="B322" s="92" t="s">
        <v>1045</v>
      </c>
      <c r="C322" s="92" t="s">
        <v>975</v>
      </c>
      <c r="D322" s="100" t="s">
        <v>1046</v>
      </c>
      <c r="E322" s="92" t="s">
        <v>1047</v>
      </c>
      <c r="F322" s="72" t="s">
        <v>1049</v>
      </c>
      <c r="G322" s="72" t="s">
        <v>1100</v>
      </c>
      <c r="H322" s="72" t="s">
        <v>1213</v>
      </c>
    </row>
    <row r="323" ht="55.2" spans="1:8">
      <c r="A323" s="108" t="s">
        <v>1048</v>
      </c>
      <c r="B323" s="92" t="s">
        <v>1049</v>
      </c>
      <c r="C323" s="92" t="s">
        <v>975</v>
      </c>
      <c r="D323" s="100" t="s">
        <v>1050</v>
      </c>
      <c r="E323" s="92" t="s">
        <v>1051</v>
      </c>
      <c r="F323" s="72" t="s">
        <v>1053</v>
      </c>
      <c r="G323" s="72" t="s">
        <v>1100</v>
      </c>
      <c r="H323" s="72" t="s">
        <v>1213</v>
      </c>
    </row>
    <row r="324" ht="55.2" spans="1:8">
      <c r="A324" s="108" t="s">
        <v>1052</v>
      </c>
      <c r="B324" s="92" t="s">
        <v>1053</v>
      </c>
      <c r="C324" s="92" t="s">
        <v>975</v>
      </c>
      <c r="D324" s="100" t="s">
        <v>1050</v>
      </c>
      <c r="E324" s="92" t="s">
        <v>1054</v>
      </c>
      <c r="F324" s="72" t="s">
        <v>1056</v>
      </c>
      <c r="G324" s="72" t="s">
        <v>1100</v>
      </c>
      <c r="H324" s="72" t="s">
        <v>1213</v>
      </c>
    </row>
    <row r="325" ht="55.2" spans="1:8">
      <c r="A325" s="108" t="s">
        <v>1055</v>
      </c>
      <c r="B325" s="92" t="s">
        <v>1056</v>
      </c>
      <c r="C325" s="92" t="s">
        <v>975</v>
      </c>
      <c r="D325" s="100" t="s">
        <v>1057</v>
      </c>
      <c r="E325" s="92" t="s">
        <v>1058</v>
      </c>
      <c r="F325" s="72" t="s">
        <v>1060</v>
      </c>
      <c r="G325" s="72" t="s">
        <v>1100</v>
      </c>
      <c r="H325" s="72" t="s">
        <v>1213</v>
      </c>
    </row>
    <row r="326" ht="69" spans="1:8">
      <c r="A326" s="108" t="s">
        <v>1059</v>
      </c>
      <c r="B326" s="92" t="s">
        <v>1060</v>
      </c>
      <c r="C326" s="92" t="s">
        <v>975</v>
      </c>
      <c r="D326" s="100" t="s">
        <v>1061</v>
      </c>
      <c r="E326" s="92" t="s">
        <v>1062</v>
      </c>
      <c r="F326" s="72" t="s">
        <v>1064</v>
      </c>
      <c r="G326" s="72" t="s">
        <v>1100</v>
      </c>
      <c r="H326" s="72" t="s">
        <v>1213</v>
      </c>
    </row>
    <row r="327" ht="55.2" spans="1:8">
      <c r="A327" s="108" t="s">
        <v>1063</v>
      </c>
      <c r="B327" s="92" t="s">
        <v>1064</v>
      </c>
      <c r="C327" s="92" t="s">
        <v>975</v>
      </c>
      <c r="D327" s="100" t="s">
        <v>1065</v>
      </c>
      <c r="E327" s="92" t="s">
        <v>1066</v>
      </c>
      <c r="F327" s="72" t="s">
        <v>1068</v>
      </c>
      <c r="G327" s="72" t="s">
        <v>1102</v>
      </c>
      <c r="H327" s="72" t="s">
        <v>1103</v>
      </c>
    </row>
    <row r="328" ht="55.2" spans="1:8">
      <c r="A328" s="108" t="s">
        <v>1067</v>
      </c>
      <c r="B328" s="92" t="s">
        <v>1068</v>
      </c>
      <c r="C328" s="92" t="s">
        <v>975</v>
      </c>
      <c r="D328" s="100" t="s">
        <v>1069</v>
      </c>
      <c r="E328" s="92" t="s">
        <v>1070</v>
      </c>
      <c r="F328" s="72" t="s">
        <v>1072</v>
      </c>
      <c r="G328" s="72" t="s">
        <v>1102</v>
      </c>
      <c r="H328" s="72" t="s">
        <v>1103</v>
      </c>
    </row>
    <row r="329" ht="69" spans="1:8">
      <c r="A329" s="108" t="s">
        <v>1071</v>
      </c>
      <c r="B329" s="92" t="s">
        <v>1072</v>
      </c>
      <c r="C329" s="92" t="s">
        <v>975</v>
      </c>
      <c r="D329" s="100" t="s">
        <v>1073</v>
      </c>
      <c r="E329" s="92" t="s">
        <v>1074</v>
      </c>
      <c r="F329" s="72" t="s">
        <v>1076</v>
      </c>
      <c r="G329" s="72" t="s">
        <v>1102</v>
      </c>
      <c r="H329" s="72" t="s">
        <v>1103</v>
      </c>
    </row>
    <row r="330" ht="69" spans="1:8">
      <c r="A330" s="108" t="s">
        <v>1075</v>
      </c>
      <c r="B330" s="92" t="s">
        <v>1076</v>
      </c>
      <c r="C330" s="92" t="s">
        <v>1077</v>
      </c>
      <c r="D330" s="100" t="s">
        <v>1078</v>
      </c>
      <c r="E330" s="92" t="s">
        <v>1079</v>
      </c>
      <c r="F330" s="72" t="s">
        <v>1081</v>
      </c>
      <c r="G330" s="72" t="s">
        <v>1102</v>
      </c>
      <c r="H330" s="72" t="s">
        <v>1103</v>
      </c>
    </row>
    <row r="331" ht="55.2" spans="1:8">
      <c r="A331" s="108" t="s">
        <v>1080</v>
      </c>
      <c r="B331" s="92" t="s">
        <v>1081</v>
      </c>
      <c r="C331" s="92" t="s">
        <v>975</v>
      </c>
      <c r="D331" s="100" t="s">
        <v>1078</v>
      </c>
      <c r="E331" s="92" t="s">
        <v>1079</v>
      </c>
      <c r="F331" s="72" t="s">
        <v>1083</v>
      </c>
      <c r="G331" s="72" t="s">
        <v>1100</v>
      </c>
      <c r="H331" s="72" t="s">
        <v>1213</v>
      </c>
    </row>
    <row r="332" ht="55.2" spans="1:8">
      <c r="A332" s="108" t="s">
        <v>1082</v>
      </c>
      <c r="B332" s="92" t="s">
        <v>1083</v>
      </c>
      <c r="C332" s="92" t="s">
        <v>975</v>
      </c>
      <c r="D332" s="100" t="s">
        <v>1084</v>
      </c>
      <c r="E332" s="92" t="s">
        <v>1085</v>
      </c>
      <c r="F332" s="72" t="s">
        <v>1087</v>
      </c>
      <c r="G332" s="72" t="s">
        <v>1100</v>
      </c>
      <c r="H332" s="72" t="s">
        <v>1213</v>
      </c>
    </row>
    <row r="333" ht="55.2" spans="1:8">
      <c r="A333" s="108" t="s">
        <v>1086</v>
      </c>
      <c r="B333" s="92" t="s">
        <v>1087</v>
      </c>
      <c r="C333" s="92" t="s">
        <v>975</v>
      </c>
      <c r="D333" s="100" t="s">
        <v>1000</v>
      </c>
      <c r="E333" s="92" t="s">
        <v>1088</v>
      </c>
      <c r="F333" s="72" t="s">
        <v>1090</v>
      </c>
      <c r="G333" s="72" t="s">
        <v>1100</v>
      </c>
      <c r="H333" s="72" t="s">
        <v>1213</v>
      </c>
    </row>
    <row r="334" ht="55.2" spans="1:8">
      <c r="A334" s="108" t="s">
        <v>1089</v>
      </c>
      <c r="B334" s="92" t="s">
        <v>1090</v>
      </c>
      <c r="C334" s="92" t="s">
        <v>975</v>
      </c>
      <c r="D334" s="100" t="s">
        <v>1004</v>
      </c>
      <c r="E334" s="92" t="s">
        <v>1091</v>
      </c>
      <c r="F334" s="72" t="s">
        <v>1090</v>
      </c>
      <c r="G334" s="72" t="s">
        <v>1100</v>
      </c>
      <c r="H334" s="72" t="s">
        <v>1213</v>
      </c>
    </row>
    <row r="335" s="78" customFormat="1" spans="1:2575">
      <c r="A335" s="115"/>
      <c r="B335" s="116"/>
      <c r="C335" s="116"/>
      <c r="D335" s="116"/>
      <c r="E335" s="116"/>
      <c r="F335" s="116"/>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c r="BE335" s="104"/>
      <c r="BF335" s="104"/>
      <c r="BG335" s="104"/>
      <c r="BH335" s="104"/>
      <c r="BI335" s="104"/>
      <c r="BJ335" s="104"/>
      <c r="BK335" s="104"/>
      <c r="BL335" s="104"/>
      <c r="BM335" s="104"/>
      <c r="BN335" s="104"/>
      <c r="BO335" s="104"/>
      <c r="BP335" s="104"/>
      <c r="BQ335" s="104"/>
      <c r="BR335" s="104"/>
      <c r="BS335" s="104"/>
      <c r="BT335" s="104"/>
      <c r="BU335" s="104"/>
      <c r="BV335" s="104"/>
      <c r="BW335" s="104"/>
      <c r="BX335" s="104"/>
      <c r="BY335" s="104"/>
      <c r="BZ335" s="104"/>
      <c r="CA335" s="104"/>
      <c r="CB335" s="104"/>
      <c r="CC335" s="104"/>
      <c r="CD335" s="104"/>
      <c r="CE335" s="104"/>
      <c r="CF335" s="104"/>
      <c r="CG335" s="104"/>
      <c r="CH335" s="104"/>
      <c r="CI335" s="104"/>
      <c r="CJ335" s="104"/>
      <c r="CK335" s="104"/>
      <c r="CL335" s="104"/>
      <c r="CM335" s="104"/>
      <c r="CN335" s="104"/>
      <c r="CO335" s="104"/>
      <c r="CP335" s="104"/>
      <c r="CQ335" s="104"/>
      <c r="CR335" s="104"/>
      <c r="CS335" s="104"/>
      <c r="CT335" s="104"/>
      <c r="CU335" s="104"/>
      <c r="CV335" s="104"/>
      <c r="CW335" s="104"/>
      <c r="CX335" s="104"/>
      <c r="CY335" s="104"/>
      <c r="CZ335" s="104"/>
      <c r="DA335" s="104"/>
      <c r="DB335" s="104"/>
      <c r="DC335" s="104"/>
      <c r="DD335" s="104"/>
      <c r="DE335" s="104"/>
      <c r="DF335" s="104"/>
      <c r="DG335" s="104"/>
      <c r="DH335" s="104"/>
      <c r="DI335" s="104"/>
      <c r="DJ335" s="104"/>
      <c r="DK335" s="104"/>
      <c r="DL335" s="104"/>
      <c r="DM335" s="104"/>
      <c r="DN335" s="104"/>
      <c r="DO335" s="104"/>
      <c r="DP335" s="104"/>
      <c r="DQ335" s="104"/>
      <c r="DR335" s="104"/>
      <c r="DS335" s="104"/>
      <c r="DT335" s="104"/>
      <c r="DU335" s="104"/>
      <c r="DV335" s="104"/>
      <c r="DW335" s="104"/>
      <c r="DX335" s="104"/>
      <c r="DY335" s="104"/>
      <c r="DZ335" s="104"/>
      <c r="EA335" s="104"/>
      <c r="EB335" s="104"/>
      <c r="EC335" s="104"/>
      <c r="ED335" s="104"/>
      <c r="EE335" s="104"/>
      <c r="EF335" s="104"/>
      <c r="EG335" s="104"/>
      <c r="EH335" s="104"/>
      <c r="EI335" s="104"/>
      <c r="EJ335" s="104"/>
      <c r="EK335" s="104"/>
      <c r="EL335" s="104"/>
      <c r="EM335" s="104"/>
      <c r="EN335" s="104"/>
      <c r="EO335" s="104"/>
      <c r="EP335" s="104"/>
      <c r="EQ335" s="104"/>
      <c r="ER335" s="104"/>
      <c r="ES335" s="104"/>
      <c r="ET335" s="104"/>
      <c r="EU335" s="104"/>
      <c r="EV335" s="104"/>
      <c r="EW335" s="104"/>
      <c r="EX335" s="104"/>
      <c r="EY335" s="104"/>
      <c r="EZ335" s="104"/>
      <c r="FA335" s="104"/>
      <c r="FB335" s="104"/>
      <c r="FC335" s="104"/>
      <c r="FD335" s="104"/>
      <c r="FE335" s="104"/>
      <c r="FF335" s="104"/>
      <c r="FG335" s="104"/>
      <c r="FH335" s="104"/>
      <c r="FI335" s="104"/>
      <c r="FJ335" s="104"/>
      <c r="FK335" s="104"/>
      <c r="FL335" s="104"/>
      <c r="FM335" s="104"/>
      <c r="FN335" s="104"/>
      <c r="FO335" s="104"/>
      <c r="FP335" s="104"/>
      <c r="FQ335" s="104"/>
      <c r="FR335" s="104"/>
      <c r="FS335" s="104"/>
      <c r="FT335" s="104"/>
      <c r="FU335" s="104"/>
      <c r="FV335" s="104"/>
      <c r="FW335" s="104"/>
      <c r="FX335" s="104"/>
      <c r="FY335" s="104"/>
      <c r="FZ335" s="104"/>
      <c r="GA335" s="104"/>
      <c r="GB335" s="104"/>
      <c r="GC335" s="104"/>
      <c r="GD335" s="104"/>
      <c r="GE335" s="104"/>
      <c r="GF335" s="104"/>
      <c r="GG335" s="104"/>
      <c r="GH335" s="104"/>
      <c r="GI335" s="104"/>
      <c r="GJ335" s="104"/>
      <c r="GK335" s="104"/>
      <c r="GL335" s="104"/>
      <c r="GM335" s="104"/>
      <c r="GN335" s="104"/>
      <c r="GO335" s="104"/>
      <c r="GP335" s="104"/>
      <c r="GQ335" s="104"/>
      <c r="GR335" s="104"/>
      <c r="GS335" s="104"/>
      <c r="GT335" s="104"/>
      <c r="GU335" s="104"/>
      <c r="GV335" s="104"/>
      <c r="GW335" s="104"/>
      <c r="GX335" s="104"/>
      <c r="GY335" s="104"/>
      <c r="GZ335" s="104"/>
      <c r="HA335" s="104"/>
      <c r="HB335" s="104"/>
      <c r="HC335" s="104"/>
      <c r="HD335" s="104"/>
      <c r="HE335" s="104"/>
      <c r="HF335" s="104"/>
      <c r="HG335" s="104"/>
      <c r="HH335" s="104"/>
      <c r="HI335" s="104"/>
      <c r="HJ335" s="104"/>
      <c r="HK335" s="104"/>
      <c r="HL335" s="104"/>
      <c r="HM335" s="104"/>
      <c r="HN335" s="104"/>
      <c r="HO335" s="104"/>
      <c r="HP335" s="104"/>
      <c r="HQ335" s="104"/>
      <c r="HR335" s="104"/>
      <c r="HS335" s="104"/>
      <c r="HT335" s="104"/>
      <c r="HU335" s="104"/>
      <c r="HV335" s="104"/>
      <c r="HW335" s="104"/>
      <c r="HX335" s="104"/>
      <c r="HY335" s="104"/>
      <c r="HZ335" s="104"/>
      <c r="IA335" s="104"/>
      <c r="IB335" s="104"/>
      <c r="IC335" s="104"/>
      <c r="ID335" s="104"/>
      <c r="IE335" s="104"/>
      <c r="IF335" s="104"/>
      <c r="IG335" s="104"/>
      <c r="IH335" s="104"/>
      <c r="II335" s="104"/>
      <c r="IJ335" s="104"/>
      <c r="IK335" s="104"/>
      <c r="IL335" s="104"/>
      <c r="IM335" s="104"/>
      <c r="IN335" s="104"/>
      <c r="IO335" s="104"/>
      <c r="IP335" s="104"/>
      <c r="IQ335" s="104"/>
      <c r="IR335" s="104"/>
      <c r="IS335" s="104"/>
      <c r="IT335" s="104"/>
      <c r="IU335" s="104"/>
      <c r="IV335" s="104"/>
      <c r="IW335" s="104"/>
      <c r="IX335" s="104"/>
      <c r="IY335" s="104"/>
      <c r="IZ335" s="104"/>
      <c r="JA335" s="104"/>
      <c r="JB335" s="104"/>
      <c r="JC335" s="104"/>
      <c r="JD335" s="104"/>
      <c r="JE335" s="104"/>
      <c r="JF335" s="104"/>
      <c r="JG335" s="104"/>
      <c r="JH335" s="104"/>
      <c r="JI335" s="104"/>
      <c r="JJ335" s="104"/>
      <c r="JK335" s="104"/>
      <c r="JL335" s="104"/>
      <c r="JM335" s="104"/>
      <c r="JN335" s="104"/>
      <c r="JO335" s="104"/>
      <c r="JP335" s="104"/>
      <c r="JQ335" s="104"/>
      <c r="JR335" s="104"/>
      <c r="JS335" s="104"/>
      <c r="JT335" s="104"/>
      <c r="JU335" s="104"/>
      <c r="JV335" s="104"/>
      <c r="JW335" s="104"/>
      <c r="JX335" s="104"/>
      <c r="JY335" s="104"/>
      <c r="JZ335" s="104"/>
      <c r="KA335" s="104"/>
      <c r="KB335" s="104"/>
      <c r="KC335" s="104"/>
      <c r="KD335" s="104"/>
      <c r="KE335" s="104"/>
      <c r="KF335" s="104"/>
      <c r="KG335" s="104"/>
      <c r="KH335" s="104"/>
      <c r="KI335" s="104"/>
      <c r="KJ335" s="104"/>
      <c r="KK335" s="104"/>
      <c r="KL335" s="104"/>
      <c r="KM335" s="104"/>
      <c r="KN335" s="104"/>
      <c r="KO335" s="104"/>
      <c r="KP335" s="104"/>
      <c r="KQ335" s="104"/>
      <c r="KR335" s="104"/>
      <c r="KS335" s="104"/>
      <c r="KT335" s="104"/>
      <c r="KU335" s="104"/>
      <c r="KV335" s="104"/>
      <c r="KW335" s="104"/>
      <c r="KX335" s="104"/>
      <c r="KY335" s="104"/>
      <c r="KZ335" s="104"/>
      <c r="LA335" s="104"/>
      <c r="LB335" s="104"/>
      <c r="LC335" s="104"/>
      <c r="LD335" s="104"/>
      <c r="LE335" s="104"/>
      <c r="LF335" s="104"/>
      <c r="LG335" s="104"/>
      <c r="LH335" s="104"/>
      <c r="LI335" s="104"/>
      <c r="LJ335" s="104"/>
      <c r="LK335" s="104"/>
      <c r="LL335" s="104"/>
      <c r="LM335" s="104"/>
      <c r="LN335" s="104"/>
      <c r="LO335" s="104"/>
      <c r="LP335" s="104"/>
      <c r="LQ335" s="104"/>
      <c r="LR335" s="104"/>
      <c r="LS335" s="104"/>
      <c r="LT335" s="104"/>
      <c r="LU335" s="104"/>
      <c r="LV335" s="104"/>
      <c r="LW335" s="104"/>
      <c r="LX335" s="104"/>
      <c r="LY335" s="104"/>
      <c r="LZ335" s="104"/>
      <c r="MA335" s="104"/>
      <c r="MB335" s="104"/>
      <c r="MC335" s="104"/>
      <c r="MD335" s="104"/>
      <c r="ME335" s="104"/>
      <c r="MF335" s="104"/>
      <c r="MG335" s="104"/>
      <c r="MH335" s="104"/>
      <c r="MI335" s="104"/>
      <c r="MJ335" s="104"/>
      <c r="MK335" s="104"/>
      <c r="ML335" s="104"/>
      <c r="MM335" s="104"/>
      <c r="MN335" s="104"/>
      <c r="MO335" s="104"/>
      <c r="MP335" s="104"/>
      <c r="MQ335" s="104"/>
      <c r="MR335" s="104"/>
      <c r="MS335" s="104"/>
      <c r="MT335" s="104"/>
      <c r="MU335" s="104"/>
      <c r="MV335" s="104"/>
      <c r="MW335" s="104"/>
      <c r="MX335" s="104"/>
      <c r="MY335" s="104"/>
      <c r="MZ335" s="104"/>
      <c r="NA335" s="104"/>
      <c r="NB335" s="104"/>
      <c r="NC335" s="104"/>
      <c r="ND335" s="104"/>
      <c r="NE335" s="104"/>
      <c r="NF335" s="104"/>
      <c r="NG335" s="104"/>
      <c r="NH335" s="104"/>
      <c r="NI335" s="104"/>
      <c r="NJ335" s="104"/>
      <c r="NK335" s="104"/>
      <c r="NL335" s="104"/>
      <c r="NM335" s="104"/>
      <c r="NN335" s="104"/>
      <c r="NO335" s="104"/>
      <c r="NP335" s="104"/>
      <c r="NQ335" s="104"/>
      <c r="NR335" s="104"/>
      <c r="NS335" s="104"/>
      <c r="NT335" s="104"/>
      <c r="NU335" s="104"/>
      <c r="NV335" s="104"/>
      <c r="NW335" s="104"/>
      <c r="NX335" s="104"/>
      <c r="NY335" s="104"/>
      <c r="NZ335" s="104"/>
      <c r="OA335" s="104"/>
      <c r="OB335" s="104"/>
      <c r="OC335" s="104"/>
      <c r="OD335" s="104"/>
      <c r="OE335" s="104"/>
      <c r="OF335" s="104"/>
      <c r="OG335" s="104"/>
      <c r="OH335" s="104"/>
      <c r="OI335" s="104"/>
      <c r="OJ335" s="104"/>
      <c r="OK335" s="104"/>
      <c r="OL335" s="104"/>
      <c r="OM335" s="104"/>
      <c r="ON335" s="104"/>
      <c r="OO335" s="104"/>
      <c r="OP335" s="104"/>
      <c r="OQ335" s="104"/>
      <c r="OR335" s="104"/>
      <c r="OS335" s="104"/>
      <c r="OT335" s="104"/>
      <c r="OU335" s="104"/>
      <c r="OV335" s="104"/>
      <c r="OW335" s="104"/>
      <c r="OX335" s="104"/>
      <c r="OY335" s="104"/>
      <c r="OZ335" s="104"/>
      <c r="PA335" s="104"/>
      <c r="PB335" s="104"/>
      <c r="PC335" s="104"/>
      <c r="PD335" s="104"/>
      <c r="PE335" s="104"/>
      <c r="PF335" s="104"/>
      <c r="PG335" s="104"/>
      <c r="PH335" s="104"/>
      <c r="PI335" s="104"/>
      <c r="PJ335" s="104"/>
      <c r="PK335" s="104"/>
      <c r="PL335" s="104"/>
      <c r="PM335" s="104"/>
      <c r="PN335" s="104"/>
      <c r="PO335" s="104"/>
      <c r="PP335" s="104"/>
      <c r="PQ335" s="104"/>
      <c r="PR335" s="104"/>
      <c r="PS335" s="104"/>
      <c r="PT335" s="104"/>
      <c r="PU335" s="104"/>
      <c r="PV335" s="104"/>
      <c r="PW335" s="104"/>
      <c r="PX335" s="104"/>
      <c r="PY335" s="104"/>
      <c r="PZ335" s="104"/>
      <c r="QA335" s="104"/>
      <c r="QB335" s="104"/>
      <c r="QC335" s="104"/>
      <c r="QD335" s="104"/>
      <c r="QE335" s="104"/>
      <c r="QF335" s="104"/>
      <c r="QG335" s="104"/>
      <c r="QH335" s="104"/>
      <c r="QI335" s="104"/>
      <c r="QJ335" s="104"/>
      <c r="QK335" s="104"/>
      <c r="QL335" s="104"/>
      <c r="QM335" s="104"/>
      <c r="QN335" s="104"/>
      <c r="QO335" s="104"/>
      <c r="QP335" s="104"/>
      <c r="QQ335" s="104"/>
      <c r="QR335" s="104"/>
      <c r="QS335" s="104"/>
      <c r="QT335" s="104"/>
      <c r="QU335" s="104"/>
      <c r="QV335" s="104"/>
      <c r="QW335" s="104"/>
      <c r="QX335" s="104"/>
      <c r="QY335" s="104"/>
      <c r="QZ335" s="104"/>
      <c r="RA335" s="104"/>
      <c r="RB335" s="104"/>
      <c r="RC335" s="104"/>
      <c r="RD335" s="104"/>
      <c r="RE335" s="104"/>
      <c r="RF335" s="104"/>
      <c r="RG335" s="104"/>
      <c r="RH335" s="104"/>
      <c r="RI335" s="104"/>
      <c r="RJ335" s="104"/>
      <c r="RK335" s="104"/>
      <c r="RL335" s="104"/>
      <c r="RM335" s="104"/>
      <c r="RN335" s="104"/>
      <c r="RO335" s="104"/>
      <c r="RP335" s="104"/>
      <c r="RQ335" s="104"/>
      <c r="RR335" s="104"/>
      <c r="RS335" s="104"/>
      <c r="RT335" s="104"/>
      <c r="RU335" s="104"/>
      <c r="RV335" s="104"/>
      <c r="RW335" s="104"/>
      <c r="RX335" s="104"/>
      <c r="RY335" s="104"/>
      <c r="RZ335" s="104"/>
      <c r="SA335" s="104"/>
      <c r="SB335" s="104"/>
      <c r="SC335" s="104"/>
      <c r="SD335" s="104"/>
      <c r="SE335" s="104"/>
      <c r="SF335" s="104"/>
      <c r="SG335" s="104"/>
      <c r="SH335" s="104"/>
      <c r="SI335" s="104"/>
      <c r="SJ335" s="104"/>
      <c r="SK335" s="104"/>
      <c r="SL335" s="104"/>
      <c r="SM335" s="104"/>
      <c r="SN335" s="104"/>
      <c r="SO335" s="104"/>
      <c r="SP335" s="104"/>
      <c r="SQ335" s="104"/>
      <c r="SR335" s="104"/>
      <c r="SS335" s="104"/>
      <c r="ST335" s="104"/>
      <c r="SU335" s="104"/>
      <c r="SV335" s="104"/>
      <c r="SW335" s="104"/>
      <c r="SX335" s="104"/>
      <c r="SY335" s="104"/>
      <c r="SZ335" s="104"/>
      <c r="TA335" s="104"/>
      <c r="TB335" s="104"/>
      <c r="TC335" s="104"/>
      <c r="TD335" s="104"/>
      <c r="TE335" s="104"/>
      <c r="TF335" s="104"/>
      <c r="TG335" s="104"/>
      <c r="TH335" s="104"/>
      <c r="TI335" s="104"/>
      <c r="TJ335" s="104"/>
      <c r="TK335" s="104"/>
      <c r="TL335" s="104"/>
      <c r="TM335" s="104"/>
      <c r="TN335" s="104"/>
      <c r="TO335" s="104"/>
      <c r="TP335" s="104"/>
      <c r="TQ335" s="104"/>
      <c r="TR335" s="104"/>
      <c r="TS335" s="104"/>
      <c r="TT335" s="104"/>
      <c r="TU335" s="104"/>
      <c r="TV335" s="104"/>
      <c r="TW335" s="104"/>
      <c r="TX335" s="104"/>
      <c r="TY335" s="104"/>
      <c r="TZ335" s="104"/>
      <c r="UA335" s="104"/>
      <c r="UB335" s="104"/>
      <c r="UC335" s="104"/>
      <c r="UD335" s="104"/>
      <c r="UE335" s="104"/>
      <c r="UF335" s="104"/>
      <c r="UG335" s="104"/>
      <c r="UH335" s="104"/>
      <c r="UI335" s="104"/>
      <c r="UJ335" s="104"/>
      <c r="UK335" s="104"/>
      <c r="UL335" s="104"/>
      <c r="UM335" s="104"/>
      <c r="UN335" s="104"/>
      <c r="UO335" s="104"/>
      <c r="UP335" s="104"/>
      <c r="UQ335" s="104"/>
      <c r="UR335" s="104"/>
      <c r="US335" s="104"/>
      <c r="UT335" s="104"/>
      <c r="UU335" s="104"/>
      <c r="UV335" s="104"/>
      <c r="UW335" s="104"/>
      <c r="UX335" s="104"/>
      <c r="UY335" s="104"/>
      <c r="UZ335" s="104"/>
      <c r="VA335" s="104"/>
      <c r="VB335" s="104"/>
      <c r="VC335" s="104"/>
      <c r="VD335" s="104"/>
      <c r="VE335" s="104"/>
      <c r="VF335" s="104"/>
      <c r="VG335" s="104"/>
      <c r="VH335" s="104"/>
      <c r="VI335" s="104"/>
      <c r="VJ335" s="104"/>
      <c r="VK335" s="104"/>
      <c r="VL335" s="104"/>
      <c r="VM335" s="104"/>
      <c r="VN335" s="104"/>
      <c r="VO335" s="104"/>
      <c r="VP335" s="104"/>
      <c r="VQ335" s="104"/>
      <c r="VR335" s="104"/>
      <c r="VS335" s="104"/>
      <c r="VT335" s="104"/>
      <c r="VU335" s="104"/>
      <c r="VV335" s="104"/>
      <c r="VW335" s="104"/>
      <c r="VX335" s="104"/>
      <c r="VY335" s="104"/>
      <c r="VZ335" s="104"/>
      <c r="WA335" s="104"/>
      <c r="WB335" s="104"/>
      <c r="WC335" s="104"/>
      <c r="WD335" s="104"/>
      <c r="WE335" s="104"/>
      <c r="WF335" s="104"/>
      <c r="WG335" s="104"/>
      <c r="WH335" s="104"/>
      <c r="WI335" s="104"/>
      <c r="WJ335" s="104"/>
      <c r="WK335" s="104"/>
      <c r="WL335" s="104"/>
      <c r="WM335" s="104"/>
      <c r="WN335" s="104"/>
      <c r="WO335" s="104"/>
      <c r="WP335" s="104"/>
      <c r="WQ335" s="104"/>
      <c r="WR335" s="104"/>
      <c r="WS335" s="104"/>
      <c r="WT335" s="104"/>
      <c r="WU335" s="104"/>
      <c r="WV335" s="104"/>
      <c r="WW335" s="104"/>
      <c r="WX335" s="104"/>
      <c r="WY335" s="104"/>
      <c r="WZ335" s="104"/>
      <c r="XA335" s="104"/>
      <c r="XB335" s="104"/>
      <c r="XC335" s="104"/>
      <c r="XD335" s="104"/>
      <c r="XE335" s="104"/>
      <c r="XF335" s="104"/>
      <c r="XG335" s="104"/>
      <c r="XH335" s="104"/>
      <c r="XI335" s="104"/>
      <c r="XJ335" s="104"/>
      <c r="XK335" s="104"/>
      <c r="XL335" s="104"/>
      <c r="XM335" s="104"/>
      <c r="XN335" s="104"/>
      <c r="XO335" s="104"/>
      <c r="XP335" s="104"/>
      <c r="XQ335" s="104"/>
      <c r="XR335" s="104"/>
      <c r="XS335" s="104"/>
      <c r="XT335" s="104"/>
      <c r="XU335" s="104"/>
      <c r="XV335" s="104"/>
      <c r="XW335" s="104"/>
      <c r="XX335" s="104"/>
      <c r="XY335" s="104"/>
      <c r="XZ335" s="104"/>
      <c r="YA335" s="104"/>
      <c r="YB335" s="104"/>
      <c r="YC335" s="104"/>
      <c r="YD335" s="104"/>
      <c r="YE335" s="104"/>
      <c r="YF335" s="104"/>
      <c r="YG335" s="104"/>
      <c r="YH335" s="104"/>
      <c r="YI335" s="104"/>
      <c r="YJ335" s="104"/>
      <c r="YK335" s="104"/>
      <c r="YL335" s="104"/>
      <c r="YM335" s="104"/>
      <c r="YN335" s="104"/>
      <c r="YO335" s="104"/>
      <c r="YP335" s="104"/>
      <c r="YQ335" s="104"/>
      <c r="YR335" s="104"/>
      <c r="YS335" s="104"/>
      <c r="YT335" s="104"/>
      <c r="YU335" s="104"/>
      <c r="YV335" s="104"/>
      <c r="YW335" s="104"/>
      <c r="YX335" s="104"/>
      <c r="YY335" s="104"/>
      <c r="YZ335" s="104"/>
      <c r="ZA335" s="104"/>
      <c r="ZB335" s="104"/>
      <c r="ZC335" s="104"/>
      <c r="ZD335" s="104"/>
      <c r="ZE335" s="104"/>
      <c r="ZF335" s="104"/>
      <c r="ZG335" s="104"/>
      <c r="ZH335" s="104"/>
      <c r="ZI335" s="104"/>
      <c r="ZJ335" s="104"/>
      <c r="ZK335" s="104"/>
      <c r="ZL335" s="104"/>
      <c r="ZM335" s="104"/>
      <c r="ZN335" s="104"/>
      <c r="ZO335" s="104"/>
      <c r="ZP335" s="104"/>
      <c r="ZQ335" s="104"/>
      <c r="ZR335" s="104"/>
      <c r="ZS335" s="104"/>
      <c r="ZT335" s="104"/>
      <c r="ZU335" s="104"/>
      <c r="ZV335" s="104"/>
      <c r="ZW335" s="104"/>
      <c r="ZX335" s="104"/>
      <c r="ZY335" s="104"/>
      <c r="ZZ335" s="104"/>
      <c r="AAA335" s="104"/>
      <c r="AAB335" s="104"/>
      <c r="AAC335" s="104"/>
      <c r="AAD335" s="104"/>
      <c r="AAE335" s="104"/>
      <c r="AAF335" s="104"/>
      <c r="AAG335" s="104"/>
      <c r="AAH335" s="104"/>
      <c r="AAI335" s="104"/>
      <c r="AAJ335" s="104"/>
      <c r="AAK335" s="104"/>
      <c r="AAL335" s="104"/>
      <c r="AAM335" s="104"/>
      <c r="AAN335" s="104"/>
      <c r="AAO335" s="104"/>
      <c r="AAP335" s="104"/>
      <c r="AAQ335" s="104"/>
      <c r="AAR335" s="104"/>
      <c r="AAS335" s="104"/>
      <c r="AAT335" s="104"/>
      <c r="AAU335" s="104"/>
      <c r="AAV335" s="104"/>
      <c r="AAW335" s="104"/>
      <c r="AAX335" s="104"/>
      <c r="AAY335" s="104"/>
      <c r="AAZ335" s="104"/>
      <c r="ABA335" s="104"/>
      <c r="ABB335" s="104"/>
      <c r="ABC335" s="104"/>
      <c r="ABD335" s="104"/>
      <c r="ABE335" s="104"/>
      <c r="ABF335" s="104"/>
      <c r="ABG335" s="104"/>
      <c r="ABH335" s="104"/>
      <c r="ABI335" s="104"/>
      <c r="ABJ335" s="104"/>
      <c r="ABK335" s="104"/>
      <c r="ABL335" s="104"/>
      <c r="ABM335" s="104"/>
      <c r="ABN335" s="104"/>
      <c r="ABO335" s="104"/>
      <c r="ABP335" s="104"/>
      <c r="ABQ335" s="104"/>
      <c r="ABR335" s="104"/>
      <c r="ABS335" s="104"/>
      <c r="ABT335" s="104"/>
      <c r="ABU335" s="104"/>
      <c r="ABV335" s="104"/>
      <c r="ABW335" s="104"/>
      <c r="ABX335" s="104"/>
      <c r="ABY335" s="104"/>
      <c r="ABZ335" s="104"/>
      <c r="ACA335" s="104"/>
      <c r="ACB335" s="104"/>
      <c r="ACC335" s="104"/>
      <c r="ACD335" s="104"/>
      <c r="ACE335" s="104"/>
      <c r="ACF335" s="104"/>
      <c r="ACG335" s="104"/>
      <c r="ACH335" s="104"/>
      <c r="ACI335" s="104"/>
      <c r="ACJ335" s="104"/>
      <c r="ACK335" s="104"/>
      <c r="ACL335" s="104"/>
      <c r="ACM335" s="104"/>
      <c r="ACN335" s="104"/>
      <c r="ACO335" s="104"/>
      <c r="ACP335" s="104"/>
      <c r="ACQ335" s="104"/>
      <c r="ACR335" s="104"/>
      <c r="ACS335" s="104"/>
      <c r="ACT335" s="104"/>
      <c r="ACU335" s="104"/>
      <c r="ACV335" s="104"/>
      <c r="ACW335" s="104"/>
      <c r="ACX335" s="104"/>
      <c r="ACY335" s="104"/>
      <c r="ACZ335" s="104"/>
      <c r="ADA335" s="104"/>
      <c r="ADB335" s="104"/>
      <c r="ADC335" s="104"/>
      <c r="ADD335" s="104"/>
      <c r="ADE335" s="104"/>
      <c r="ADF335" s="104"/>
      <c r="ADG335" s="104"/>
      <c r="ADH335" s="104"/>
      <c r="ADI335" s="104"/>
      <c r="ADJ335" s="104"/>
      <c r="ADK335" s="104"/>
      <c r="ADL335" s="104"/>
      <c r="ADM335" s="104"/>
      <c r="ADN335" s="104"/>
      <c r="ADO335" s="104"/>
      <c r="ADP335" s="104"/>
      <c r="ADQ335" s="104"/>
      <c r="ADR335" s="104"/>
      <c r="ADS335" s="104"/>
      <c r="ADT335" s="104"/>
      <c r="ADU335" s="104"/>
      <c r="ADV335" s="104"/>
      <c r="ADW335" s="104"/>
      <c r="ADX335" s="104"/>
      <c r="ADY335" s="104"/>
      <c r="ADZ335" s="104"/>
      <c r="AEA335" s="104"/>
      <c r="AEB335" s="104"/>
      <c r="AEC335" s="104"/>
      <c r="AED335" s="104"/>
      <c r="AEE335" s="104"/>
      <c r="AEF335" s="104"/>
      <c r="AEG335" s="104"/>
      <c r="AEH335" s="104"/>
      <c r="AEI335" s="104"/>
      <c r="AEJ335" s="104"/>
      <c r="AEK335" s="104"/>
      <c r="AEL335" s="104"/>
      <c r="AEM335" s="104"/>
      <c r="AEN335" s="104"/>
      <c r="AEO335" s="104"/>
      <c r="AEP335" s="104"/>
      <c r="AEQ335" s="104"/>
      <c r="AER335" s="104"/>
      <c r="AES335" s="104"/>
      <c r="AET335" s="104"/>
      <c r="AEU335" s="104"/>
      <c r="AEV335" s="104"/>
      <c r="AEW335" s="104"/>
      <c r="AEX335" s="104"/>
      <c r="AEY335" s="104"/>
      <c r="AEZ335" s="104"/>
      <c r="AFA335" s="104"/>
      <c r="AFB335" s="104"/>
      <c r="AFC335" s="104"/>
      <c r="AFD335" s="104"/>
      <c r="AFE335" s="104"/>
      <c r="AFF335" s="104"/>
      <c r="AFG335" s="104"/>
      <c r="AFH335" s="104"/>
      <c r="AFI335" s="104"/>
      <c r="AFJ335" s="104"/>
      <c r="AFK335" s="104"/>
      <c r="AFL335" s="104"/>
      <c r="AFM335" s="104"/>
      <c r="AFN335" s="104"/>
      <c r="AFO335" s="104"/>
      <c r="AFP335" s="104"/>
      <c r="AFQ335" s="104"/>
      <c r="AFR335" s="104"/>
      <c r="AFS335" s="104"/>
      <c r="AFT335" s="104"/>
      <c r="AFU335" s="104"/>
      <c r="AFV335" s="104"/>
      <c r="AFW335" s="104"/>
      <c r="AFX335" s="104"/>
      <c r="AFY335" s="104"/>
      <c r="AFZ335" s="104"/>
      <c r="AGA335" s="104"/>
      <c r="AGB335" s="104"/>
      <c r="AGC335" s="104"/>
      <c r="AGD335" s="104"/>
      <c r="AGE335" s="104"/>
      <c r="AGF335" s="104"/>
      <c r="AGG335" s="104"/>
      <c r="AGH335" s="104"/>
      <c r="AGI335" s="104"/>
      <c r="AGJ335" s="104"/>
      <c r="AGK335" s="104"/>
      <c r="AGL335" s="104"/>
      <c r="AGM335" s="104"/>
      <c r="AGN335" s="104"/>
      <c r="AGO335" s="104"/>
      <c r="AGP335" s="104"/>
      <c r="AGQ335" s="104"/>
      <c r="AGR335" s="104"/>
      <c r="AGS335" s="104"/>
      <c r="AGT335" s="104"/>
      <c r="AGU335" s="104"/>
      <c r="AGV335" s="104"/>
      <c r="AGW335" s="104"/>
      <c r="AGX335" s="104"/>
      <c r="AGY335" s="104"/>
      <c r="AGZ335" s="104"/>
      <c r="AHA335" s="104"/>
      <c r="AHB335" s="104"/>
      <c r="AHC335" s="104"/>
      <c r="AHD335" s="104"/>
      <c r="AHE335" s="104"/>
      <c r="AHF335" s="104"/>
      <c r="AHG335" s="104"/>
      <c r="AHH335" s="104"/>
      <c r="AHI335" s="104"/>
      <c r="AHJ335" s="104"/>
      <c r="AHK335" s="104"/>
      <c r="AHL335" s="104"/>
      <c r="AHM335" s="104"/>
      <c r="AHN335" s="104"/>
      <c r="AHO335" s="104"/>
      <c r="AHP335" s="104"/>
      <c r="AHQ335" s="104"/>
      <c r="AHR335" s="104"/>
      <c r="AHS335" s="104"/>
      <c r="AHT335" s="104"/>
      <c r="AHU335" s="104"/>
      <c r="AHV335" s="104"/>
      <c r="AHW335" s="104"/>
      <c r="AHX335" s="104"/>
      <c r="AHY335" s="104"/>
      <c r="AHZ335" s="104"/>
      <c r="AIA335" s="104"/>
      <c r="AIB335" s="104"/>
      <c r="AIC335" s="104"/>
      <c r="AID335" s="104"/>
      <c r="AIE335" s="104"/>
      <c r="AIF335" s="104"/>
      <c r="AIG335" s="104"/>
      <c r="AIH335" s="104"/>
      <c r="AII335" s="104"/>
      <c r="AIJ335" s="104"/>
      <c r="AIK335" s="104"/>
      <c r="AIL335" s="104"/>
      <c r="AIM335" s="104"/>
      <c r="AIN335" s="104"/>
      <c r="AIO335" s="104"/>
      <c r="AIP335" s="104"/>
      <c r="AIQ335" s="104"/>
      <c r="AIR335" s="104"/>
      <c r="AIS335" s="104"/>
      <c r="AIT335" s="104"/>
      <c r="AIU335" s="104"/>
      <c r="AIV335" s="104"/>
      <c r="AIW335" s="104"/>
      <c r="AIX335" s="104"/>
      <c r="AIY335" s="104"/>
      <c r="AIZ335" s="104"/>
      <c r="AJA335" s="104"/>
      <c r="AJB335" s="104"/>
      <c r="AJC335" s="104"/>
      <c r="AJD335" s="104"/>
      <c r="AJE335" s="104"/>
      <c r="AJF335" s="104"/>
      <c r="AJG335" s="104"/>
      <c r="AJH335" s="104"/>
      <c r="AJI335" s="104"/>
      <c r="AJJ335" s="104"/>
      <c r="AJK335" s="104"/>
      <c r="AJL335" s="104"/>
      <c r="AJM335" s="104"/>
      <c r="AJN335" s="104"/>
      <c r="AJO335" s="104"/>
      <c r="AJP335" s="104"/>
      <c r="AJQ335" s="104"/>
      <c r="AJR335" s="104"/>
      <c r="AJS335" s="104"/>
      <c r="AJT335" s="104"/>
      <c r="AJU335" s="104"/>
      <c r="AJV335" s="104"/>
      <c r="AJW335" s="104"/>
      <c r="AJX335" s="104"/>
      <c r="AJY335" s="104"/>
      <c r="AJZ335" s="104"/>
      <c r="AKA335" s="104"/>
      <c r="AKB335" s="104"/>
      <c r="AKC335" s="104"/>
      <c r="AKD335" s="104"/>
      <c r="AKE335" s="104"/>
      <c r="AKF335" s="104"/>
      <c r="AKG335" s="104"/>
      <c r="AKH335" s="104"/>
      <c r="AKI335" s="104"/>
      <c r="AKJ335" s="104"/>
      <c r="AKK335" s="104"/>
      <c r="AKL335" s="104"/>
      <c r="AKM335" s="104"/>
      <c r="AKN335" s="104"/>
      <c r="AKO335" s="104"/>
      <c r="AKP335" s="104"/>
      <c r="AKQ335" s="104"/>
      <c r="AKR335" s="104"/>
      <c r="AKS335" s="104"/>
      <c r="AKT335" s="104"/>
      <c r="AKU335" s="104"/>
      <c r="AKV335" s="104"/>
      <c r="AKW335" s="104"/>
      <c r="AKX335" s="104"/>
      <c r="AKY335" s="104"/>
      <c r="AKZ335" s="104"/>
      <c r="ALA335" s="104"/>
      <c r="ALB335" s="104"/>
      <c r="ALC335" s="104"/>
      <c r="ALD335" s="104"/>
      <c r="ALE335" s="104"/>
      <c r="ALF335" s="104"/>
      <c r="ALG335" s="104"/>
      <c r="ALH335" s="104"/>
      <c r="ALI335" s="104"/>
      <c r="ALJ335" s="104"/>
      <c r="ALK335" s="104"/>
      <c r="ALL335" s="104"/>
      <c r="ALM335" s="104"/>
      <c r="ALN335" s="104"/>
      <c r="ALO335" s="104"/>
      <c r="ALP335" s="104"/>
      <c r="ALQ335" s="104"/>
      <c r="ALR335" s="104"/>
      <c r="ALS335" s="104"/>
      <c r="ALT335" s="104"/>
      <c r="ALU335" s="104"/>
      <c r="ALV335" s="104"/>
      <c r="ALW335" s="104"/>
      <c r="ALX335" s="104"/>
      <c r="ALY335" s="104"/>
      <c r="ALZ335" s="104"/>
      <c r="AMA335" s="104"/>
      <c r="AMB335" s="104"/>
      <c r="AMC335" s="104"/>
      <c r="AMD335" s="104"/>
      <c r="AME335" s="104"/>
      <c r="AMF335" s="104"/>
      <c r="AMG335" s="104"/>
      <c r="AMH335" s="104"/>
      <c r="AMI335" s="104"/>
      <c r="AMJ335" s="104"/>
      <c r="AMK335" s="104"/>
      <c r="AML335" s="104"/>
      <c r="AMM335" s="104"/>
      <c r="AMN335" s="104"/>
      <c r="AMO335" s="104"/>
      <c r="AMP335" s="104"/>
      <c r="AMQ335" s="104"/>
      <c r="AMR335" s="104"/>
      <c r="AMS335" s="104"/>
      <c r="AMT335" s="104"/>
      <c r="AMU335" s="104"/>
      <c r="AMV335" s="104"/>
      <c r="AMW335" s="104"/>
      <c r="AMX335" s="104"/>
      <c r="AMY335" s="104"/>
      <c r="AMZ335" s="104"/>
      <c r="ANA335" s="104"/>
      <c r="ANB335" s="104"/>
      <c r="ANC335" s="104"/>
      <c r="AND335" s="104"/>
      <c r="ANE335" s="104"/>
      <c r="ANF335" s="104"/>
      <c r="ANG335" s="104"/>
      <c r="ANH335" s="104"/>
      <c r="ANI335" s="104"/>
      <c r="ANJ335" s="104"/>
      <c r="ANK335" s="104"/>
      <c r="ANL335" s="104"/>
      <c r="ANM335" s="104"/>
      <c r="ANN335" s="104"/>
      <c r="ANO335" s="104"/>
      <c r="ANP335" s="104"/>
      <c r="ANQ335" s="104"/>
      <c r="ANR335" s="104"/>
      <c r="ANS335" s="104"/>
      <c r="ANT335" s="104"/>
      <c r="ANU335" s="104"/>
      <c r="ANV335" s="104"/>
      <c r="ANW335" s="104"/>
      <c r="ANX335" s="104"/>
      <c r="ANY335" s="104"/>
      <c r="ANZ335" s="104"/>
      <c r="AOA335" s="104"/>
      <c r="AOB335" s="104"/>
      <c r="AOC335" s="104"/>
      <c r="AOD335" s="104"/>
      <c r="AOE335" s="104"/>
      <c r="AOF335" s="104"/>
      <c r="AOG335" s="104"/>
      <c r="AOH335" s="104"/>
      <c r="AOI335" s="104"/>
      <c r="AOJ335" s="104"/>
      <c r="AOK335" s="104"/>
      <c r="AOL335" s="104"/>
      <c r="AOM335" s="104"/>
      <c r="AON335" s="104"/>
      <c r="AOO335" s="104"/>
      <c r="AOP335" s="104"/>
      <c r="AOQ335" s="104"/>
      <c r="AOR335" s="104"/>
      <c r="AOS335" s="104"/>
      <c r="AOT335" s="104"/>
      <c r="AOU335" s="104"/>
      <c r="AOV335" s="104"/>
      <c r="AOW335" s="104"/>
      <c r="AOX335" s="104"/>
      <c r="AOY335" s="104"/>
      <c r="AOZ335" s="104"/>
      <c r="APA335" s="104"/>
      <c r="APB335" s="104"/>
      <c r="APC335" s="104"/>
      <c r="APD335" s="104"/>
      <c r="APE335" s="104"/>
      <c r="APF335" s="104"/>
      <c r="APG335" s="104"/>
      <c r="APH335" s="104"/>
      <c r="API335" s="104"/>
      <c r="APJ335" s="104"/>
      <c r="APK335" s="104"/>
      <c r="APL335" s="104"/>
      <c r="APM335" s="104"/>
      <c r="APN335" s="104"/>
      <c r="APO335" s="104"/>
      <c r="APP335" s="104"/>
      <c r="APQ335" s="104"/>
      <c r="APR335" s="104"/>
      <c r="APS335" s="104"/>
      <c r="APT335" s="104"/>
      <c r="APU335" s="104"/>
      <c r="APV335" s="104"/>
      <c r="APW335" s="104"/>
      <c r="APX335" s="104"/>
      <c r="APY335" s="104"/>
      <c r="APZ335" s="104"/>
      <c r="AQA335" s="104"/>
      <c r="AQB335" s="104"/>
      <c r="AQC335" s="104"/>
      <c r="AQD335" s="104"/>
      <c r="AQE335" s="104"/>
      <c r="AQF335" s="104"/>
      <c r="AQG335" s="104"/>
      <c r="AQH335" s="104"/>
      <c r="AQI335" s="104"/>
      <c r="AQJ335" s="104"/>
      <c r="AQK335" s="104"/>
      <c r="AQL335" s="104"/>
      <c r="AQM335" s="104"/>
      <c r="AQN335" s="104"/>
      <c r="AQO335" s="104"/>
      <c r="AQP335" s="104"/>
      <c r="AQQ335" s="104"/>
      <c r="AQR335" s="104"/>
      <c r="AQS335" s="104"/>
      <c r="AQT335" s="104"/>
      <c r="AQU335" s="104"/>
      <c r="AQV335" s="104"/>
      <c r="AQW335" s="104"/>
      <c r="AQX335" s="104"/>
      <c r="AQY335" s="104"/>
      <c r="AQZ335" s="104"/>
      <c r="ARA335" s="104"/>
      <c r="ARB335" s="104"/>
      <c r="ARC335" s="104"/>
      <c r="ARD335" s="104"/>
      <c r="ARE335" s="104"/>
      <c r="ARF335" s="104"/>
      <c r="ARG335" s="104"/>
      <c r="ARH335" s="104"/>
      <c r="ARI335" s="104"/>
      <c r="ARJ335" s="104"/>
      <c r="ARK335" s="104"/>
      <c r="ARL335" s="104"/>
      <c r="ARM335" s="104"/>
      <c r="ARN335" s="104"/>
      <c r="ARO335" s="104"/>
      <c r="ARP335" s="104"/>
      <c r="ARQ335" s="104"/>
      <c r="ARR335" s="104"/>
      <c r="ARS335" s="104"/>
      <c r="ART335" s="104"/>
      <c r="ARU335" s="104"/>
      <c r="ARV335" s="104"/>
      <c r="ARW335" s="104"/>
      <c r="ARX335" s="104"/>
      <c r="ARY335" s="104"/>
      <c r="ARZ335" s="104"/>
      <c r="ASA335" s="104"/>
      <c r="ASB335" s="104"/>
      <c r="ASC335" s="104"/>
      <c r="ASD335" s="104"/>
      <c r="ASE335" s="104"/>
      <c r="ASF335" s="104"/>
      <c r="ASG335" s="104"/>
      <c r="ASH335" s="104"/>
      <c r="ASI335" s="104"/>
      <c r="ASJ335" s="104"/>
      <c r="ASK335" s="104"/>
      <c r="ASL335" s="104"/>
      <c r="ASM335" s="104"/>
      <c r="ASN335" s="104"/>
      <c r="ASO335" s="104"/>
      <c r="ASP335" s="104"/>
      <c r="ASQ335" s="104"/>
      <c r="ASR335" s="104"/>
      <c r="ASS335" s="104"/>
      <c r="AST335" s="104"/>
      <c r="ASU335" s="104"/>
      <c r="ASV335" s="104"/>
      <c r="ASW335" s="104"/>
      <c r="ASX335" s="104"/>
      <c r="ASY335" s="104"/>
      <c r="ASZ335" s="104"/>
      <c r="ATA335" s="104"/>
      <c r="ATB335" s="104"/>
      <c r="ATC335" s="104"/>
      <c r="ATD335" s="104"/>
      <c r="ATE335" s="104"/>
      <c r="ATF335" s="104"/>
      <c r="ATG335" s="104"/>
      <c r="ATH335" s="104"/>
      <c r="ATI335" s="104"/>
      <c r="ATJ335" s="104"/>
      <c r="ATK335" s="104"/>
      <c r="ATL335" s="104"/>
      <c r="ATM335" s="104"/>
      <c r="ATN335" s="104"/>
      <c r="ATO335" s="104"/>
      <c r="ATP335" s="104"/>
      <c r="ATQ335" s="104"/>
      <c r="ATR335" s="104"/>
      <c r="ATS335" s="104"/>
      <c r="ATT335" s="104"/>
      <c r="ATU335" s="104"/>
      <c r="ATV335" s="104"/>
      <c r="ATW335" s="104"/>
      <c r="ATX335" s="104"/>
      <c r="ATY335" s="104"/>
      <c r="ATZ335" s="104"/>
      <c r="AUA335" s="104"/>
      <c r="AUB335" s="104"/>
      <c r="AUC335" s="104"/>
      <c r="AUD335" s="104"/>
      <c r="AUE335" s="104"/>
      <c r="AUF335" s="104"/>
      <c r="AUG335" s="104"/>
      <c r="AUH335" s="104"/>
      <c r="AUI335" s="104"/>
      <c r="AUJ335" s="104"/>
      <c r="AUK335" s="104"/>
      <c r="AUL335" s="104"/>
      <c r="AUM335" s="104"/>
      <c r="AUN335" s="104"/>
      <c r="AUO335" s="104"/>
      <c r="AUP335" s="104"/>
      <c r="AUQ335" s="104"/>
      <c r="AUR335" s="104"/>
      <c r="AUS335" s="104"/>
      <c r="AUT335" s="104"/>
      <c r="AUU335" s="104"/>
      <c r="AUV335" s="104"/>
      <c r="AUW335" s="104"/>
      <c r="AUX335" s="104"/>
      <c r="AUY335" s="104"/>
      <c r="AUZ335" s="104"/>
      <c r="AVA335" s="104"/>
      <c r="AVB335" s="104"/>
      <c r="AVC335" s="104"/>
      <c r="AVD335" s="104"/>
      <c r="AVE335" s="104"/>
      <c r="AVF335" s="104"/>
      <c r="AVG335" s="104"/>
      <c r="AVH335" s="104"/>
      <c r="AVI335" s="104"/>
      <c r="AVJ335" s="104"/>
      <c r="AVK335" s="104"/>
      <c r="AVL335" s="104"/>
      <c r="AVM335" s="104"/>
      <c r="AVN335" s="104"/>
      <c r="AVO335" s="104"/>
      <c r="AVP335" s="104"/>
      <c r="AVQ335" s="104"/>
      <c r="AVR335" s="104"/>
      <c r="AVS335" s="104"/>
      <c r="AVT335" s="104"/>
      <c r="AVU335" s="104"/>
      <c r="AVV335" s="104"/>
      <c r="AVW335" s="104"/>
      <c r="AVX335" s="104"/>
      <c r="AVY335" s="104"/>
      <c r="AVZ335" s="104"/>
      <c r="AWA335" s="104"/>
      <c r="AWB335" s="104"/>
      <c r="AWC335" s="104"/>
      <c r="AWD335" s="104"/>
      <c r="AWE335" s="104"/>
      <c r="AWF335" s="104"/>
      <c r="AWG335" s="104"/>
      <c r="AWH335" s="104"/>
      <c r="AWI335" s="104"/>
      <c r="AWJ335" s="104"/>
      <c r="AWK335" s="104"/>
      <c r="AWL335" s="104"/>
      <c r="AWM335" s="104"/>
      <c r="AWN335" s="104"/>
      <c r="AWO335" s="104"/>
      <c r="AWP335" s="104"/>
      <c r="AWQ335" s="104"/>
      <c r="AWR335" s="104"/>
      <c r="AWS335" s="104"/>
      <c r="AWT335" s="104"/>
      <c r="AWU335" s="104"/>
      <c r="AWV335" s="104"/>
      <c r="AWW335" s="104"/>
      <c r="AWX335" s="104"/>
      <c r="AWY335" s="104"/>
      <c r="AWZ335" s="104"/>
      <c r="AXA335" s="104"/>
      <c r="AXB335" s="104"/>
      <c r="AXC335" s="104"/>
      <c r="AXD335" s="104"/>
      <c r="AXE335" s="104"/>
      <c r="AXF335" s="104"/>
      <c r="AXG335" s="104"/>
      <c r="AXH335" s="104"/>
      <c r="AXI335" s="104"/>
      <c r="AXJ335" s="104"/>
      <c r="AXK335" s="104"/>
      <c r="AXL335" s="104"/>
      <c r="AXM335" s="104"/>
      <c r="AXN335" s="104"/>
      <c r="AXO335" s="104"/>
      <c r="AXP335" s="104"/>
      <c r="AXQ335" s="104"/>
      <c r="AXR335" s="104"/>
      <c r="AXS335" s="104"/>
      <c r="AXT335" s="104"/>
      <c r="AXU335" s="104"/>
      <c r="AXV335" s="104"/>
      <c r="AXW335" s="104"/>
      <c r="AXX335" s="104"/>
      <c r="AXY335" s="104"/>
      <c r="AXZ335" s="104"/>
      <c r="AYA335" s="104"/>
      <c r="AYB335" s="104"/>
      <c r="AYC335" s="104"/>
      <c r="AYD335" s="104"/>
      <c r="AYE335" s="104"/>
      <c r="AYF335" s="104"/>
      <c r="AYG335" s="104"/>
      <c r="AYH335" s="104"/>
      <c r="AYI335" s="104"/>
      <c r="AYJ335" s="104"/>
      <c r="AYK335" s="104"/>
      <c r="AYL335" s="104"/>
      <c r="AYM335" s="104"/>
      <c r="AYN335" s="104"/>
      <c r="AYO335" s="104"/>
      <c r="AYP335" s="104"/>
      <c r="AYQ335" s="104"/>
      <c r="AYR335" s="104"/>
      <c r="AYS335" s="104"/>
      <c r="AYT335" s="104"/>
      <c r="AYU335" s="104"/>
      <c r="AYV335" s="104"/>
      <c r="AYW335" s="104"/>
      <c r="AYX335" s="104"/>
      <c r="AYY335" s="104"/>
      <c r="AYZ335" s="104"/>
      <c r="AZA335" s="104"/>
      <c r="AZB335" s="104"/>
      <c r="AZC335" s="104"/>
      <c r="AZD335" s="104"/>
      <c r="AZE335" s="104"/>
      <c r="AZF335" s="104"/>
      <c r="AZG335" s="104"/>
      <c r="AZH335" s="104"/>
      <c r="AZI335" s="104"/>
      <c r="AZJ335" s="104"/>
      <c r="AZK335" s="104"/>
      <c r="AZL335" s="104"/>
      <c r="AZM335" s="104"/>
      <c r="AZN335" s="104"/>
      <c r="AZO335" s="104"/>
      <c r="AZP335" s="104"/>
      <c r="AZQ335" s="104"/>
      <c r="AZR335" s="104"/>
      <c r="AZS335" s="104"/>
      <c r="AZT335" s="104"/>
      <c r="AZU335" s="104"/>
      <c r="AZV335" s="104"/>
      <c r="AZW335" s="104"/>
      <c r="AZX335" s="104"/>
      <c r="AZY335" s="104"/>
      <c r="AZZ335" s="104"/>
      <c r="BAA335" s="104"/>
      <c r="BAB335" s="104"/>
      <c r="BAC335" s="104"/>
      <c r="BAD335" s="104"/>
      <c r="BAE335" s="104"/>
      <c r="BAF335" s="104"/>
      <c r="BAG335" s="104"/>
      <c r="BAH335" s="104"/>
      <c r="BAI335" s="104"/>
      <c r="BAJ335" s="104"/>
      <c r="BAK335" s="104"/>
      <c r="BAL335" s="104"/>
      <c r="BAM335" s="104"/>
      <c r="BAN335" s="104"/>
      <c r="BAO335" s="104"/>
      <c r="BAP335" s="104"/>
      <c r="BAQ335" s="104"/>
      <c r="BAR335" s="104"/>
      <c r="BAS335" s="104"/>
      <c r="BAT335" s="104"/>
      <c r="BAU335" s="104"/>
      <c r="BAV335" s="104"/>
      <c r="BAW335" s="104"/>
      <c r="BAX335" s="104"/>
      <c r="BAY335" s="104"/>
      <c r="BAZ335" s="104"/>
      <c r="BBA335" s="104"/>
      <c r="BBB335" s="104"/>
      <c r="BBC335" s="104"/>
      <c r="BBD335" s="104"/>
      <c r="BBE335" s="104"/>
      <c r="BBF335" s="104"/>
      <c r="BBG335" s="104"/>
      <c r="BBH335" s="104"/>
      <c r="BBI335" s="104"/>
      <c r="BBJ335" s="104"/>
      <c r="BBK335" s="104"/>
      <c r="BBL335" s="104"/>
      <c r="BBM335" s="104"/>
      <c r="BBN335" s="104"/>
      <c r="BBO335" s="104"/>
      <c r="BBP335" s="104"/>
      <c r="BBQ335" s="104"/>
      <c r="BBR335" s="104"/>
      <c r="BBS335" s="104"/>
      <c r="BBT335" s="104"/>
      <c r="BBU335" s="104"/>
      <c r="BBV335" s="104"/>
      <c r="BBW335" s="104"/>
      <c r="BBX335" s="104"/>
      <c r="BBY335" s="104"/>
      <c r="BBZ335" s="104"/>
      <c r="BCA335" s="104"/>
      <c r="BCB335" s="104"/>
      <c r="BCC335" s="104"/>
      <c r="BCD335" s="104"/>
      <c r="BCE335" s="104"/>
      <c r="BCF335" s="104"/>
      <c r="BCG335" s="104"/>
      <c r="BCH335" s="104"/>
      <c r="BCI335" s="104"/>
      <c r="BCJ335" s="104"/>
      <c r="BCK335" s="104"/>
      <c r="BCL335" s="104"/>
      <c r="BCM335" s="104"/>
      <c r="BCN335" s="104"/>
      <c r="BCO335" s="104"/>
      <c r="BCP335" s="104"/>
      <c r="BCQ335" s="104"/>
      <c r="BCR335" s="104"/>
      <c r="BCS335" s="104"/>
      <c r="BCT335" s="104"/>
      <c r="BCU335" s="104"/>
      <c r="BCV335" s="104"/>
      <c r="BCW335" s="104"/>
      <c r="BCX335" s="104"/>
      <c r="BCY335" s="104"/>
      <c r="BCZ335" s="104"/>
      <c r="BDA335" s="104"/>
      <c r="BDB335" s="104"/>
      <c r="BDC335" s="104"/>
      <c r="BDD335" s="104"/>
      <c r="BDE335" s="104"/>
      <c r="BDF335" s="104"/>
      <c r="BDG335" s="104"/>
      <c r="BDH335" s="104"/>
      <c r="BDI335" s="104"/>
      <c r="BDJ335" s="104"/>
      <c r="BDK335" s="104"/>
      <c r="BDL335" s="104"/>
      <c r="BDM335" s="104"/>
      <c r="BDN335" s="104"/>
      <c r="BDO335" s="104"/>
      <c r="BDP335" s="104"/>
      <c r="BDQ335" s="104"/>
      <c r="BDR335" s="104"/>
      <c r="BDS335" s="104"/>
      <c r="BDT335" s="104"/>
      <c r="BDU335" s="104"/>
      <c r="BDV335" s="104"/>
      <c r="BDW335" s="104"/>
      <c r="BDX335" s="104"/>
      <c r="BDY335" s="104"/>
      <c r="BDZ335" s="104"/>
      <c r="BEA335" s="104"/>
      <c r="BEB335" s="104"/>
      <c r="BEC335" s="104"/>
      <c r="BED335" s="104"/>
      <c r="BEE335" s="104"/>
      <c r="BEF335" s="104"/>
      <c r="BEG335" s="104"/>
      <c r="BEH335" s="104"/>
      <c r="BEI335" s="104"/>
      <c r="BEJ335" s="104"/>
      <c r="BEK335" s="104"/>
      <c r="BEL335" s="104"/>
      <c r="BEM335" s="104"/>
      <c r="BEN335" s="104"/>
      <c r="BEO335" s="104"/>
      <c r="BEP335" s="104"/>
      <c r="BEQ335" s="104"/>
      <c r="BER335" s="104"/>
      <c r="BES335" s="104"/>
      <c r="BET335" s="104"/>
      <c r="BEU335" s="104"/>
      <c r="BEV335" s="104"/>
      <c r="BEW335" s="104"/>
      <c r="BEX335" s="104"/>
      <c r="BEY335" s="104"/>
      <c r="BEZ335" s="104"/>
      <c r="BFA335" s="104"/>
      <c r="BFB335" s="104"/>
      <c r="BFC335" s="104"/>
      <c r="BFD335" s="104"/>
      <c r="BFE335" s="104"/>
      <c r="BFF335" s="104"/>
      <c r="BFG335" s="104"/>
      <c r="BFH335" s="104"/>
      <c r="BFI335" s="104"/>
      <c r="BFJ335" s="104"/>
      <c r="BFK335" s="104"/>
      <c r="BFL335" s="104"/>
      <c r="BFM335" s="104"/>
      <c r="BFN335" s="104"/>
      <c r="BFO335" s="104"/>
      <c r="BFP335" s="104"/>
      <c r="BFQ335" s="104"/>
      <c r="BFR335" s="104"/>
      <c r="BFS335" s="104"/>
      <c r="BFT335" s="104"/>
      <c r="BFU335" s="104"/>
      <c r="BFV335" s="104"/>
      <c r="BFW335" s="104"/>
      <c r="BFX335" s="104"/>
      <c r="BFY335" s="104"/>
      <c r="BFZ335" s="104"/>
      <c r="BGA335" s="104"/>
      <c r="BGB335" s="104"/>
      <c r="BGC335" s="104"/>
      <c r="BGD335" s="104"/>
      <c r="BGE335" s="104"/>
      <c r="BGF335" s="104"/>
      <c r="BGG335" s="104"/>
      <c r="BGH335" s="104"/>
      <c r="BGI335" s="104"/>
      <c r="BGJ335" s="104"/>
      <c r="BGK335" s="104"/>
      <c r="BGL335" s="104"/>
      <c r="BGM335" s="104"/>
      <c r="BGN335" s="104"/>
      <c r="BGO335" s="104"/>
      <c r="BGP335" s="104"/>
      <c r="BGQ335" s="104"/>
      <c r="BGR335" s="104"/>
      <c r="BGS335" s="104"/>
      <c r="BGT335" s="104"/>
      <c r="BGU335" s="104"/>
      <c r="BGV335" s="104"/>
      <c r="BGW335" s="104"/>
      <c r="BGX335" s="104"/>
      <c r="BGY335" s="104"/>
      <c r="BGZ335" s="104"/>
      <c r="BHA335" s="104"/>
      <c r="BHB335" s="104"/>
      <c r="BHC335" s="104"/>
      <c r="BHD335" s="104"/>
      <c r="BHE335" s="104"/>
      <c r="BHF335" s="104"/>
      <c r="BHG335" s="104"/>
      <c r="BHH335" s="104"/>
      <c r="BHI335" s="104"/>
      <c r="BHJ335" s="104"/>
      <c r="BHK335" s="104"/>
      <c r="BHL335" s="104"/>
      <c r="BHM335" s="104"/>
      <c r="BHN335" s="104"/>
      <c r="BHO335" s="104"/>
      <c r="BHP335" s="104"/>
      <c r="BHQ335" s="104"/>
      <c r="BHR335" s="104"/>
      <c r="BHS335" s="104"/>
      <c r="BHT335" s="104"/>
      <c r="BHU335" s="104"/>
      <c r="BHV335" s="104"/>
      <c r="BHW335" s="104"/>
      <c r="BHX335" s="104"/>
      <c r="BHY335" s="104"/>
      <c r="BHZ335" s="104"/>
      <c r="BIA335" s="104"/>
      <c r="BIB335" s="104"/>
      <c r="BIC335" s="104"/>
      <c r="BID335" s="104"/>
      <c r="BIE335" s="104"/>
      <c r="BIF335" s="104"/>
      <c r="BIG335" s="104"/>
      <c r="BIH335" s="104"/>
      <c r="BII335" s="104"/>
      <c r="BIJ335" s="104"/>
      <c r="BIK335" s="104"/>
      <c r="BIL335" s="104"/>
      <c r="BIM335" s="104"/>
      <c r="BIN335" s="104"/>
      <c r="BIO335" s="104"/>
      <c r="BIP335" s="104"/>
      <c r="BIQ335" s="104"/>
      <c r="BIR335" s="104"/>
      <c r="BIS335" s="104"/>
      <c r="BIT335" s="104"/>
      <c r="BIU335" s="104"/>
      <c r="BIV335" s="104"/>
      <c r="BIW335" s="104"/>
      <c r="BIX335" s="104"/>
      <c r="BIY335" s="104"/>
      <c r="BIZ335" s="104"/>
      <c r="BJA335" s="104"/>
      <c r="BJB335" s="104"/>
      <c r="BJC335" s="104"/>
      <c r="BJD335" s="104"/>
      <c r="BJE335" s="104"/>
      <c r="BJF335" s="104"/>
      <c r="BJG335" s="104"/>
      <c r="BJH335" s="104"/>
      <c r="BJI335" s="104"/>
      <c r="BJJ335" s="104"/>
      <c r="BJK335" s="104"/>
      <c r="BJL335" s="104"/>
      <c r="BJM335" s="104"/>
      <c r="BJN335" s="104"/>
      <c r="BJO335" s="104"/>
      <c r="BJP335" s="104"/>
      <c r="BJQ335" s="104"/>
      <c r="BJR335" s="104"/>
      <c r="BJS335" s="104"/>
      <c r="BJT335" s="104"/>
      <c r="BJU335" s="104"/>
      <c r="BJV335" s="104"/>
      <c r="BJW335" s="104"/>
      <c r="BJX335" s="104"/>
      <c r="BJY335" s="104"/>
      <c r="BJZ335" s="104"/>
      <c r="BKA335" s="104"/>
      <c r="BKB335" s="104"/>
      <c r="BKC335" s="104"/>
      <c r="BKD335" s="104"/>
      <c r="BKE335" s="104"/>
      <c r="BKF335" s="104"/>
      <c r="BKG335" s="104"/>
      <c r="BKH335" s="104"/>
      <c r="BKI335" s="104"/>
      <c r="BKJ335" s="104"/>
      <c r="BKK335" s="104"/>
      <c r="BKL335" s="104"/>
      <c r="BKM335" s="104"/>
      <c r="BKN335" s="104"/>
      <c r="BKO335" s="104"/>
      <c r="BKP335" s="104"/>
      <c r="BKQ335" s="104"/>
      <c r="BKR335" s="104"/>
      <c r="BKS335" s="104"/>
      <c r="BKT335" s="104"/>
      <c r="BKU335" s="104"/>
      <c r="BKV335" s="104"/>
      <c r="BKW335" s="104"/>
      <c r="BKX335" s="104"/>
      <c r="BKY335" s="104"/>
      <c r="BKZ335" s="104"/>
      <c r="BLA335" s="104"/>
      <c r="BLB335" s="104"/>
      <c r="BLC335" s="104"/>
      <c r="BLD335" s="104"/>
      <c r="BLE335" s="104"/>
      <c r="BLF335" s="104"/>
      <c r="BLG335" s="104"/>
      <c r="BLH335" s="104"/>
      <c r="BLI335" s="104"/>
      <c r="BLJ335" s="104"/>
      <c r="BLK335" s="104"/>
      <c r="BLL335" s="104"/>
      <c r="BLM335" s="104"/>
      <c r="BLN335" s="104"/>
      <c r="BLO335" s="104"/>
      <c r="BLP335" s="104"/>
      <c r="BLQ335" s="104"/>
      <c r="BLR335" s="104"/>
      <c r="BLS335" s="104"/>
      <c r="BLT335" s="104"/>
      <c r="BLU335" s="104"/>
      <c r="BLV335" s="104"/>
      <c r="BLW335" s="104"/>
      <c r="BLX335" s="104"/>
      <c r="BLY335" s="104"/>
      <c r="BLZ335" s="104"/>
      <c r="BMA335" s="104"/>
      <c r="BMB335" s="104"/>
      <c r="BMC335" s="104"/>
      <c r="BMD335" s="104"/>
      <c r="BME335" s="104"/>
      <c r="BMF335" s="104"/>
      <c r="BMG335" s="104"/>
      <c r="BMH335" s="104"/>
      <c r="BMI335" s="104"/>
      <c r="BMJ335" s="104"/>
      <c r="BMK335" s="104"/>
      <c r="BML335" s="104"/>
      <c r="BMM335" s="104"/>
      <c r="BMN335" s="104"/>
      <c r="BMO335" s="104"/>
      <c r="BMP335" s="104"/>
      <c r="BMQ335" s="104"/>
      <c r="BMR335" s="104"/>
      <c r="BMS335" s="104"/>
      <c r="BMT335" s="104"/>
      <c r="BMU335" s="104"/>
      <c r="BMV335" s="104"/>
      <c r="BMW335" s="104"/>
      <c r="BMX335" s="104"/>
      <c r="BMY335" s="104"/>
      <c r="BMZ335" s="104"/>
      <c r="BNA335" s="104"/>
      <c r="BNB335" s="104"/>
      <c r="BNC335" s="104"/>
      <c r="BND335" s="104"/>
      <c r="BNE335" s="104"/>
      <c r="BNF335" s="104"/>
      <c r="BNG335" s="104"/>
      <c r="BNH335" s="104"/>
      <c r="BNI335" s="104"/>
      <c r="BNJ335" s="104"/>
      <c r="BNK335" s="104"/>
      <c r="BNL335" s="104"/>
      <c r="BNM335" s="104"/>
      <c r="BNN335" s="104"/>
      <c r="BNO335" s="104"/>
      <c r="BNP335" s="104"/>
      <c r="BNQ335" s="104"/>
      <c r="BNR335" s="104"/>
      <c r="BNS335" s="104"/>
      <c r="BNT335" s="104"/>
      <c r="BNU335" s="104"/>
      <c r="BNV335" s="104"/>
      <c r="BNW335" s="104"/>
      <c r="BNX335" s="104"/>
      <c r="BNY335" s="104"/>
      <c r="BNZ335" s="104"/>
      <c r="BOA335" s="104"/>
      <c r="BOB335" s="104"/>
      <c r="BOC335" s="104"/>
      <c r="BOD335" s="104"/>
      <c r="BOE335" s="104"/>
      <c r="BOF335" s="104"/>
      <c r="BOG335" s="104"/>
      <c r="BOH335" s="104"/>
      <c r="BOI335" s="104"/>
      <c r="BOJ335" s="104"/>
      <c r="BOK335" s="104"/>
      <c r="BOL335" s="104"/>
      <c r="BOM335" s="104"/>
      <c r="BON335" s="104"/>
      <c r="BOO335" s="104"/>
      <c r="BOP335" s="104"/>
      <c r="BOQ335" s="104"/>
      <c r="BOR335" s="104"/>
      <c r="BOS335" s="104"/>
      <c r="BOT335" s="104"/>
      <c r="BOU335" s="104"/>
      <c r="BOV335" s="104"/>
      <c r="BOW335" s="104"/>
      <c r="BOX335" s="104"/>
      <c r="BOY335" s="104"/>
      <c r="BOZ335" s="104"/>
      <c r="BPA335" s="104"/>
      <c r="BPB335" s="104"/>
      <c r="BPC335" s="104"/>
      <c r="BPD335" s="104"/>
      <c r="BPE335" s="104"/>
      <c r="BPF335" s="104"/>
      <c r="BPG335" s="104"/>
      <c r="BPH335" s="104"/>
      <c r="BPI335" s="104"/>
      <c r="BPJ335" s="104"/>
      <c r="BPK335" s="104"/>
      <c r="BPL335" s="104"/>
      <c r="BPM335" s="104"/>
      <c r="BPN335" s="104"/>
      <c r="BPO335" s="104"/>
      <c r="BPP335" s="104"/>
      <c r="BPQ335" s="104"/>
      <c r="BPR335" s="104"/>
      <c r="BPS335" s="104"/>
      <c r="BPT335" s="104"/>
      <c r="BPU335" s="104"/>
      <c r="BPV335" s="104"/>
      <c r="BPW335" s="104"/>
      <c r="BPX335" s="104"/>
      <c r="BPY335" s="104"/>
      <c r="BPZ335" s="104"/>
      <c r="BQA335" s="104"/>
      <c r="BQB335" s="104"/>
      <c r="BQC335" s="104"/>
      <c r="BQD335" s="104"/>
      <c r="BQE335" s="104"/>
      <c r="BQF335" s="104"/>
      <c r="BQG335" s="104"/>
      <c r="BQH335" s="104"/>
      <c r="BQI335" s="104"/>
      <c r="BQJ335" s="104"/>
      <c r="BQK335" s="104"/>
      <c r="BQL335" s="104"/>
      <c r="BQM335" s="104"/>
      <c r="BQN335" s="104"/>
      <c r="BQO335" s="104"/>
      <c r="BQP335" s="104"/>
      <c r="BQQ335" s="104"/>
      <c r="BQR335" s="104"/>
      <c r="BQS335" s="104"/>
      <c r="BQT335" s="104"/>
      <c r="BQU335" s="104"/>
      <c r="BQV335" s="104"/>
      <c r="BQW335" s="104"/>
      <c r="BQX335" s="104"/>
      <c r="BQY335" s="104"/>
      <c r="BQZ335" s="104"/>
      <c r="BRA335" s="104"/>
      <c r="BRB335" s="104"/>
      <c r="BRC335" s="104"/>
      <c r="BRD335" s="104"/>
      <c r="BRE335" s="104"/>
      <c r="BRF335" s="104"/>
      <c r="BRG335" s="104"/>
      <c r="BRH335" s="104"/>
      <c r="BRI335" s="104"/>
      <c r="BRJ335" s="104"/>
      <c r="BRK335" s="104"/>
      <c r="BRL335" s="104"/>
      <c r="BRM335" s="104"/>
      <c r="BRN335" s="104"/>
      <c r="BRO335" s="104"/>
      <c r="BRP335" s="104"/>
      <c r="BRQ335" s="104"/>
      <c r="BRR335" s="104"/>
      <c r="BRS335" s="104"/>
      <c r="BRT335" s="104"/>
      <c r="BRU335" s="104"/>
      <c r="BRV335" s="104"/>
      <c r="BRW335" s="104"/>
      <c r="BRX335" s="104"/>
      <c r="BRY335" s="104"/>
      <c r="BRZ335" s="104"/>
      <c r="BSA335" s="104"/>
      <c r="BSB335" s="104"/>
      <c r="BSC335" s="104"/>
      <c r="BSD335" s="104"/>
      <c r="BSE335" s="104"/>
      <c r="BSF335" s="104"/>
      <c r="BSG335" s="104"/>
      <c r="BSH335" s="104"/>
      <c r="BSI335" s="104"/>
      <c r="BSJ335" s="104"/>
      <c r="BSK335" s="104"/>
      <c r="BSL335" s="104"/>
      <c r="BSM335" s="104"/>
      <c r="BSN335" s="104"/>
      <c r="BSO335" s="104"/>
      <c r="BSP335" s="104"/>
      <c r="BSQ335" s="104"/>
      <c r="BSR335" s="104"/>
      <c r="BSS335" s="104"/>
      <c r="BST335" s="104"/>
      <c r="BSU335" s="104"/>
      <c r="BSV335" s="104"/>
      <c r="BSW335" s="104"/>
      <c r="BSX335" s="104"/>
      <c r="BSY335" s="104"/>
      <c r="BSZ335" s="104"/>
      <c r="BTA335" s="104"/>
      <c r="BTB335" s="104"/>
      <c r="BTC335" s="104"/>
      <c r="BTD335" s="104"/>
      <c r="BTE335" s="104"/>
      <c r="BTF335" s="104"/>
      <c r="BTG335" s="104"/>
      <c r="BTH335" s="104"/>
      <c r="BTI335" s="104"/>
      <c r="BTJ335" s="104"/>
      <c r="BTK335" s="104"/>
      <c r="BTL335" s="104"/>
      <c r="BTM335" s="104"/>
      <c r="BTN335" s="104"/>
      <c r="BTO335" s="104"/>
      <c r="BTP335" s="104"/>
      <c r="BTQ335" s="104"/>
      <c r="BTR335" s="104"/>
      <c r="BTS335" s="104"/>
      <c r="BTT335" s="104"/>
      <c r="BTU335" s="104"/>
      <c r="BTV335" s="104"/>
      <c r="BTW335" s="104"/>
      <c r="BTX335" s="104"/>
      <c r="BTY335" s="104"/>
      <c r="BTZ335" s="104"/>
      <c r="BUA335" s="104"/>
      <c r="BUB335" s="104"/>
      <c r="BUC335" s="104"/>
      <c r="BUD335" s="104"/>
      <c r="BUE335" s="104"/>
      <c r="BUF335" s="104"/>
      <c r="BUG335" s="104"/>
      <c r="BUH335" s="104"/>
      <c r="BUI335" s="104"/>
      <c r="BUJ335" s="104"/>
      <c r="BUK335" s="104"/>
      <c r="BUL335" s="104"/>
      <c r="BUM335" s="104"/>
      <c r="BUN335" s="104"/>
      <c r="BUO335" s="104"/>
      <c r="BUP335" s="104"/>
      <c r="BUQ335" s="104"/>
      <c r="BUR335" s="104"/>
      <c r="BUS335" s="104"/>
      <c r="BUT335" s="104"/>
      <c r="BUU335" s="104"/>
      <c r="BUV335" s="104"/>
      <c r="BUW335" s="104"/>
      <c r="BUX335" s="104"/>
      <c r="BUY335" s="104"/>
      <c r="BUZ335" s="104"/>
      <c r="BVA335" s="104"/>
      <c r="BVB335" s="104"/>
      <c r="BVC335" s="104"/>
      <c r="BVD335" s="104"/>
      <c r="BVE335" s="104"/>
      <c r="BVF335" s="104"/>
      <c r="BVG335" s="104"/>
      <c r="BVH335" s="104"/>
      <c r="BVI335" s="104"/>
      <c r="BVJ335" s="104"/>
      <c r="BVK335" s="104"/>
      <c r="BVL335" s="104"/>
      <c r="BVM335" s="104"/>
      <c r="BVN335" s="104"/>
      <c r="BVO335" s="104"/>
      <c r="BVP335" s="104"/>
      <c r="BVQ335" s="104"/>
      <c r="BVR335" s="104"/>
      <c r="BVS335" s="104"/>
      <c r="BVT335" s="104"/>
      <c r="BVU335" s="104"/>
      <c r="BVV335" s="104"/>
      <c r="BVW335" s="104"/>
      <c r="BVX335" s="104"/>
      <c r="BVY335" s="104"/>
      <c r="BVZ335" s="104"/>
      <c r="BWA335" s="104"/>
      <c r="BWB335" s="104"/>
      <c r="BWC335" s="104"/>
      <c r="BWD335" s="104"/>
      <c r="BWE335" s="104"/>
      <c r="BWF335" s="104"/>
      <c r="BWG335" s="104"/>
      <c r="BWH335" s="104"/>
      <c r="BWI335" s="104"/>
      <c r="BWJ335" s="104"/>
      <c r="BWK335" s="104"/>
      <c r="BWL335" s="104"/>
      <c r="BWM335" s="104"/>
      <c r="BWN335" s="104"/>
      <c r="BWO335" s="104"/>
      <c r="BWP335" s="104"/>
      <c r="BWQ335" s="104"/>
      <c r="BWR335" s="104"/>
      <c r="BWS335" s="104"/>
      <c r="BWT335" s="104"/>
      <c r="BWU335" s="104"/>
      <c r="BWV335" s="104"/>
      <c r="BWW335" s="104"/>
      <c r="BWX335" s="104"/>
      <c r="BWY335" s="104"/>
      <c r="BWZ335" s="104"/>
      <c r="BXA335" s="104"/>
      <c r="BXB335" s="104"/>
      <c r="BXC335" s="104"/>
      <c r="BXD335" s="104"/>
      <c r="BXE335" s="104"/>
      <c r="BXF335" s="104"/>
      <c r="BXG335" s="104"/>
      <c r="BXH335" s="104"/>
      <c r="BXI335" s="104"/>
      <c r="BXJ335" s="104"/>
      <c r="BXK335" s="104"/>
      <c r="BXL335" s="104"/>
      <c r="BXM335" s="104"/>
      <c r="BXN335" s="104"/>
      <c r="BXO335" s="104"/>
      <c r="BXP335" s="104"/>
      <c r="BXQ335" s="104"/>
      <c r="BXR335" s="104"/>
      <c r="BXS335" s="104"/>
      <c r="BXT335" s="104"/>
      <c r="BXU335" s="104"/>
      <c r="BXV335" s="104"/>
      <c r="BXW335" s="104"/>
      <c r="BXX335" s="104"/>
      <c r="BXY335" s="104"/>
      <c r="BXZ335" s="104"/>
      <c r="BYA335" s="104"/>
      <c r="BYB335" s="104"/>
      <c r="BYC335" s="104"/>
      <c r="BYD335" s="104"/>
      <c r="BYE335" s="104"/>
      <c r="BYF335" s="104"/>
      <c r="BYG335" s="104"/>
      <c r="BYH335" s="104"/>
      <c r="BYI335" s="104"/>
      <c r="BYJ335" s="104"/>
      <c r="BYK335" s="104"/>
      <c r="BYL335" s="104"/>
      <c r="BYM335" s="104"/>
      <c r="BYN335" s="104"/>
      <c r="BYO335" s="104"/>
      <c r="BYP335" s="104"/>
      <c r="BYQ335" s="104"/>
      <c r="BYR335" s="104"/>
      <c r="BYS335" s="104"/>
      <c r="BYT335" s="104"/>
      <c r="BYU335" s="104"/>
      <c r="BYV335" s="104"/>
      <c r="BYW335" s="104"/>
      <c r="BYX335" s="104"/>
      <c r="BYY335" s="104"/>
      <c r="BYZ335" s="104"/>
      <c r="BZA335" s="104"/>
      <c r="BZB335" s="104"/>
      <c r="BZC335" s="104"/>
      <c r="BZD335" s="104"/>
      <c r="BZE335" s="104"/>
      <c r="BZF335" s="104"/>
      <c r="BZG335" s="104"/>
      <c r="BZH335" s="104"/>
      <c r="BZI335" s="104"/>
      <c r="BZJ335" s="104"/>
      <c r="BZK335" s="104"/>
      <c r="BZL335" s="104"/>
      <c r="BZM335" s="104"/>
      <c r="BZN335" s="104"/>
      <c r="BZO335" s="104"/>
      <c r="BZP335" s="104"/>
      <c r="BZQ335" s="104"/>
      <c r="BZR335" s="104"/>
      <c r="BZS335" s="104"/>
      <c r="BZT335" s="104"/>
      <c r="BZU335" s="104"/>
      <c r="BZV335" s="104"/>
      <c r="BZW335" s="104"/>
      <c r="BZX335" s="104"/>
      <c r="BZY335" s="104"/>
      <c r="BZZ335" s="104"/>
      <c r="CAA335" s="104"/>
      <c r="CAB335" s="104"/>
      <c r="CAC335" s="104"/>
      <c r="CAD335" s="104"/>
      <c r="CAE335" s="104"/>
      <c r="CAF335" s="104"/>
      <c r="CAG335" s="104"/>
      <c r="CAH335" s="104"/>
      <c r="CAI335" s="104"/>
      <c r="CAJ335" s="104"/>
      <c r="CAK335" s="104"/>
      <c r="CAL335" s="104"/>
      <c r="CAM335" s="104"/>
      <c r="CAN335" s="104"/>
      <c r="CAO335" s="104"/>
      <c r="CAP335" s="104"/>
      <c r="CAQ335" s="104"/>
      <c r="CAR335" s="104"/>
      <c r="CAS335" s="104"/>
      <c r="CAT335" s="104"/>
      <c r="CAU335" s="104"/>
      <c r="CAV335" s="104"/>
      <c r="CAW335" s="104"/>
      <c r="CAX335" s="104"/>
      <c r="CAY335" s="104"/>
      <c r="CAZ335" s="104"/>
      <c r="CBA335" s="104"/>
      <c r="CBB335" s="104"/>
      <c r="CBC335" s="104"/>
      <c r="CBD335" s="104"/>
      <c r="CBE335" s="104"/>
      <c r="CBF335" s="104"/>
      <c r="CBG335" s="104"/>
      <c r="CBH335" s="104"/>
      <c r="CBI335" s="104"/>
      <c r="CBJ335" s="104"/>
      <c r="CBK335" s="104"/>
      <c r="CBL335" s="104"/>
      <c r="CBM335" s="104"/>
      <c r="CBN335" s="104"/>
      <c r="CBO335" s="104"/>
      <c r="CBP335" s="104"/>
      <c r="CBQ335" s="104"/>
      <c r="CBR335" s="104"/>
      <c r="CBS335" s="104"/>
      <c r="CBT335" s="104"/>
      <c r="CBU335" s="104"/>
      <c r="CBV335" s="104"/>
      <c r="CBW335" s="104"/>
      <c r="CBX335" s="104"/>
      <c r="CBY335" s="104"/>
      <c r="CBZ335" s="104"/>
      <c r="CCA335" s="104"/>
      <c r="CCB335" s="104"/>
      <c r="CCC335" s="104"/>
      <c r="CCD335" s="104"/>
      <c r="CCE335" s="104"/>
      <c r="CCF335" s="104"/>
      <c r="CCG335" s="104"/>
      <c r="CCH335" s="104"/>
      <c r="CCI335" s="104"/>
      <c r="CCJ335" s="104"/>
      <c r="CCK335" s="104"/>
      <c r="CCL335" s="104"/>
      <c r="CCM335" s="104"/>
      <c r="CCN335" s="104"/>
      <c r="CCO335" s="104"/>
      <c r="CCP335" s="104"/>
      <c r="CCQ335" s="104"/>
      <c r="CCR335" s="104"/>
      <c r="CCS335" s="104"/>
      <c r="CCT335" s="104"/>
      <c r="CCU335" s="104"/>
      <c r="CCV335" s="104"/>
      <c r="CCW335" s="104"/>
      <c r="CCX335" s="104"/>
      <c r="CCY335" s="104"/>
      <c r="CCZ335" s="104"/>
      <c r="CDA335" s="104"/>
      <c r="CDB335" s="104"/>
      <c r="CDC335" s="104"/>
      <c r="CDD335" s="104"/>
      <c r="CDE335" s="104"/>
      <c r="CDF335" s="104"/>
      <c r="CDG335" s="104"/>
      <c r="CDH335" s="104"/>
      <c r="CDI335" s="104"/>
      <c r="CDJ335" s="104"/>
      <c r="CDK335" s="104"/>
      <c r="CDL335" s="104"/>
      <c r="CDM335" s="104"/>
      <c r="CDN335" s="104"/>
      <c r="CDO335" s="104"/>
      <c r="CDP335" s="104"/>
      <c r="CDQ335" s="104"/>
      <c r="CDR335" s="104"/>
      <c r="CDS335" s="104"/>
      <c r="CDT335" s="104"/>
      <c r="CDU335" s="104"/>
      <c r="CDV335" s="104"/>
      <c r="CDW335" s="104"/>
      <c r="CDX335" s="104"/>
      <c r="CDY335" s="104"/>
      <c r="CDZ335" s="104"/>
      <c r="CEA335" s="104"/>
      <c r="CEB335" s="104"/>
      <c r="CEC335" s="104"/>
      <c r="CED335" s="104"/>
      <c r="CEE335" s="104"/>
      <c r="CEF335" s="104"/>
      <c r="CEG335" s="104"/>
      <c r="CEH335" s="104"/>
      <c r="CEI335" s="104"/>
      <c r="CEJ335" s="104"/>
      <c r="CEK335" s="104"/>
      <c r="CEL335" s="104"/>
      <c r="CEM335" s="104"/>
      <c r="CEN335" s="104"/>
      <c r="CEO335" s="104"/>
      <c r="CEP335" s="104"/>
      <c r="CEQ335" s="104"/>
      <c r="CER335" s="104"/>
      <c r="CES335" s="104"/>
      <c r="CET335" s="104"/>
      <c r="CEU335" s="104"/>
      <c r="CEV335" s="104"/>
      <c r="CEW335" s="104"/>
      <c r="CEX335" s="104"/>
      <c r="CEY335" s="104"/>
      <c r="CEZ335" s="104"/>
      <c r="CFA335" s="104"/>
      <c r="CFB335" s="104"/>
      <c r="CFC335" s="104"/>
      <c r="CFD335" s="104"/>
      <c r="CFE335" s="104"/>
      <c r="CFF335" s="104"/>
      <c r="CFG335" s="104"/>
      <c r="CFH335" s="104"/>
      <c r="CFI335" s="104"/>
      <c r="CFJ335" s="104"/>
      <c r="CFK335" s="104"/>
      <c r="CFL335" s="104"/>
      <c r="CFM335" s="104"/>
      <c r="CFN335" s="104"/>
      <c r="CFO335" s="104"/>
      <c r="CFP335" s="104"/>
      <c r="CFQ335" s="104"/>
      <c r="CFR335" s="104"/>
      <c r="CFS335" s="104"/>
      <c r="CFT335" s="104"/>
      <c r="CFU335" s="104"/>
      <c r="CFV335" s="104"/>
      <c r="CFW335" s="104"/>
      <c r="CFX335" s="104"/>
      <c r="CFY335" s="104"/>
      <c r="CFZ335" s="104"/>
      <c r="CGA335" s="104"/>
      <c r="CGB335" s="104"/>
      <c r="CGC335" s="104"/>
      <c r="CGD335" s="104"/>
      <c r="CGE335" s="104"/>
      <c r="CGF335" s="104"/>
      <c r="CGG335" s="104"/>
      <c r="CGH335" s="104"/>
      <c r="CGI335" s="104"/>
      <c r="CGJ335" s="104"/>
      <c r="CGK335" s="104"/>
      <c r="CGL335" s="104"/>
      <c r="CGM335" s="104"/>
      <c r="CGN335" s="104"/>
      <c r="CGO335" s="104"/>
      <c r="CGP335" s="104"/>
      <c r="CGQ335" s="104"/>
      <c r="CGR335" s="104"/>
      <c r="CGS335" s="104"/>
      <c r="CGT335" s="104"/>
      <c r="CGU335" s="104"/>
      <c r="CGV335" s="104"/>
      <c r="CGW335" s="104"/>
      <c r="CGX335" s="104"/>
      <c r="CGY335" s="104"/>
      <c r="CGZ335" s="104"/>
      <c r="CHA335" s="104"/>
      <c r="CHB335" s="104"/>
      <c r="CHC335" s="104"/>
      <c r="CHD335" s="104"/>
      <c r="CHE335" s="104"/>
      <c r="CHF335" s="104"/>
      <c r="CHG335" s="104"/>
      <c r="CHH335" s="104"/>
      <c r="CHI335" s="104"/>
      <c r="CHJ335" s="104"/>
      <c r="CHK335" s="104"/>
      <c r="CHL335" s="104"/>
      <c r="CHM335" s="104"/>
      <c r="CHN335" s="104"/>
      <c r="CHO335" s="104"/>
      <c r="CHP335" s="104"/>
      <c r="CHQ335" s="104"/>
      <c r="CHR335" s="104"/>
      <c r="CHS335" s="104"/>
      <c r="CHT335" s="104"/>
      <c r="CHU335" s="104"/>
      <c r="CHV335" s="104"/>
      <c r="CHW335" s="104"/>
      <c r="CHX335" s="104"/>
      <c r="CHY335" s="104"/>
      <c r="CHZ335" s="104"/>
      <c r="CIA335" s="104"/>
      <c r="CIB335" s="104"/>
      <c r="CIC335" s="104"/>
      <c r="CID335" s="104"/>
      <c r="CIE335" s="104"/>
      <c r="CIF335" s="104"/>
      <c r="CIG335" s="104"/>
      <c r="CIH335" s="104"/>
      <c r="CII335" s="104"/>
      <c r="CIJ335" s="104"/>
      <c r="CIK335" s="104"/>
      <c r="CIL335" s="104"/>
      <c r="CIM335" s="104"/>
      <c r="CIN335" s="104"/>
      <c r="CIO335" s="104"/>
      <c r="CIP335" s="104"/>
      <c r="CIQ335" s="104"/>
      <c r="CIR335" s="104"/>
      <c r="CIS335" s="104"/>
      <c r="CIT335" s="104"/>
      <c r="CIU335" s="104"/>
      <c r="CIV335" s="104"/>
      <c r="CIW335" s="104"/>
      <c r="CIX335" s="104"/>
      <c r="CIY335" s="104"/>
      <c r="CIZ335" s="104"/>
      <c r="CJA335" s="104"/>
      <c r="CJB335" s="104"/>
      <c r="CJC335" s="104"/>
      <c r="CJD335" s="104"/>
      <c r="CJE335" s="104"/>
      <c r="CJF335" s="104"/>
      <c r="CJG335" s="104"/>
      <c r="CJH335" s="104"/>
      <c r="CJI335" s="104"/>
      <c r="CJJ335" s="104"/>
      <c r="CJK335" s="104"/>
      <c r="CJL335" s="104"/>
      <c r="CJM335" s="104"/>
      <c r="CJN335" s="104"/>
      <c r="CJO335" s="104"/>
      <c r="CJP335" s="104"/>
      <c r="CJQ335" s="104"/>
      <c r="CJR335" s="104"/>
      <c r="CJS335" s="104"/>
      <c r="CJT335" s="104"/>
      <c r="CJU335" s="104"/>
      <c r="CJV335" s="104"/>
      <c r="CJW335" s="104"/>
      <c r="CJX335" s="104"/>
      <c r="CJY335" s="104"/>
      <c r="CJZ335" s="104"/>
      <c r="CKA335" s="104"/>
      <c r="CKB335" s="104"/>
      <c r="CKC335" s="104"/>
      <c r="CKD335" s="104"/>
      <c r="CKE335" s="104"/>
      <c r="CKF335" s="104"/>
      <c r="CKG335" s="104"/>
      <c r="CKH335" s="104"/>
      <c r="CKI335" s="104"/>
      <c r="CKJ335" s="104"/>
      <c r="CKK335" s="104"/>
      <c r="CKL335" s="104"/>
      <c r="CKM335" s="104"/>
      <c r="CKN335" s="104"/>
      <c r="CKO335" s="104"/>
      <c r="CKP335" s="104"/>
      <c r="CKQ335" s="104"/>
      <c r="CKR335" s="104"/>
      <c r="CKS335" s="104"/>
      <c r="CKT335" s="104"/>
      <c r="CKU335" s="104"/>
      <c r="CKV335" s="104"/>
      <c r="CKW335" s="104"/>
      <c r="CKX335" s="104"/>
      <c r="CKY335" s="104"/>
      <c r="CKZ335" s="104"/>
      <c r="CLA335" s="104"/>
      <c r="CLB335" s="104"/>
      <c r="CLC335" s="104"/>
      <c r="CLD335" s="104"/>
      <c r="CLE335" s="104"/>
      <c r="CLF335" s="104"/>
      <c r="CLG335" s="104"/>
      <c r="CLH335" s="104"/>
      <c r="CLI335" s="104"/>
      <c r="CLJ335" s="104"/>
      <c r="CLK335" s="104"/>
      <c r="CLL335" s="104"/>
      <c r="CLM335" s="104"/>
      <c r="CLN335" s="104"/>
      <c r="CLO335" s="104"/>
      <c r="CLP335" s="104"/>
      <c r="CLQ335" s="104"/>
      <c r="CLR335" s="104"/>
      <c r="CLS335" s="104"/>
      <c r="CLT335" s="104"/>
      <c r="CLU335" s="104"/>
      <c r="CLV335" s="104"/>
      <c r="CLW335" s="104"/>
      <c r="CLX335" s="104"/>
      <c r="CLY335" s="104"/>
      <c r="CLZ335" s="104"/>
      <c r="CMA335" s="104"/>
      <c r="CMB335" s="104"/>
      <c r="CMC335" s="104"/>
      <c r="CMD335" s="104"/>
      <c r="CME335" s="104"/>
      <c r="CMF335" s="104"/>
      <c r="CMG335" s="104"/>
      <c r="CMH335" s="104"/>
      <c r="CMI335" s="104"/>
      <c r="CMJ335" s="104"/>
      <c r="CMK335" s="104"/>
      <c r="CML335" s="104"/>
      <c r="CMM335" s="104"/>
      <c r="CMN335" s="104"/>
      <c r="CMO335" s="104"/>
      <c r="CMP335" s="104"/>
      <c r="CMQ335" s="104"/>
      <c r="CMR335" s="104"/>
      <c r="CMS335" s="104"/>
      <c r="CMT335" s="104"/>
      <c r="CMU335" s="104"/>
      <c r="CMV335" s="104"/>
      <c r="CMW335" s="104"/>
      <c r="CMX335" s="104"/>
      <c r="CMY335" s="104"/>
      <c r="CMZ335" s="104"/>
      <c r="CNA335" s="104"/>
      <c r="CNB335" s="104"/>
      <c r="CNC335" s="104"/>
      <c r="CND335" s="104"/>
      <c r="CNE335" s="104"/>
      <c r="CNF335" s="104"/>
      <c r="CNG335" s="104"/>
      <c r="CNH335" s="104"/>
      <c r="CNI335" s="104"/>
      <c r="CNJ335" s="104"/>
      <c r="CNK335" s="104"/>
      <c r="CNL335" s="104"/>
      <c r="CNM335" s="104"/>
      <c r="CNN335" s="104"/>
      <c r="CNO335" s="104"/>
      <c r="CNP335" s="104"/>
      <c r="CNQ335" s="104"/>
      <c r="CNR335" s="104"/>
      <c r="CNS335" s="104"/>
      <c r="CNT335" s="104"/>
      <c r="CNU335" s="104"/>
      <c r="CNV335" s="104"/>
      <c r="CNW335" s="104"/>
      <c r="CNX335" s="104"/>
      <c r="CNY335" s="104"/>
      <c r="CNZ335" s="104"/>
      <c r="COA335" s="104"/>
      <c r="COB335" s="104"/>
      <c r="COC335" s="104"/>
      <c r="COD335" s="104"/>
      <c r="COE335" s="104"/>
      <c r="COF335" s="104"/>
      <c r="COG335" s="104"/>
      <c r="COH335" s="104"/>
      <c r="COI335" s="104"/>
      <c r="COJ335" s="104"/>
      <c r="COK335" s="104"/>
      <c r="COL335" s="104"/>
      <c r="COM335" s="104"/>
      <c r="CON335" s="104"/>
      <c r="COO335" s="104"/>
      <c r="COP335" s="104"/>
      <c r="COQ335" s="104"/>
      <c r="COR335" s="104"/>
      <c r="COS335" s="104"/>
      <c r="COT335" s="104"/>
      <c r="COU335" s="104"/>
      <c r="COV335" s="104"/>
      <c r="COW335" s="104"/>
      <c r="COX335" s="104"/>
      <c r="COY335" s="104"/>
      <c r="COZ335" s="104"/>
      <c r="CPA335" s="104"/>
      <c r="CPB335" s="104"/>
      <c r="CPC335" s="104"/>
      <c r="CPD335" s="104"/>
      <c r="CPE335" s="104"/>
      <c r="CPF335" s="104"/>
      <c r="CPG335" s="104"/>
      <c r="CPH335" s="104"/>
      <c r="CPI335" s="104"/>
      <c r="CPJ335" s="104"/>
      <c r="CPK335" s="104"/>
      <c r="CPL335" s="104"/>
      <c r="CPM335" s="104"/>
      <c r="CPN335" s="104"/>
      <c r="CPO335" s="104"/>
      <c r="CPP335" s="104"/>
      <c r="CPQ335" s="104"/>
      <c r="CPR335" s="104"/>
      <c r="CPS335" s="104"/>
      <c r="CPT335" s="104"/>
      <c r="CPU335" s="104"/>
      <c r="CPV335" s="104"/>
      <c r="CPW335" s="104"/>
      <c r="CPX335" s="104"/>
      <c r="CPY335" s="104"/>
      <c r="CPZ335" s="104"/>
      <c r="CQA335" s="104"/>
      <c r="CQB335" s="104"/>
      <c r="CQC335" s="104"/>
      <c r="CQD335" s="104"/>
      <c r="CQE335" s="104"/>
      <c r="CQF335" s="104"/>
      <c r="CQG335" s="104"/>
      <c r="CQH335" s="104"/>
      <c r="CQI335" s="104"/>
      <c r="CQJ335" s="104"/>
      <c r="CQK335" s="104"/>
      <c r="CQL335" s="104"/>
      <c r="CQM335" s="104"/>
      <c r="CQN335" s="104"/>
      <c r="CQO335" s="104"/>
      <c r="CQP335" s="104"/>
      <c r="CQQ335" s="104"/>
      <c r="CQR335" s="104"/>
      <c r="CQS335" s="104"/>
      <c r="CQT335" s="104"/>
      <c r="CQU335" s="104"/>
      <c r="CQV335" s="104"/>
      <c r="CQW335" s="104"/>
      <c r="CQX335" s="104"/>
      <c r="CQY335" s="104"/>
      <c r="CQZ335" s="104"/>
      <c r="CRA335" s="104"/>
      <c r="CRB335" s="104"/>
      <c r="CRC335" s="104"/>
      <c r="CRD335" s="104"/>
      <c r="CRE335" s="104"/>
      <c r="CRF335" s="104"/>
      <c r="CRG335" s="104"/>
      <c r="CRH335" s="104"/>
      <c r="CRI335" s="104"/>
      <c r="CRJ335" s="104"/>
      <c r="CRK335" s="104"/>
      <c r="CRL335" s="104"/>
      <c r="CRM335" s="104"/>
      <c r="CRN335" s="104"/>
      <c r="CRO335" s="104"/>
      <c r="CRP335" s="104"/>
      <c r="CRQ335" s="104"/>
      <c r="CRR335" s="104"/>
      <c r="CRS335" s="104"/>
      <c r="CRT335" s="104"/>
      <c r="CRU335" s="104"/>
      <c r="CRV335" s="104"/>
      <c r="CRW335" s="104"/>
      <c r="CRX335" s="104"/>
      <c r="CRY335" s="104"/>
      <c r="CRZ335" s="104"/>
      <c r="CSA335" s="104"/>
      <c r="CSB335" s="104"/>
      <c r="CSC335" s="104"/>
      <c r="CSD335" s="104"/>
      <c r="CSE335" s="104"/>
      <c r="CSF335" s="104"/>
      <c r="CSG335" s="104"/>
      <c r="CSH335" s="104"/>
      <c r="CSI335" s="104"/>
      <c r="CSJ335" s="104"/>
      <c r="CSK335" s="104"/>
      <c r="CSL335" s="104"/>
      <c r="CSM335" s="104"/>
      <c r="CSN335" s="104"/>
      <c r="CSO335" s="104"/>
      <c r="CSP335" s="104"/>
      <c r="CSQ335" s="104"/>
      <c r="CSR335" s="104"/>
      <c r="CSS335" s="104"/>
      <c r="CST335" s="104"/>
      <c r="CSU335" s="104"/>
      <c r="CSV335" s="104"/>
      <c r="CSW335" s="104"/>
      <c r="CSX335" s="104"/>
      <c r="CSY335" s="104"/>
      <c r="CSZ335" s="104"/>
      <c r="CTA335" s="104"/>
      <c r="CTB335" s="104"/>
      <c r="CTC335" s="104"/>
      <c r="CTD335" s="104"/>
      <c r="CTE335" s="104"/>
      <c r="CTF335" s="104"/>
      <c r="CTG335" s="104"/>
      <c r="CTH335" s="104"/>
      <c r="CTI335" s="104"/>
      <c r="CTJ335" s="104"/>
      <c r="CTK335" s="104"/>
      <c r="CTL335" s="104"/>
      <c r="CTM335" s="104"/>
      <c r="CTN335" s="104"/>
      <c r="CTO335" s="104"/>
      <c r="CTP335" s="104"/>
      <c r="CTQ335" s="104"/>
      <c r="CTR335" s="104"/>
      <c r="CTS335" s="104"/>
      <c r="CTT335" s="104"/>
      <c r="CTU335" s="104"/>
      <c r="CTV335" s="104"/>
      <c r="CTW335" s="104"/>
      <c r="CTX335" s="104"/>
      <c r="CTY335" s="104"/>
      <c r="CTZ335" s="104"/>
      <c r="CUA335" s="104"/>
    </row>
    <row r="336" s="78" customFormat="1" spans="1:2575">
      <c r="A336" s="115"/>
      <c r="B336" s="116"/>
      <c r="C336" s="116"/>
      <c r="D336" s="116"/>
      <c r="E336" s="116"/>
      <c r="F336" s="116"/>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c r="BE336" s="104"/>
      <c r="BF336" s="104"/>
      <c r="BG336" s="104"/>
      <c r="BH336" s="104"/>
      <c r="BI336" s="104"/>
      <c r="BJ336" s="104"/>
      <c r="BK336" s="104"/>
      <c r="BL336" s="104"/>
      <c r="BM336" s="104"/>
      <c r="BN336" s="104"/>
      <c r="BO336" s="104"/>
      <c r="BP336" s="104"/>
      <c r="BQ336" s="104"/>
      <c r="BR336" s="104"/>
      <c r="BS336" s="104"/>
      <c r="BT336" s="104"/>
      <c r="BU336" s="104"/>
      <c r="BV336" s="104"/>
      <c r="BW336" s="104"/>
      <c r="BX336" s="104"/>
      <c r="BY336" s="104"/>
      <c r="BZ336" s="104"/>
      <c r="CA336" s="104"/>
      <c r="CB336" s="104"/>
      <c r="CC336" s="104"/>
      <c r="CD336" s="104"/>
      <c r="CE336" s="104"/>
      <c r="CF336" s="104"/>
      <c r="CG336" s="104"/>
      <c r="CH336" s="104"/>
      <c r="CI336" s="104"/>
      <c r="CJ336" s="104"/>
      <c r="CK336" s="104"/>
      <c r="CL336" s="104"/>
      <c r="CM336" s="104"/>
      <c r="CN336" s="104"/>
      <c r="CO336" s="104"/>
      <c r="CP336" s="104"/>
      <c r="CQ336" s="104"/>
      <c r="CR336" s="104"/>
      <c r="CS336" s="104"/>
      <c r="CT336" s="104"/>
      <c r="CU336" s="104"/>
      <c r="CV336" s="104"/>
      <c r="CW336" s="104"/>
      <c r="CX336" s="104"/>
      <c r="CY336" s="104"/>
      <c r="CZ336" s="104"/>
      <c r="DA336" s="104"/>
      <c r="DB336" s="104"/>
      <c r="DC336" s="104"/>
      <c r="DD336" s="104"/>
      <c r="DE336" s="104"/>
      <c r="DF336" s="104"/>
      <c r="DG336" s="104"/>
      <c r="DH336" s="104"/>
      <c r="DI336" s="104"/>
      <c r="DJ336" s="104"/>
      <c r="DK336" s="104"/>
      <c r="DL336" s="104"/>
      <c r="DM336" s="104"/>
      <c r="DN336" s="104"/>
      <c r="DO336" s="104"/>
      <c r="DP336" s="104"/>
      <c r="DQ336" s="104"/>
      <c r="DR336" s="104"/>
      <c r="DS336" s="104"/>
      <c r="DT336" s="104"/>
      <c r="DU336" s="104"/>
      <c r="DV336" s="104"/>
      <c r="DW336" s="104"/>
      <c r="DX336" s="104"/>
      <c r="DY336" s="104"/>
      <c r="DZ336" s="104"/>
      <c r="EA336" s="104"/>
      <c r="EB336" s="104"/>
      <c r="EC336" s="104"/>
      <c r="ED336" s="104"/>
      <c r="EE336" s="104"/>
      <c r="EF336" s="104"/>
      <c r="EG336" s="104"/>
      <c r="EH336" s="104"/>
      <c r="EI336" s="104"/>
      <c r="EJ336" s="104"/>
      <c r="EK336" s="104"/>
      <c r="EL336" s="104"/>
      <c r="EM336" s="104"/>
      <c r="EN336" s="104"/>
      <c r="EO336" s="104"/>
      <c r="EP336" s="104"/>
      <c r="EQ336" s="104"/>
      <c r="ER336" s="104"/>
      <c r="ES336" s="104"/>
      <c r="ET336" s="104"/>
      <c r="EU336" s="104"/>
      <c r="EV336" s="104"/>
      <c r="EW336" s="104"/>
      <c r="EX336" s="104"/>
      <c r="EY336" s="104"/>
      <c r="EZ336" s="104"/>
      <c r="FA336" s="104"/>
      <c r="FB336" s="104"/>
      <c r="FC336" s="104"/>
      <c r="FD336" s="104"/>
      <c r="FE336" s="104"/>
      <c r="FF336" s="104"/>
      <c r="FG336" s="104"/>
      <c r="FH336" s="104"/>
      <c r="FI336" s="104"/>
      <c r="FJ336" s="104"/>
      <c r="FK336" s="104"/>
      <c r="FL336" s="104"/>
      <c r="FM336" s="104"/>
      <c r="FN336" s="104"/>
      <c r="FO336" s="104"/>
      <c r="FP336" s="104"/>
      <c r="FQ336" s="104"/>
      <c r="FR336" s="104"/>
      <c r="FS336" s="104"/>
      <c r="FT336" s="104"/>
      <c r="FU336" s="104"/>
      <c r="FV336" s="104"/>
      <c r="FW336" s="104"/>
      <c r="FX336" s="104"/>
      <c r="FY336" s="104"/>
      <c r="FZ336" s="104"/>
      <c r="GA336" s="104"/>
      <c r="GB336" s="104"/>
      <c r="GC336" s="104"/>
      <c r="GD336" s="104"/>
      <c r="GE336" s="104"/>
      <c r="GF336" s="104"/>
      <c r="GG336" s="104"/>
      <c r="GH336" s="104"/>
      <c r="GI336" s="104"/>
      <c r="GJ336" s="104"/>
      <c r="GK336" s="104"/>
      <c r="GL336" s="104"/>
      <c r="GM336" s="104"/>
      <c r="GN336" s="104"/>
      <c r="GO336" s="104"/>
      <c r="GP336" s="104"/>
      <c r="GQ336" s="104"/>
      <c r="GR336" s="104"/>
      <c r="GS336" s="104"/>
      <c r="GT336" s="104"/>
      <c r="GU336" s="104"/>
      <c r="GV336" s="104"/>
      <c r="GW336" s="104"/>
      <c r="GX336" s="104"/>
      <c r="GY336" s="104"/>
      <c r="GZ336" s="104"/>
      <c r="HA336" s="104"/>
      <c r="HB336" s="104"/>
      <c r="HC336" s="104"/>
      <c r="HD336" s="104"/>
      <c r="HE336" s="104"/>
      <c r="HF336" s="104"/>
      <c r="HG336" s="104"/>
      <c r="HH336" s="104"/>
      <c r="HI336" s="104"/>
      <c r="HJ336" s="104"/>
      <c r="HK336" s="104"/>
      <c r="HL336" s="104"/>
      <c r="HM336" s="104"/>
      <c r="HN336" s="104"/>
      <c r="HO336" s="104"/>
      <c r="HP336" s="104"/>
      <c r="HQ336" s="104"/>
      <c r="HR336" s="104"/>
      <c r="HS336" s="104"/>
      <c r="HT336" s="104"/>
      <c r="HU336" s="104"/>
      <c r="HV336" s="104"/>
      <c r="HW336" s="104"/>
      <c r="HX336" s="104"/>
      <c r="HY336" s="104"/>
      <c r="HZ336" s="104"/>
      <c r="IA336" s="104"/>
      <c r="IB336" s="104"/>
      <c r="IC336" s="104"/>
      <c r="ID336" s="104"/>
      <c r="IE336" s="104"/>
      <c r="IF336" s="104"/>
      <c r="IG336" s="104"/>
      <c r="IH336" s="104"/>
      <c r="II336" s="104"/>
      <c r="IJ336" s="104"/>
      <c r="IK336" s="104"/>
      <c r="IL336" s="104"/>
      <c r="IM336" s="104"/>
      <c r="IN336" s="104"/>
      <c r="IO336" s="104"/>
      <c r="IP336" s="104"/>
      <c r="IQ336" s="104"/>
      <c r="IR336" s="104"/>
      <c r="IS336" s="104"/>
      <c r="IT336" s="104"/>
      <c r="IU336" s="104"/>
      <c r="IV336" s="104"/>
      <c r="IW336" s="104"/>
      <c r="IX336" s="104"/>
      <c r="IY336" s="104"/>
      <c r="IZ336" s="104"/>
      <c r="JA336" s="104"/>
      <c r="JB336" s="104"/>
      <c r="JC336" s="104"/>
      <c r="JD336" s="104"/>
      <c r="JE336" s="104"/>
      <c r="JF336" s="104"/>
      <c r="JG336" s="104"/>
      <c r="JH336" s="104"/>
      <c r="JI336" s="104"/>
      <c r="JJ336" s="104"/>
      <c r="JK336" s="104"/>
      <c r="JL336" s="104"/>
      <c r="JM336" s="104"/>
      <c r="JN336" s="104"/>
      <c r="JO336" s="104"/>
      <c r="JP336" s="104"/>
      <c r="JQ336" s="104"/>
      <c r="JR336" s="104"/>
      <c r="JS336" s="104"/>
      <c r="JT336" s="104"/>
      <c r="JU336" s="104"/>
      <c r="JV336" s="104"/>
      <c r="JW336" s="104"/>
      <c r="JX336" s="104"/>
      <c r="JY336" s="104"/>
      <c r="JZ336" s="104"/>
      <c r="KA336" s="104"/>
      <c r="KB336" s="104"/>
      <c r="KC336" s="104"/>
      <c r="KD336" s="104"/>
      <c r="KE336" s="104"/>
      <c r="KF336" s="104"/>
      <c r="KG336" s="104"/>
      <c r="KH336" s="104"/>
      <c r="KI336" s="104"/>
      <c r="KJ336" s="104"/>
      <c r="KK336" s="104"/>
      <c r="KL336" s="104"/>
      <c r="KM336" s="104"/>
      <c r="KN336" s="104"/>
      <c r="KO336" s="104"/>
      <c r="KP336" s="104"/>
      <c r="KQ336" s="104"/>
      <c r="KR336" s="104"/>
      <c r="KS336" s="104"/>
      <c r="KT336" s="104"/>
      <c r="KU336" s="104"/>
      <c r="KV336" s="104"/>
      <c r="KW336" s="104"/>
      <c r="KX336" s="104"/>
      <c r="KY336" s="104"/>
      <c r="KZ336" s="104"/>
      <c r="LA336" s="104"/>
      <c r="LB336" s="104"/>
      <c r="LC336" s="104"/>
      <c r="LD336" s="104"/>
      <c r="LE336" s="104"/>
      <c r="LF336" s="104"/>
      <c r="LG336" s="104"/>
      <c r="LH336" s="104"/>
      <c r="LI336" s="104"/>
      <c r="LJ336" s="104"/>
      <c r="LK336" s="104"/>
      <c r="LL336" s="104"/>
      <c r="LM336" s="104"/>
      <c r="LN336" s="104"/>
      <c r="LO336" s="104"/>
      <c r="LP336" s="104"/>
      <c r="LQ336" s="104"/>
      <c r="LR336" s="104"/>
      <c r="LS336" s="104"/>
      <c r="LT336" s="104"/>
      <c r="LU336" s="104"/>
      <c r="LV336" s="104"/>
      <c r="LW336" s="104"/>
      <c r="LX336" s="104"/>
      <c r="LY336" s="104"/>
      <c r="LZ336" s="104"/>
      <c r="MA336" s="104"/>
      <c r="MB336" s="104"/>
      <c r="MC336" s="104"/>
      <c r="MD336" s="104"/>
      <c r="ME336" s="104"/>
      <c r="MF336" s="104"/>
      <c r="MG336" s="104"/>
      <c r="MH336" s="104"/>
      <c r="MI336" s="104"/>
      <c r="MJ336" s="104"/>
      <c r="MK336" s="104"/>
      <c r="ML336" s="104"/>
      <c r="MM336" s="104"/>
      <c r="MN336" s="104"/>
      <c r="MO336" s="104"/>
      <c r="MP336" s="104"/>
      <c r="MQ336" s="104"/>
      <c r="MR336" s="104"/>
      <c r="MS336" s="104"/>
      <c r="MT336" s="104"/>
      <c r="MU336" s="104"/>
      <c r="MV336" s="104"/>
      <c r="MW336" s="104"/>
      <c r="MX336" s="104"/>
      <c r="MY336" s="104"/>
      <c r="MZ336" s="104"/>
      <c r="NA336" s="104"/>
      <c r="NB336" s="104"/>
      <c r="NC336" s="104"/>
      <c r="ND336" s="104"/>
      <c r="NE336" s="104"/>
      <c r="NF336" s="104"/>
      <c r="NG336" s="104"/>
      <c r="NH336" s="104"/>
      <c r="NI336" s="104"/>
      <c r="NJ336" s="104"/>
      <c r="NK336" s="104"/>
      <c r="NL336" s="104"/>
      <c r="NM336" s="104"/>
      <c r="NN336" s="104"/>
      <c r="NO336" s="104"/>
      <c r="NP336" s="104"/>
      <c r="NQ336" s="104"/>
      <c r="NR336" s="104"/>
      <c r="NS336" s="104"/>
      <c r="NT336" s="104"/>
      <c r="NU336" s="104"/>
      <c r="NV336" s="104"/>
      <c r="NW336" s="104"/>
      <c r="NX336" s="104"/>
      <c r="NY336" s="104"/>
      <c r="NZ336" s="104"/>
      <c r="OA336" s="104"/>
      <c r="OB336" s="104"/>
      <c r="OC336" s="104"/>
      <c r="OD336" s="104"/>
      <c r="OE336" s="104"/>
      <c r="OF336" s="104"/>
      <c r="OG336" s="104"/>
      <c r="OH336" s="104"/>
      <c r="OI336" s="104"/>
      <c r="OJ336" s="104"/>
      <c r="OK336" s="104"/>
      <c r="OL336" s="104"/>
      <c r="OM336" s="104"/>
      <c r="ON336" s="104"/>
      <c r="OO336" s="104"/>
      <c r="OP336" s="104"/>
      <c r="OQ336" s="104"/>
      <c r="OR336" s="104"/>
      <c r="OS336" s="104"/>
      <c r="OT336" s="104"/>
      <c r="OU336" s="104"/>
      <c r="OV336" s="104"/>
      <c r="OW336" s="104"/>
      <c r="OX336" s="104"/>
      <c r="OY336" s="104"/>
      <c r="OZ336" s="104"/>
      <c r="PA336" s="104"/>
      <c r="PB336" s="104"/>
      <c r="PC336" s="104"/>
      <c r="PD336" s="104"/>
      <c r="PE336" s="104"/>
      <c r="PF336" s="104"/>
      <c r="PG336" s="104"/>
      <c r="PH336" s="104"/>
      <c r="PI336" s="104"/>
      <c r="PJ336" s="104"/>
      <c r="PK336" s="104"/>
      <c r="PL336" s="104"/>
      <c r="PM336" s="104"/>
      <c r="PN336" s="104"/>
      <c r="PO336" s="104"/>
      <c r="PP336" s="104"/>
      <c r="PQ336" s="104"/>
      <c r="PR336" s="104"/>
      <c r="PS336" s="104"/>
      <c r="PT336" s="104"/>
      <c r="PU336" s="104"/>
      <c r="PV336" s="104"/>
      <c r="PW336" s="104"/>
      <c r="PX336" s="104"/>
      <c r="PY336" s="104"/>
      <c r="PZ336" s="104"/>
      <c r="QA336" s="104"/>
      <c r="QB336" s="104"/>
      <c r="QC336" s="104"/>
      <c r="QD336" s="104"/>
      <c r="QE336" s="104"/>
      <c r="QF336" s="104"/>
      <c r="QG336" s="104"/>
      <c r="QH336" s="104"/>
      <c r="QI336" s="104"/>
      <c r="QJ336" s="104"/>
      <c r="QK336" s="104"/>
      <c r="QL336" s="104"/>
      <c r="QM336" s="104"/>
      <c r="QN336" s="104"/>
      <c r="QO336" s="104"/>
      <c r="QP336" s="104"/>
      <c r="QQ336" s="104"/>
      <c r="QR336" s="104"/>
      <c r="QS336" s="104"/>
      <c r="QT336" s="104"/>
      <c r="QU336" s="104"/>
      <c r="QV336" s="104"/>
      <c r="QW336" s="104"/>
      <c r="QX336" s="104"/>
      <c r="QY336" s="104"/>
      <c r="QZ336" s="104"/>
      <c r="RA336" s="104"/>
      <c r="RB336" s="104"/>
      <c r="RC336" s="104"/>
      <c r="RD336" s="104"/>
      <c r="RE336" s="104"/>
      <c r="RF336" s="104"/>
      <c r="RG336" s="104"/>
      <c r="RH336" s="104"/>
      <c r="RI336" s="104"/>
      <c r="RJ336" s="104"/>
      <c r="RK336" s="104"/>
      <c r="RL336" s="104"/>
      <c r="RM336" s="104"/>
      <c r="RN336" s="104"/>
      <c r="RO336" s="104"/>
      <c r="RP336" s="104"/>
      <c r="RQ336" s="104"/>
      <c r="RR336" s="104"/>
      <c r="RS336" s="104"/>
      <c r="RT336" s="104"/>
      <c r="RU336" s="104"/>
      <c r="RV336" s="104"/>
      <c r="RW336" s="104"/>
      <c r="RX336" s="104"/>
      <c r="RY336" s="104"/>
      <c r="RZ336" s="104"/>
      <c r="SA336" s="104"/>
      <c r="SB336" s="104"/>
      <c r="SC336" s="104"/>
      <c r="SD336" s="104"/>
      <c r="SE336" s="104"/>
      <c r="SF336" s="104"/>
      <c r="SG336" s="104"/>
      <c r="SH336" s="104"/>
      <c r="SI336" s="104"/>
      <c r="SJ336" s="104"/>
      <c r="SK336" s="104"/>
      <c r="SL336" s="104"/>
      <c r="SM336" s="104"/>
      <c r="SN336" s="104"/>
      <c r="SO336" s="104"/>
      <c r="SP336" s="104"/>
      <c r="SQ336" s="104"/>
      <c r="SR336" s="104"/>
      <c r="SS336" s="104"/>
      <c r="ST336" s="104"/>
      <c r="SU336" s="104"/>
      <c r="SV336" s="104"/>
      <c r="SW336" s="104"/>
      <c r="SX336" s="104"/>
      <c r="SY336" s="104"/>
      <c r="SZ336" s="104"/>
      <c r="TA336" s="104"/>
      <c r="TB336" s="104"/>
      <c r="TC336" s="104"/>
      <c r="TD336" s="104"/>
      <c r="TE336" s="104"/>
      <c r="TF336" s="104"/>
      <c r="TG336" s="104"/>
      <c r="TH336" s="104"/>
      <c r="TI336" s="104"/>
      <c r="TJ336" s="104"/>
      <c r="TK336" s="104"/>
      <c r="TL336" s="104"/>
      <c r="TM336" s="104"/>
      <c r="TN336" s="104"/>
      <c r="TO336" s="104"/>
      <c r="TP336" s="104"/>
      <c r="TQ336" s="104"/>
      <c r="TR336" s="104"/>
      <c r="TS336" s="104"/>
      <c r="TT336" s="104"/>
      <c r="TU336" s="104"/>
      <c r="TV336" s="104"/>
      <c r="TW336" s="104"/>
      <c r="TX336" s="104"/>
      <c r="TY336" s="104"/>
      <c r="TZ336" s="104"/>
      <c r="UA336" s="104"/>
      <c r="UB336" s="104"/>
      <c r="UC336" s="104"/>
      <c r="UD336" s="104"/>
      <c r="UE336" s="104"/>
      <c r="UF336" s="104"/>
      <c r="UG336" s="104"/>
      <c r="UH336" s="104"/>
      <c r="UI336" s="104"/>
      <c r="UJ336" s="104"/>
      <c r="UK336" s="104"/>
      <c r="UL336" s="104"/>
      <c r="UM336" s="104"/>
      <c r="UN336" s="104"/>
      <c r="UO336" s="104"/>
      <c r="UP336" s="104"/>
      <c r="UQ336" s="104"/>
      <c r="UR336" s="104"/>
      <c r="US336" s="104"/>
      <c r="UT336" s="104"/>
      <c r="UU336" s="104"/>
      <c r="UV336" s="104"/>
      <c r="UW336" s="104"/>
      <c r="UX336" s="104"/>
      <c r="UY336" s="104"/>
      <c r="UZ336" s="104"/>
      <c r="VA336" s="104"/>
      <c r="VB336" s="104"/>
      <c r="VC336" s="104"/>
      <c r="VD336" s="104"/>
      <c r="VE336" s="104"/>
      <c r="VF336" s="104"/>
      <c r="VG336" s="104"/>
      <c r="VH336" s="104"/>
      <c r="VI336" s="104"/>
      <c r="VJ336" s="104"/>
      <c r="VK336" s="104"/>
      <c r="VL336" s="104"/>
      <c r="VM336" s="104"/>
      <c r="VN336" s="104"/>
      <c r="VO336" s="104"/>
      <c r="VP336" s="104"/>
      <c r="VQ336" s="104"/>
      <c r="VR336" s="104"/>
      <c r="VS336" s="104"/>
      <c r="VT336" s="104"/>
      <c r="VU336" s="104"/>
      <c r="VV336" s="104"/>
      <c r="VW336" s="104"/>
      <c r="VX336" s="104"/>
      <c r="VY336" s="104"/>
      <c r="VZ336" s="104"/>
      <c r="WA336" s="104"/>
      <c r="WB336" s="104"/>
      <c r="WC336" s="104"/>
      <c r="WD336" s="104"/>
      <c r="WE336" s="104"/>
      <c r="WF336" s="104"/>
      <c r="WG336" s="104"/>
      <c r="WH336" s="104"/>
      <c r="WI336" s="104"/>
      <c r="WJ336" s="104"/>
      <c r="WK336" s="104"/>
      <c r="WL336" s="104"/>
      <c r="WM336" s="104"/>
      <c r="WN336" s="104"/>
      <c r="WO336" s="104"/>
      <c r="WP336" s="104"/>
      <c r="WQ336" s="104"/>
      <c r="WR336" s="104"/>
      <c r="WS336" s="104"/>
      <c r="WT336" s="104"/>
      <c r="WU336" s="104"/>
      <c r="WV336" s="104"/>
      <c r="WW336" s="104"/>
      <c r="WX336" s="104"/>
      <c r="WY336" s="104"/>
      <c r="WZ336" s="104"/>
      <c r="XA336" s="104"/>
      <c r="XB336" s="104"/>
      <c r="XC336" s="104"/>
      <c r="XD336" s="104"/>
      <c r="XE336" s="104"/>
      <c r="XF336" s="104"/>
      <c r="XG336" s="104"/>
      <c r="XH336" s="104"/>
      <c r="XI336" s="104"/>
      <c r="XJ336" s="104"/>
      <c r="XK336" s="104"/>
      <c r="XL336" s="104"/>
      <c r="XM336" s="104"/>
      <c r="XN336" s="104"/>
      <c r="XO336" s="104"/>
      <c r="XP336" s="104"/>
      <c r="XQ336" s="104"/>
      <c r="XR336" s="104"/>
      <c r="XS336" s="104"/>
      <c r="XT336" s="104"/>
      <c r="XU336" s="104"/>
      <c r="XV336" s="104"/>
      <c r="XW336" s="104"/>
      <c r="XX336" s="104"/>
      <c r="XY336" s="104"/>
      <c r="XZ336" s="104"/>
      <c r="YA336" s="104"/>
      <c r="YB336" s="104"/>
      <c r="YC336" s="104"/>
      <c r="YD336" s="104"/>
      <c r="YE336" s="104"/>
      <c r="YF336" s="104"/>
      <c r="YG336" s="104"/>
      <c r="YH336" s="104"/>
      <c r="YI336" s="104"/>
      <c r="YJ336" s="104"/>
      <c r="YK336" s="104"/>
      <c r="YL336" s="104"/>
      <c r="YM336" s="104"/>
      <c r="YN336" s="104"/>
      <c r="YO336" s="104"/>
      <c r="YP336" s="104"/>
      <c r="YQ336" s="104"/>
      <c r="YR336" s="104"/>
      <c r="YS336" s="104"/>
      <c r="YT336" s="104"/>
      <c r="YU336" s="104"/>
      <c r="YV336" s="104"/>
      <c r="YW336" s="104"/>
      <c r="YX336" s="104"/>
      <c r="YY336" s="104"/>
      <c r="YZ336" s="104"/>
      <c r="ZA336" s="104"/>
      <c r="ZB336" s="104"/>
      <c r="ZC336" s="104"/>
      <c r="ZD336" s="104"/>
      <c r="ZE336" s="104"/>
      <c r="ZF336" s="104"/>
      <c r="ZG336" s="104"/>
      <c r="ZH336" s="104"/>
      <c r="ZI336" s="104"/>
      <c r="ZJ336" s="104"/>
      <c r="ZK336" s="104"/>
      <c r="ZL336" s="104"/>
      <c r="ZM336" s="104"/>
      <c r="ZN336" s="104"/>
      <c r="ZO336" s="104"/>
      <c r="ZP336" s="104"/>
      <c r="ZQ336" s="104"/>
      <c r="ZR336" s="104"/>
      <c r="ZS336" s="104"/>
      <c r="ZT336" s="104"/>
      <c r="ZU336" s="104"/>
      <c r="ZV336" s="104"/>
      <c r="ZW336" s="104"/>
      <c r="ZX336" s="104"/>
      <c r="ZY336" s="104"/>
      <c r="ZZ336" s="104"/>
      <c r="AAA336" s="104"/>
      <c r="AAB336" s="104"/>
      <c r="AAC336" s="104"/>
      <c r="AAD336" s="104"/>
      <c r="AAE336" s="104"/>
      <c r="AAF336" s="104"/>
      <c r="AAG336" s="104"/>
      <c r="AAH336" s="104"/>
      <c r="AAI336" s="104"/>
      <c r="AAJ336" s="104"/>
      <c r="AAK336" s="104"/>
      <c r="AAL336" s="104"/>
      <c r="AAM336" s="104"/>
      <c r="AAN336" s="104"/>
      <c r="AAO336" s="104"/>
      <c r="AAP336" s="104"/>
      <c r="AAQ336" s="104"/>
      <c r="AAR336" s="104"/>
      <c r="AAS336" s="104"/>
      <c r="AAT336" s="104"/>
      <c r="AAU336" s="104"/>
      <c r="AAV336" s="104"/>
      <c r="AAW336" s="104"/>
      <c r="AAX336" s="104"/>
      <c r="AAY336" s="104"/>
      <c r="AAZ336" s="104"/>
      <c r="ABA336" s="104"/>
      <c r="ABB336" s="104"/>
      <c r="ABC336" s="104"/>
      <c r="ABD336" s="104"/>
      <c r="ABE336" s="104"/>
      <c r="ABF336" s="104"/>
      <c r="ABG336" s="104"/>
      <c r="ABH336" s="104"/>
      <c r="ABI336" s="104"/>
      <c r="ABJ336" s="104"/>
      <c r="ABK336" s="104"/>
      <c r="ABL336" s="104"/>
      <c r="ABM336" s="104"/>
      <c r="ABN336" s="104"/>
      <c r="ABO336" s="104"/>
      <c r="ABP336" s="104"/>
      <c r="ABQ336" s="104"/>
      <c r="ABR336" s="104"/>
      <c r="ABS336" s="104"/>
      <c r="ABT336" s="104"/>
      <c r="ABU336" s="104"/>
      <c r="ABV336" s="104"/>
      <c r="ABW336" s="104"/>
      <c r="ABX336" s="104"/>
      <c r="ABY336" s="104"/>
      <c r="ABZ336" s="104"/>
      <c r="ACA336" s="104"/>
      <c r="ACB336" s="104"/>
      <c r="ACC336" s="104"/>
      <c r="ACD336" s="104"/>
      <c r="ACE336" s="104"/>
      <c r="ACF336" s="104"/>
      <c r="ACG336" s="104"/>
      <c r="ACH336" s="104"/>
      <c r="ACI336" s="104"/>
      <c r="ACJ336" s="104"/>
      <c r="ACK336" s="104"/>
      <c r="ACL336" s="104"/>
      <c r="ACM336" s="104"/>
      <c r="ACN336" s="104"/>
      <c r="ACO336" s="104"/>
      <c r="ACP336" s="104"/>
      <c r="ACQ336" s="104"/>
      <c r="ACR336" s="104"/>
      <c r="ACS336" s="104"/>
      <c r="ACT336" s="104"/>
      <c r="ACU336" s="104"/>
      <c r="ACV336" s="104"/>
      <c r="ACW336" s="104"/>
      <c r="ACX336" s="104"/>
      <c r="ACY336" s="104"/>
      <c r="ACZ336" s="104"/>
      <c r="ADA336" s="104"/>
      <c r="ADB336" s="104"/>
      <c r="ADC336" s="104"/>
      <c r="ADD336" s="104"/>
      <c r="ADE336" s="104"/>
      <c r="ADF336" s="104"/>
      <c r="ADG336" s="104"/>
      <c r="ADH336" s="104"/>
      <c r="ADI336" s="104"/>
      <c r="ADJ336" s="104"/>
      <c r="ADK336" s="104"/>
      <c r="ADL336" s="104"/>
      <c r="ADM336" s="104"/>
      <c r="ADN336" s="104"/>
      <c r="ADO336" s="104"/>
      <c r="ADP336" s="104"/>
      <c r="ADQ336" s="104"/>
      <c r="ADR336" s="104"/>
      <c r="ADS336" s="104"/>
      <c r="ADT336" s="104"/>
      <c r="ADU336" s="104"/>
      <c r="ADV336" s="104"/>
      <c r="ADW336" s="104"/>
      <c r="ADX336" s="104"/>
      <c r="ADY336" s="104"/>
      <c r="ADZ336" s="104"/>
      <c r="AEA336" s="104"/>
      <c r="AEB336" s="104"/>
      <c r="AEC336" s="104"/>
      <c r="AED336" s="104"/>
      <c r="AEE336" s="104"/>
      <c r="AEF336" s="104"/>
      <c r="AEG336" s="104"/>
      <c r="AEH336" s="104"/>
      <c r="AEI336" s="104"/>
      <c r="AEJ336" s="104"/>
      <c r="AEK336" s="104"/>
      <c r="AEL336" s="104"/>
      <c r="AEM336" s="104"/>
      <c r="AEN336" s="104"/>
      <c r="AEO336" s="104"/>
      <c r="AEP336" s="104"/>
      <c r="AEQ336" s="104"/>
      <c r="AER336" s="104"/>
      <c r="AES336" s="104"/>
      <c r="AET336" s="104"/>
      <c r="AEU336" s="104"/>
      <c r="AEV336" s="104"/>
      <c r="AEW336" s="104"/>
      <c r="AEX336" s="104"/>
      <c r="AEY336" s="104"/>
      <c r="AEZ336" s="104"/>
      <c r="AFA336" s="104"/>
      <c r="AFB336" s="104"/>
      <c r="AFC336" s="104"/>
      <c r="AFD336" s="104"/>
      <c r="AFE336" s="104"/>
      <c r="AFF336" s="104"/>
      <c r="AFG336" s="104"/>
      <c r="AFH336" s="104"/>
      <c r="AFI336" s="104"/>
      <c r="AFJ336" s="104"/>
      <c r="AFK336" s="104"/>
      <c r="AFL336" s="104"/>
      <c r="AFM336" s="104"/>
      <c r="AFN336" s="104"/>
      <c r="AFO336" s="104"/>
      <c r="AFP336" s="104"/>
      <c r="AFQ336" s="104"/>
      <c r="AFR336" s="104"/>
      <c r="AFS336" s="104"/>
      <c r="AFT336" s="104"/>
      <c r="AFU336" s="104"/>
      <c r="AFV336" s="104"/>
      <c r="AFW336" s="104"/>
      <c r="AFX336" s="104"/>
      <c r="AFY336" s="104"/>
      <c r="AFZ336" s="104"/>
      <c r="AGA336" s="104"/>
      <c r="AGB336" s="104"/>
      <c r="AGC336" s="104"/>
      <c r="AGD336" s="104"/>
      <c r="AGE336" s="104"/>
      <c r="AGF336" s="104"/>
      <c r="AGG336" s="104"/>
      <c r="AGH336" s="104"/>
      <c r="AGI336" s="104"/>
      <c r="AGJ336" s="104"/>
      <c r="AGK336" s="104"/>
      <c r="AGL336" s="104"/>
      <c r="AGM336" s="104"/>
      <c r="AGN336" s="104"/>
      <c r="AGO336" s="104"/>
      <c r="AGP336" s="104"/>
      <c r="AGQ336" s="104"/>
      <c r="AGR336" s="104"/>
      <c r="AGS336" s="104"/>
      <c r="AGT336" s="104"/>
      <c r="AGU336" s="104"/>
      <c r="AGV336" s="104"/>
      <c r="AGW336" s="104"/>
      <c r="AGX336" s="104"/>
      <c r="AGY336" s="104"/>
      <c r="AGZ336" s="104"/>
      <c r="AHA336" s="104"/>
      <c r="AHB336" s="104"/>
      <c r="AHC336" s="104"/>
      <c r="AHD336" s="104"/>
      <c r="AHE336" s="104"/>
      <c r="AHF336" s="104"/>
      <c r="AHG336" s="104"/>
      <c r="AHH336" s="104"/>
      <c r="AHI336" s="104"/>
      <c r="AHJ336" s="104"/>
      <c r="AHK336" s="104"/>
      <c r="AHL336" s="104"/>
      <c r="AHM336" s="104"/>
      <c r="AHN336" s="104"/>
      <c r="AHO336" s="104"/>
      <c r="AHP336" s="104"/>
      <c r="AHQ336" s="104"/>
      <c r="AHR336" s="104"/>
      <c r="AHS336" s="104"/>
      <c r="AHT336" s="104"/>
      <c r="AHU336" s="104"/>
      <c r="AHV336" s="104"/>
      <c r="AHW336" s="104"/>
      <c r="AHX336" s="104"/>
      <c r="AHY336" s="104"/>
      <c r="AHZ336" s="104"/>
      <c r="AIA336" s="104"/>
      <c r="AIB336" s="104"/>
      <c r="AIC336" s="104"/>
      <c r="AID336" s="104"/>
      <c r="AIE336" s="104"/>
      <c r="AIF336" s="104"/>
      <c r="AIG336" s="104"/>
      <c r="AIH336" s="104"/>
      <c r="AII336" s="104"/>
      <c r="AIJ336" s="104"/>
      <c r="AIK336" s="104"/>
      <c r="AIL336" s="104"/>
      <c r="AIM336" s="104"/>
      <c r="AIN336" s="104"/>
      <c r="AIO336" s="104"/>
      <c r="AIP336" s="104"/>
      <c r="AIQ336" s="104"/>
      <c r="AIR336" s="104"/>
      <c r="AIS336" s="104"/>
      <c r="AIT336" s="104"/>
      <c r="AIU336" s="104"/>
      <c r="AIV336" s="104"/>
      <c r="AIW336" s="104"/>
      <c r="AIX336" s="104"/>
      <c r="AIY336" s="104"/>
      <c r="AIZ336" s="104"/>
      <c r="AJA336" s="104"/>
      <c r="AJB336" s="104"/>
      <c r="AJC336" s="104"/>
      <c r="AJD336" s="104"/>
      <c r="AJE336" s="104"/>
      <c r="AJF336" s="104"/>
      <c r="AJG336" s="104"/>
      <c r="AJH336" s="104"/>
      <c r="AJI336" s="104"/>
      <c r="AJJ336" s="104"/>
      <c r="AJK336" s="104"/>
      <c r="AJL336" s="104"/>
      <c r="AJM336" s="104"/>
      <c r="AJN336" s="104"/>
      <c r="AJO336" s="104"/>
      <c r="AJP336" s="104"/>
      <c r="AJQ336" s="104"/>
      <c r="AJR336" s="104"/>
      <c r="AJS336" s="104"/>
      <c r="AJT336" s="104"/>
      <c r="AJU336" s="104"/>
      <c r="AJV336" s="104"/>
      <c r="AJW336" s="104"/>
      <c r="AJX336" s="104"/>
      <c r="AJY336" s="104"/>
      <c r="AJZ336" s="104"/>
      <c r="AKA336" s="104"/>
      <c r="AKB336" s="104"/>
      <c r="AKC336" s="104"/>
      <c r="AKD336" s="104"/>
      <c r="AKE336" s="104"/>
      <c r="AKF336" s="104"/>
      <c r="AKG336" s="104"/>
      <c r="AKH336" s="104"/>
      <c r="AKI336" s="104"/>
      <c r="AKJ336" s="104"/>
      <c r="AKK336" s="104"/>
      <c r="AKL336" s="104"/>
      <c r="AKM336" s="104"/>
      <c r="AKN336" s="104"/>
      <c r="AKO336" s="104"/>
      <c r="AKP336" s="104"/>
      <c r="AKQ336" s="104"/>
      <c r="AKR336" s="104"/>
      <c r="AKS336" s="104"/>
      <c r="AKT336" s="104"/>
      <c r="AKU336" s="104"/>
      <c r="AKV336" s="104"/>
      <c r="AKW336" s="104"/>
      <c r="AKX336" s="104"/>
      <c r="AKY336" s="104"/>
      <c r="AKZ336" s="104"/>
      <c r="ALA336" s="104"/>
      <c r="ALB336" s="104"/>
      <c r="ALC336" s="104"/>
      <c r="ALD336" s="104"/>
      <c r="ALE336" s="104"/>
      <c r="ALF336" s="104"/>
      <c r="ALG336" s="104"/>
      <c r="ALH336" s="104"/>
      <c r="ALI336" s="104"/>
      <c r="ALJ336" s="104"/>
      <c r="ALK336" s="104"/>
      <c r="ALL336" s="104"/>
      <c r="ALM336" s="104"/>
      <c r="ALN336" s="104"/>
      <c r="ALO336" s="104"/>
      <c r="ALP336" s="104"/>
      <c r="ALQ336" s="104"/>
      <c r="ALR336" s="104"/>
      <c r="ALS336" s="104"/>
      <c r="ALT336" s="104"/>
      <c r="ALU336" s="104"/>
      <c r="ALV336" s="104"/>
      <c r="ALW336" s="104"/>
      <c r="ALX336" s="104"/>
      <c r="ALY336" s="104"/>
      <c r="ALZ336" s="104"/>
      <c r="AMA336" s="104"/>
      <c r="AMB336" s="104"/>
      <c r="AMC336" s="104"/>
      <c r="AMD336" s="104"/>
      <c r="AME336" s="104"/>
      <c r="AMF336" s="104"/>
      <c r="AMG336" s="104"/>
      <c r="AMH336" s="104"/>
      <c r="AMI336" s="104"/>
      <c r="AMJ336" s="104"/>
      <c r="AMK336" s="104"/>
      <c r="AML336" s="104"/>
      <c r="AMM336" s="104"/>
      <c r="AMN336" s="104"/>
      <c r="AMO336" s="104"/>
      <c r="AMP336" s="104"/>
      <c r="AMQ336" s="104"/>
      <c r="AMR336" s="104"/>
      <c r="AMS336" s="104"/>
      <c r="AMT336" s="104"/>
      <c r="AMU336" s="104"/>
      <c r="AMV336" s="104"/>
      <c r="AMW336" s="104"/>
      <c r="AMX336" s="104"/>
      <c r="AMY336" s="104"/>
      <c r="AMZ336" s="104"/>
      <c r="ANA336" s="104"/>
      <c r="ANB336" s="104"/>
      <c r="ANC336" s="104"/>
      <c r="AND336" s="104"/>
      <c r="ANE336" s="104"/>
      <c r="ANF336" s="104"/>
      <c r="ANG336" s="104"/>
      <c r="ANH336" s="104"/>
      <c r="ANI336" s="104"/>
      <c r="ANJ336" s="104"/>
      <c r="ANK336" s="104"/>
      <c r="ANL336" s="104"/>
      <c r="ANM336" s="104"/>
      <c r="ANN336" s="104"/>
      <c r="ANO336" s="104"/>
      <c r="ANP336" s="104"/>
      <c r="ANQ336" s="104"/>
      <c r="ANR336" s="104"/>
      <c r="ANS336" s="104"/>
      <c r="ANT336" s="104"/>
      <c r="ANU336" s="104"/>
      <c r="ANV336" s="104"/>
      <c r="ANW336" s="104"/>
      <c r="ANX336" s="104"/>
      <c r="ANY336" s="104"/>
      <c r="ANZ336" s="104"/>
      <c r="AOA336" s="104"/>
      <c r="AOB336" s="104"/>
      <c r="AOC336" s="104"/>
      <c r="AOD336" s="104"/>
      <c r="AOE336" s="104"/>
      <c r="AOF336" s="104"/>
      <c r="AOG336" s="104"/>
      <c r="AOH336" s="104"/>
      <c r="AOI336" s="104"/>
      <c r="AOJ336" s="104"/>
      <c r="AOK336" s="104"/>
      <c r="AOL336" s="104"/>
      <c r="AOM336" s="104"/>
      <c r="AON336" s="104"/>
      <c r="AOO336" s="104"/>
      <c r="AOP336" s="104"/>
      <c r="AOQ336" s="104"/>
      <c r="AOR336" s="104"/>
      <c r="AOS336" s="104"/>
      <c r="AOT336" s="104"/>
      <c r="AOU336" s="104"/>
      <c r="AOV336" s="104"/>
      <c r="AOW336" s="104"/>
      <c r="AOX336" s="104"/>
      <c r="AOY336" s="104"/>
      <c r="AOZ336" s="104"/>
      <c r="APA336" s="104"/>
      <c r="APB336" s="104"/>
      <c r="APC336" s="104"/>
      <c r="APD336" s="104"/>
      <c r="APE336" s="104"/>
      <c r="APF336" s="104"/>
      <c r="APG336" s="104"/>
      <c r="APH336" s="104"/>
      <c r="API336" s="104"/>
      <c r="APJ336" s="104"/>
      <c r="APK336" s="104"/>
      <c r="APL336" s="104"/>
      <c r="APM336" s="104"/>
      <c r="APN336" s="104"/>
      <c r="APO336" s="104"/>
      <c r="APP336" s="104"/>
      <c r="APQ336" s="104"/>
      <c r="APR336" s="104"/>
      <c r="APS336" s="104"/>
      <c r="APT336" s="104"/>
      <c r="APU336" s="104"/>
      <c r="APV336" s="104"/>
      <c r="APW336" s="104"/>
      <c r="APX336" s="104"/>
      <c r="APY336" s="104"/>
      <c r="APZ336" s="104"/>
      <c r="AQA336" s="104"/>
      <c r="AQB336" s="104"/>
      <c r="AQC336" s="104"/>
      <c r="AQD336" s="104"/>
      <c r="AQE336" s="104"/>
      <c r="AQF336" s="104"/>
      <c r="AQG336" s="104"/>
      <c r="AQH336" s="104"/>
      <c r="AQI336" s="104"/>
      <c r="AQJ336" s="104"/>
      <c r="AQK336" s="104"/>
      <c r="AQL336" s="104"/>
      <c r="AQM336" s="104"/>
      <c r="AQN336" s="104"/>
      <c r="AQO336" s="104"/>
      <c r="AQP336" s="104"/>
      <c r="AQQ336" s="104"/>
      <c r="AQR336" s="104"/>
      <c r="AQS336" s="104"/>
      <c r="AQT336" s="104"/>
      <c r="AQU336" s="104"/>
      <c r="AQV336" s="104"/>
      <c r="AQW336" s="104"/>
      <c r="AQX336" s="104"/>
      <c r="AQY336" s="104"/>
      <c r="AQZ336" s="104"/>
      <c r="ARA336" s="104"/>
      <c r="ARB336" s="104"/>
      <c r="ARC336" s="104"/>
      <c r="ARD336" s="104"/>
      <c r="ARE336" s="104"/>
      <c r="ARF336" s="104"/>
      <c r="ARG336" s="104"/>
      <c r="ARH336" s="104"/>
      <c r="ARI336" s="104"/>
      <c r="ARJ336" s="104"/>
      <c r="ARK336" s="104"/>
      <c r="ARL336" s="104"/>
      <c r="ARM336" s="104"/>
      <c r="ARN336" s="104"/>
      <c r="ARO336" s="104"/>
      <c r="ARP336" s="104"/>
      <c r="ARQ336" s="104"/>
      <c r="ARR336" s="104"/>
      <c r="ARS336" s="104"/>
      <c r="ART336" s="104"/>
      <c r="ARU336" s="104"/>
      <c r="ARV336" s="104"/>
      <c r="ARW336" s="104"/>
      <c r="ARX336" s="104"/>
      <c r="ARY336" s="104"/>
      <c r="ARZ336" s="104"/>
      <c r="ASA336" s="104"/>
      <c r="ASB336" s="104"/>
      <c r="ASC336" s="104"/>
      <c r="ASD336" s="104"/>
      <c r="ASE336" s="104"/>
      <c r="ASF336" s="104"/>
      <c r="ASG336" s="104"/>
      <c r="ASH336" s="104"/>
      <c r="ASI336" s="104"/>
      <c r="ASJ336" s="104"/>
      <c r="ASK336" s="104"/>
      <c r="ASL336" s="104"/>
      <c r="ASM336" s="104"/>
      <c r="ASN336" s="104"/>
      <c r="ASO336" s="104"/>
      <c r="ASP336" s="104"/>
      <c r="ASQ336" s="104"/>
      <c r="ASR336" s="104"/>
      <c r="ASS336" s="104"/>
      <c r="AST336" s="104"/>
      <c r="ASU336" s="104"/>
      <c r="ASV336" s="104"/>
      <c r="ASW336" s="104"/>
      <c r="ASX336" s="104"/>
      <c r="ASY336" s="104"/>
      <c r="ASZ336" s="104"/>
      <c r="ATA336" s="104"/>
      <c r="ATB336" s="104"/>
      <c r="ATC336" s="104"/>
      <c r="ATD336" s="104"/>
      <c r="ATE336" s="104"/>
      <c r="ATF336" s="104"/>
      <c r="ATG336" s="104"/>
      <c r="ATH336" s="104"/>
      <c r="ATI336" s="104"/>
      <c r="ATJ336" s="104"/>
      <c r="ATK336" s="104"/>
      <c r="ATL336" s="104"/>
      <c r="ATM336" s="104"/>
      <c r="ATN336" s="104"/>
      <c r="ATO336" s="104"/>
      <c r="ATP336" s="104"/>
      <c r="ATQ336" s="104"/>
      <c r="ATR336" s="104"/>
      <c r="ATS336" s="104"/>
      <c r="ATT336" s="104"/>
      <c r="ATU336" s="104"/>
      <c r="ATV336" s="104"/>
      <c r="ATW336" s="104"/>
      <c r="ATX336" s="104"/>
      <c r="ATY336" s="104"/>
      <c r="ATZ336" s="104"/>
      <c r="AUA336" s="104"/>
      <c r="AUB336" s="104"/>
      <c r="AUC336" s="104"/>
      <c r="AUD336" s="104"/>
      <c r="AUE336" s="104"/>
      <c r="AUF336" s="104"/>
      <c r="AUG336" s="104"/>
      <c r="AUH336" s="104"/>
      <c r="AUI336" s="104"/>
      <c r="AUJ336" s="104"/>
      <c r="AUK336" s="104"/>
      <c r="AUL336" s="104"/>
      <c r="AUM336" s="104"/>
      <c r="AUN336" s="104"/>
      <c r="AUO336" s="104"/>
      <c r="AUP336" s="104"/>
      <c r="AUQ336" s="104"/>
      <c r="AUR336" s="104"/>
      <c r="AUS336" s="104"/>
      <c r="AUT336" s="104"/>
      <c r="AUU336" s="104"/>
      <c r="AUV336" s="104"/>
      <c r="AUW336" s="104"/>
      <c r="AUX336" s="104"/>
      <c r="AUY336" s="104"/>
      <c r="AUZ336" s="104"/>
      <c r="AVA336" s="104"/>
      <c r="AVB336" s="104"/>
      <c r="AVC336" s="104"/>
      <c r="AVD336" s="104"/>
      <c r="AVE336" s="104"/>
      <c r="AVF336" s="104"/>
      <c r="AVG336" s="104"/>
      <c r="AVH336" s="104"/>
      <c r="AVI336" s="104"/>
      <c r="AVJ336" s="104"/>
      <c r="AVK336" s="104"/>
      <c r="AVL336" s="104"/>
      <c r="AVM336" s="104"/>
      <c r="AVN336" s="104"/>
      <c r="AVO336" s="104"/>
      <c r="AVP336" s="104"/>
      <c r="AVQ336" s="104"/>
      <c r="AVR336" s="104"/>
      <c r="AVS336" s="104"/>
      <c r="AVT336" s="104"/>
      <c r="AVU336" s="104"/>
      <c r="AVV336" s="104"/>
      <c r="AVW336" s="104"/>
      <c r="AVX336" s="104"/>
      <c r="AVY336" s="104"/>
      <c r="AVZ336" s="104"/>
      <c r="AWA336" s="104"/>
      <c r="AWB336" s="104"/>
      <c r="AWC336" s="104"/>
      <c r="AWD336" s="104"/>
      <c r="AWE336" s="104"/>
      <c r="AWF336" s="104"/>
      <c r="AWG336" s="104"/>
      <c r="AWH336" s="104"/>
      <c r="AWI336" s="104"/>
      <c r="AWJ336" s="104"/>
      <c r="AWK336" s="104"/>
      <c r="AWL336" s="104"/>
      <c r="AWM336" s="104"/>
      <c r="AWN336" s="104"/>
      <c r="AWO336" s="104"/>
      <c r="AWP336" s="104"/>
      <c r="AWQ336" s="104"/>
      <c r="AWR336" s="104"/>
      <c r="AWS336" s="104"/>
      <c r="AWT336" s="104"/>
      <c r="AWU336" s="104"/>
      <c r="AWV336" s="104"/>
      <c r="AWW336" s="104"/>
      <c r="AWX336" s="104"/>
      <c r="AWY336" s="104"/>
      <c r="AWZ336" s="104"/>
      <c r="AXA336" s="104"/>
      <c r="AXB336" s="104"/>
      <c r="AXC336" s="104"/>
      <c r="AXD336" s="104"/>
      <c r="AXE336" s="104"/>
      <c r="AXF336" s="104"/>
      <c r="AXG336" s="104"/>
      <c r="AXH336" s="104"/>
      <c r="AXI336" s="104"/>
      <c r="AXJ336" s="104"/>
      <c r="AXK336" s="104"/>
      <c r="AXL336" s="104"/>
      <c r="AXM336" s="104"/>
      <c r="AXN336" s="104"/>
      <c r="AXO336" s="104"/>
      <c r="AXP336" s="104"/>
      <c r="AXQ336" s="104"/>
      <c r="AXR336" s="104"/>
      <c r="AXS336" s="104"/>
      <c r="AXT336" s="104"/>
      <c r="AXU336" s="104"/>
      <c r="AXV336" s="104"/>
      <c r="AXW336" s="104"/>
      <c r="AXX336" s="104"/>
      <c r="AXY336" s="104"/>
      <c r="AXZ336" s="104"/>
      <c r="AYA336" s="104"/>
      <c r="AYB336" s="104"/>
      <c r="AYC336" s="104"/>
      <c r="AYD336" s="104"/>
      <c r="AYE336" s="104"/>
      <c r="AYF336" s="104"/>
      <c r="AYG336" s="104"/>
      <c r="AYH336" s="104"/>
      <c r="AYI336" s="104"/>
      <c r="AYJ336" s="104"/>
      <c r="AYK336" s="104"/>
      <c r="AYL336" s="104"/>
      <c r="AYM336" s="104"/>
      <c r="AYN336" s="104"/>
      <c r="AYO336" s="104"/>
      <c r="AYP336" s="104"/>
      <c r="AYQ336" s="104"/>
      <c r="AYR336" s="104"/>
      <c r="AYS336" s="104"/>
      <c r="AYT336" s="104"/>
      <c r="AYU336" s="104"/>
      <c r="AYV336" s="104"/>
      <c r="AYW336" s="104"/>
      <c r="AYX336" s="104"/>
      <c r="AYY336" s="104"/>
      <c r="AYZ336" s="104"/>
      <c r="AZA336" s="104"/>
      <c r="AZB336" s="104"/>
      <c r="AZC336" s="104"/>
      <c r="AZD336" s="104"/>
      <c r="AZE336" s="104"/>
      <c r="AZF336" s="104"/>
      <c r="AZG336" s="104"/>
      <c r="AZH336" s="104"/>
      <c r="AZI336" s="104"/>
      <c r="AZJ336" s="104"/>
      <c r="AZK336" s="104"/>
      <c r="AZL336" s="104"/>
      <c r="AZM336" s="104"/>
      <c r="AZN336" s="104"/>
      <c r="AZO336" s="104"/>
      <c r="AZP336" s="104"/>
      <c r="AZQ336" s="104"/>
      <c r="AZR336" s="104"/>
      <c r="AZS336" s="104"/>
      <c r="AZT336" s="104"/>
      <c r="AZU336" s="104"/>
      <c r="AZV336" s="104"/>
      <c r="AZW336" s="104"/>
      <c r="AZX336" s="104"/>
      <c r="AZY336" s="104"/>
      <c r="AZZ336" s="104"/>
      <c r="BAA336" s="104"/>
      <c r="BAB336" s="104"/>
      <c r="BAC336" s="104"/>
      <c r="BAD336" s="104"/>
      <c r="BAE336" s="104"/>
      <c r="BAF336" s="104"/>
      <c r="BAG336" s="104"/>
      <c r="BAH336" s="104"/>
      <c r="BAI336" s="104"/>
      <c r="BAJ336" s="104"/>
      <c r="BAK336" s="104"/>
      <c r="BAL336" s="104"/>
      <c r="BAM336" s="104"/>
      <c r="BAN336" s="104"/>
      <c r="BAO336" s="104"/>
      <c r="BAP336" s="104"/>
      <c r="BAQ336" s="104"/>
      <c r="BAR336" s="104"/>
      <c r="BAS336" s="104"/>
      <c r="BAT336" s="104"/>
      <c r="BAU336" s="104"/>
      <c r="BAV336" s="104"/>
      <c r="BAW336" s="104"/>
      <c r="BAX336" s="104"/>
      <c r="BAY336" s="104"/>
      <c r="BAZ336" s="104"/>
      <c r="BBA336" s="104"/>
      <c r="BBB336" s="104"/>
      <c r="BBC336" s="104"/>
      <c r="BBD336" s="104"/>
      <c r="BBE336" s="104"/>
      <c r="BBF336" s="104"/>
      <c r="BBG336" s="104"/>
      <c r="BBH336" s="104"/>
      <c r="BBI336" s="104"/>
      <c r="BBJ336" s="104"/>
      <c r="BBK336" s="104"/>
      <c r="BBL336" s="104"/>
      <c r="BBM336" s="104"/>
      <c r="BBN336" s="104"/>
      <c r="BBO336" s="104"/>
      <c r="BBP336" s="104"/>
      <c r="BBQ336" s="104"/>
      <c r="BBR336" s="104"/>
      <c r="BBS336" s="104"/>
      <c r="BBT336" s="104"/>
      <c r="BBU336" s="104"/>
      <c r="BBV336" s="104"/>
      <c r="BBW336" s="104"/>
      <c r="BBX336" s="104"/>
      <c r="BBY336" s="104"/>
      <c r="BBZ336" s="104"/>
      <c r="BCA336" s="104"/>
      <c r="BCB336" s="104"/>
      <c r="BCC336" s="104"/>
      <c r="BCD336" s="104"/>
      <c r="BCE336" s="104"/>
      <c r="BCF336" s="104"/>
      <c r="BCG336" s="104"/>
      <c r="BCH336" s="104"/>
      <c r="BCI336" s="104"/>
      <c r="BCJ336" s="104"/>
      <c r="BCK336" s="104"/>
      <c r="BCL336" s="104"/>
      <c r="BCM336" s="104"/>
      <c r="BCN336" s="104"/>
      <c r="BCO336" s="104"/>
      <c r="BCP336" s="104"/>
      <c r="BCQ336" s="104"/>
      <c r="BCR336" s="104"/>
      <c r="BCS336" s="104"/>
      <c r="BCT336" s="104"/>
      <c r="BCU336" s="104"/>
      <c r="BCV336" s="104"/>
      <c r="BCW336" s="104"/>
      <c r="BCX336" s="104"/>
      <c r="BCY336" s="104"/>
      <c r="BCZ336" s="104"/>
      <c r="BDA336" s="104"/>
      <c r="BDB336" s="104"/>
      <c r="BDC336" s="104"/>
      <c r="BDD336" s="104"/>
      <c r="BDE336" s="104"/>
      <c r="BDF336" s="104"/>
      <c r="BDG336" s="104"/>
      <c r="BDH336" s="104"/>
      <c r="BDI336" s="104"/>
      <c r="BDJ336" s="104"/>
      <c r="BDK336" s="104"/>
      <c r="BDL336" s="104"/>
      <c r="BDM336" s="104"/>
      <c r="BDN336" s="104"/>
      <c r="BDO336" s="104"/>
      <c r="BDP336" s="104"/>
      <c r="BDQ336" s="104"/>
      <c r="BDR336" s="104"/>
      <c r="BDS336" s="104"/>
      <c r="BDT336" s="104"/>
      <c r="BDU336" s="104"/>
      <c r="BDV336" s="104"/>
      <c r="BDW336" s="104"/>
      <c r="BDX336" s="104"/>
      <c r="BDY336" s="104"/>
      <c r="BDZ336" s="104"/>
      <c r="BEA336" s="104"/>
      <c r="BEB336" s="104"/>
      <c r="BEC336" s="104"/>
      <c r="BED336" s="104"/>
      <c r="BEE336" s="104"/>
      <c r="BEF336" s="104"/>
      <c r="BEG336" s="104"/>
      <c r="BEH336" s="104"/>
      <c r="BEI336" s="104"/>
      <c r="BEJ336" s="104"/>
      <c r="BEK336" s="104"/>
      <c r="BEL336" s="104"/>
      <c r="BEM336" s="104"/>
      <c r="BEN336" s="104"/>
      <c r="BEO336" s="104"/>
      <c r="BEP336" s="104"/>
      <c r="BEQ336" s="104"/>
      <c r="BER336" s="104"/>
      <c r="BES336" s="104"/>
      <c r="BET336" s="104"/>
      <c r="BEU336" s="104"/>
      <c r="BEV336" s="104"/>
      <c r="BEW336" s="104"/>
      <c r="BEX336" s="104"/>
      <c r="BEY336" s="104"/>
      <c r="BEZ336" s="104"/>
      <c r="BFA336" s="104"/>
      <c r="BFB336" s="104"/>
      <c r="BFC336" s="104"/>
      <c r="BFD336" s="104"/>
      <c r="BFE336" s="104"/>
      <c r="BFF336" s="104"/>
      <c r="BFG336" s="104"/>
      <c r="BFH336" s="104"/>
      <c r="BFI336" s="104"/>
      <c r="BFJ336" s="104"/>
      <c r="BFK336" s="104"/>
      <c r="BFL336" s="104"/>
      <c r="BFM336" s="104"/>
      <c r="BFN336" s="104"/>
      <c r="BFO336" s="104"/>
      <c r="BFP336" s="104"/>
      <c r="BFQ336" s="104"/>
      <c r="BFR336" s="104"/>
      <c r="BFS336" s="104"/>
      <c r="BFT336" s="104"/>
      <c r="BFU336" s="104"/>
      <c r="BFV336" s="104"/>
      <c r="BFW336" s="104"/>
      <c r="BFX336" s="104"/>
      <c r="BFY336" s="104"/>
      <c r="BFZ336" s="104"/>
      <c r="BGA336" s="104"/>
      <c r="BGB336" s="104"/>
      <c r="BGC336" s="104"/>
      <c r="BGD336" s="104"/>
      <c r="BGE336" s="104"/>
      <c r="BGF336" s="104"/>
      <c r="BGG336" s="104"/>
      <c r="BGH336" s="104"/>
      <c r="BGI336" s="104"/>
      <c r="BGJ336" s="104"/>
      <c r="BGK336" s="104"/>
      <c r="BGL336" s="104"/>
      <c r="BGM336" s="104"/>
      <c r="BGN336" s="104"/>
      <c r="BGO336" s="104"/>
      <c r="BGP336" s="104"/>
      <c r="BGQ336" s="104"/>
      <c r="BGR336" s="104"/>
      <c r="BGS336" s="104"/>
      <c r="BGT336" s="104"/>
      <c r="BGU336" s="104"/>
      <c r="BGV336" s="104"/>
      <c r="BGW336" s="104"/>
      <c r="BGX336" s="104"/>
      <c r="BGY336" s="104"/>
      <c r="BGZ336" s="104"/>
      <c r="BHA336" s="104"/>
      <c r="BHB336" s="104"/>
      <c r="BHC336" s="104"/>
      <c r="BHD336" s="104"/>
      <c r="BHE336" s="104"/>
      <c r="BHF336" s="104"/>
      <c r="BHG336" s="104"/>
      <c r="BHH336" s="104"/>
      <c r="BHI336" s="104"/>
      <c r="BHJ336" s="104"/>
      <c r="BHK336" s="104"/>
      <c r="BHL336" s="104"/>
      <c r="BHM336" s="104"/>
      <c r="BHN336" s="104"/>
      <c r="BHO336" s="104"/>
      <c r="BHP336" s="104"/>
      <c r="BHQ336" s="104"/>
      <c r="BHR336" s="104"/>
      <c r="BHS336" s="104"/>
      <c r="BHT336" s="104"/>
      <c r="BHU336" s="104"/>
      <c r="BHV336" s="104"/>
      <c r="BHW336" s="104"/>
      <c r="BHX336" s="104"/>
      <c r="BHY336" s="104"/>
      <c r="BHZ336" s="104"/>
      <c r="BIA336" s="104"/>
      <c r="BIB336" s="104"/>
      <c r="BIC336" s="104"/>
      <c r="BID336" s="104"/>
      <c r="BIE336" s="104"/>
      <c r="BIF336" s="104"/>
      <c r="BIG336" s="104"/>
      <c r="BIH336" s="104"/>
      <c r="BII336" s="104"/>
      <c r="BIJ336" s="104"/>
      <c r="BIK336" s="104"/>
      <c r="BIL336" s="104"/>
      <c r="BIM336" s="104"/>
      <c r="BIN336" s="104"/>
      <c r="BIO336" s="104"/>
      <c r="BIP336" s="104"/>
      <c r="BIQ336" s="104"/>
      <c r="BIR336" s="104"/>
      <c r="BIS336" s="104"/>
      <c r="BIT336" s="104"/>
      <c r="BIU336" s="104"/>
      <c r="BIV336" s="104"/>
      <c r="BIW336" s="104"/>
      <c r="BIX336" s="104"/>
      <c r="BIY336" s="104"/>
      <c r="BIZ336" s="104"/>
      <c r="BJA336" s="104"/>
      <c r="BJB336" s="104"/>
      <c r="BJC336" s="104"/>
      <c r="BJD336" s="104"/>
      <c r="BJE336" s="104"/>
      <c r="BJF336" s="104"/>
      <c r="BJG336" s="104"/>
      <c r="BJH336" s="104"/>
      <c r="BJI336" s="104"/>
      <c r="BJJ336" s="104"/>
      <c r="BJK336" s="104"/>
      <c r="BJL336" s="104"/>
      <c r="BJM336" s="104"/>
      <c r="BJN336" s="104"/>
      <c r="BJO336" s="104"/>
      <c r="BJP336" s="104"/>
      <c r="BJQ336" s="104"/>
      <c r="BJR336" s="104"/>
      <c r="BJS336" s="104"/>
      <c r="BJT336" s="104"/>
      <c r="BJU336" s="104"/>
      <c r="BJV336" s="104"/>
      <c r="BJW336" s="104"/>
      <c r="BJX336" s="104"/>
      <c r="BJY336" s="104"/>
      <c r="BJZ336" s="104"/>
      <c r="BKA336" s="104"/>
      <c r="BKB336" s="104"/>
      <c r="BKC336" s="104"/>
      <c r="BKD336" s="104"/>
      <c r="BKE336" s="104"/>
      <c r="BKF336" s="104"/>
      <c r="BKG336" s="104"/>
      <c r="BKH336" s="104"/>
      <c r="BKI336" s="104"/>
      <c r="BKJ336" s="104"/>
      <c r="BKK336" s="104"/>
      <c r="BKL336" s="104"/>
      <c r="BKM336" s="104"/>
      <c r="BKN336" s="104"/>
      <c r="BKO336" s="104"/>
      <c r="BKP336" s="104"/>
      <c r="BKQ336" s="104"/>
      <c r="BKR336" s="104"/>
      <c r="BKS336" s="104"/>
      <c r="BKT336" s="104"/>
      <c r="BKU336" s="104"/>
      <c r="BKV336" s="104"/>
      <c r="BKW336" s="104"/>
      <c r="BKX336" s="104"/>
      <c r="BKY336" s="104"/>
      <c r="BKZ336" s="104"/>
      <c r="BLA336" s="104"/>
      <c r="BLB336" s="104"/>
      <c r="BLC336" s="104"/>
      <c r="BLD336" s="104"/>
      <c r="BLE336" s="104"/>
      <c r="BLF336" s="104"/>
      <c r="BLG336" s="104"/>
      <c r="BLH336" s="104"/>
      <c r="BLI336" s="104"/>
      <c r="BLJ336" s="104"/>
      <c r="BLK336" s="104"/>
      <c r="BLL336" s="104"/>
      <c r="BLM336" s="104"/>
      <c r="BLN336" s="104"/>
      <c r="BLO336" s="104"/>
      <c r="BLP336" s="104"/>
      <c r="BLQ336" s="104"/>
      <c r="BLR336" s="104"/>
      <c r="BLS336" s="104"/>
      <c r="BLT336" s="104"/>
      <c r="BLU336" s="104"/>
      <c r="BLV336" s="104"/>
      <c r="BLW336" s="104"/>
      <c r="BLX336" s="104"/>
      <c r="BLY336" s="104"/>
      <c r="BLZ336" s="104"/>
      <c r="BMA336" s="104"/>
      <c r="BMB336" s="104"/>
      <c r="BMC336" s="104"/>
      <c r="BMD336" s="104"/>
      <c r="BME336" s="104"/>
      <c r="BMF336" s="104"/>
      <c r="BMG336" s="104"/>
      <c r="BMH336" s="104"/>
      <c r="BMI336" s="104"/>
      <c r="BMJ336" s="104"/>
      <c r="BMK336" s="104"/>
      <c r="BML336" s="104"/>
      <c r="BMM336" s="104"/>
      <c r="BMN336" s="104"/>
      <c r="BMO336" s="104"/>
      <c r="BMP336" s="104"/>
      <c r="BMQ336" s="104"/>
      <c r="BMR336" s="104"/>
      <c r="BMS336" s="104"/>
      <c r="BMT336" s="104"/>
      <c r="BMU336" s="104"/>
      <c r="BMV336" s="104"/>
      <c r="BMW336" s="104"/>
      <c r="BMX336" s="104"/>
      <c r="BMY336" s="104"/>
      <c r="BMZ336" s="104"/>
      <c r="BNA336" s="104"/>
      <c r="BNB336" s="104"/>
      <c r="BNC336" s="104"/>
      <c r="BND336" s="104"/>
      <c r="BNE336" s="104"/>
      <c r="BNF336" s="104"/>
      <c r="BNG336" s="104"/>
      <c r="BNH336" s="104"/>
      <c r="BNI336" s="104"/>
      <c r="BNJ336" s="104"/>
      <c r="BNK336" s="104"/>
      <c r="BNL336" s="104"/>
      <c r="BNM336" s="104"/>
      <c r="BNN336" s="104"/>
      <c r="BNO336" s="104"/>
      <c r="BNP336" s="104"/>
      <c r="BNQ336" s="104"/>
      <c r="BNR336" s="104"/>
      <c r="BNS336" s="104"/>
      <c r="BNT336" s="104"/>
      <c r="BNU336" s="104"/>
      <c r="BNV336" s="104"/>
      <c r="BNW336" s="104"/>
      <c r="BNX336" s="104"/>
      <c r="BNY336" s="104"/>
      <c r="BNZ336" s="104"/>
      <c r="BOA336" s="104"/>
      <c r="BOB336" s="104"/>
      <c r="BOC336" s="104"/>
      <c r="BOD336" s="104"/>
      <c r="BOE336" s="104"/>
      <c r="BOF336" s="104"/>
      <c r="BOG336" s="104"/>
      <c r="BOH336" s="104"/>
      <c r="BOI336" s="104"/>
      <c r="BOJ336" s="104"/>
      <c r="BOK336" s="104"/>
      <c r="BOL336" s="104"/>
      <c r="BOM336" s="104"/>
      <c r="BON336" s="104"/>
      <c r="BOO336" s="104"/>
      <c r="BOP336" s="104"/>
      <c r="BOQ336" s="104"/>
      <c r="BOR336" s="104"/>
      <c r="BOS336" s="104"/>
      <c r="BOT336" s="104"/>
      <c r="BOU336" s="104"/>
      <c r="BOV336" s="104"/>
      <c r="BOW336" s="104"/>
      <c r="BOX336" s="104"/>
      <c r="BOY336" s="104"/>
      <c r="BOZ336" s="104"/>
      <c r="BPA336" s="104"/>
      <c r="BPB336" s="104"/>
      <c r="BPC336" s="104"/>
      <c r="BPD336" s="104"/>
      <c r="BPE336" s="104"/>
      <c r="BPF336" s="104"/>
      <c r="BPG336" s="104"/>
      <c r="BPH336" s="104"/>
      <c r="BPI336" s="104"/>
      <c r="BPJ336" s="104"/>
      <c r="BPK336" s="104"/>
      <c r="BPL336" s="104"/>
      <c r="BPM336" s="104"/>
      <c r="BPN336" s="104"/>
      <c r="BPO336" s="104"/>
      <c r="BPP336" s="104"/>
      <c r="BPQ336" s="104"/>
      <c r="BPR336" s="104"/>
      <c r="BPS336" s="104"/>
      <c r="BPT336" s="104"/>
      <c r="BPU336" s="104"/>
      <c r="BPV336" s="104"/>
      <c r="BPW336" s="104"/>
      <c r="BPX336" s="104"/>
      <c r="BPY336" s="104"/>
      <c r="BPZ336" s="104"/>
      <c r="BQA336" s="104"/>
      <c r="BQB336" s="104"/>
      <c r="BQC336" s="104"/>
      <c r="BQD336" s="104"/>
      <c r="BQE336" s="104"/>
      <c r="BQF336" s="104"/>
      <c r="BQG336" s="104"/>
      <c r="BQH336" s="104"/>
      <c r="BQI336" s="104"/>
      <c r="BQJ336" s="104"/>
      <c r="BQK336" s="104"/>
      <c r="BQL336" s="104"/>
      <c r="BQM336" s="104"/>
      <c r="BQN336" s="104"/>
      <c r="BQO336" s="104"/>
      <c r="BQP336" s="104"/>
      <c r="BQQ336" s="104"/>
      <c r="BQR336" s="104"/>
      <c r="BQS336" s="104"/>
      <c r="BQT336" s="104"/>
      <c r="BQU336" s="104"/>
      <c r="BQV336" s="104"/>
      <c r="BQW336" s="104"/>
      <c r="BQX336" s="104"/>
      <c r="BQY336" s="104"/>
      <c r="BQZ336" s="104"/>
      <c r="BRA336" s="104"/>
      <c r="BRB336" s="104"/>
      <c r="BRC336" s="104"/>
      <c r="BRD336" s="104"/>
      <c r="BRE336" s="104"/>
      <c r="BRF336" s="104"/>
      <c r="BRG336" s="104"/>
      <c r="BRH336" s="104"/>
      <c r="BRI336" s="104"/>
      <c r="BRJ336" s="104"/>
      <c r="BRK336" s="104"/>
      <c r="BRL336" s="104"/>
      <c r="BRM336" s="104"/>
      <c r="BRN336" s="104"/>
      <c r="BRO336" s="104"/>
      <c r="BRP336" s="104"/>
      <c r="BRQ336" s="104"/>
      <c r="BRR336" s="104"/>
      <c r="BRS336" s="104"/>
      <c r="BRT336" s="104"/>
      <c r="BRU336" s="104"/>
      <c r="BRV336" s="104"/>
      <c r="BRW336" s="104"/>
      <c r="BRX336" s="104"/>
      <c r="BRY336" s="104"/>
      <c r="BRZ336" s="104"/>
      <c r="BSA336" s="104"/>
      <c r="BSB336" s="104"/>
      <c r="BSC336" s="104"/>
      <c r="BSD336" s="104"/>
      <c r="BSE336" s="104"/>
      <c r="BSF336" s="104"/>
      <c r="BSG336" s="104"/>
      <c r="BSH336" s="104"/>
      <c r="BSI336" s="104"/>
      <c r="BSJ336" s="104"/>
      <c r="BSK336" s="104"/>
      <c r="BSL336" s="104"/>
      <c r="BSM336" s="104"/>
      <c r="BSN336" s="104"/>
      <c r="BSO336" s="104"/>
      <c r="BSP336" s="104"/>
      <c r="BSQ336" s="104"/>
      <c r="BSR336" s="104"/>
      <c r="BSS336" s="104"/>
      <c r="BST336" s="104"/>
      <c r="BSU336" s="104"/>
      <c r="BSV336" s="104"/>
      <c r="BSW336" s="104"/>
      <c r="BSX336" s="104"/>
      <c r="BSY336" s="104"/>
      <c r="BSZ336" s="104"/>
      <c r="BTA336" s="104"/>
      <c r="BTB336" s="104"/>
      <c r="BTC336" s="104"/>
      <c r="BTD336" s="104"/>
      <c r="BTE336" s="104"/>
      <c r="BTF336" s="104"/>
      <c r="BTG336" s="104"/>
      <c r="BTH336" s="104"/>
      <c r="BTI336" s="104"/>
      <c r="BTJ336" s="104"/>
      <c r="BTK336" s="104"/>
      <c r="BTL336" s="104"/>
      <c r="BTM336" s="104"/>
      <c r="BTN336" s="104"/>
      <c r="BTO336" s="104"/>
      <c r="BTP336" s="104"/>
      <c r="BTQ336" s="104"/>
      <c r="BTR336" s="104"/>
      <c r="BTS336" s="104"/>
      <c r="BTT336" s="104"/>
      <c r="BTU336" s="104"/>
      <c r="BTV336" s="104"/>
      <c r="BTW336" s="104"/>
      <c r="BTX336" s="104"/>
      <c r="BTY336" s="104"/>
      <c r="BTZ336" s="104"/>
      <c r="BUA336" s="104"/>
      <c r="BUB336" s="104"/>
      <c r="BUC336" s="104"/>
      <c r="BUD336" s="104"/>
      <c r="BUE336" s="104"/>
      <c r="BUF336" s="104"/>
      <c r="BUG336" s="104"/>
      <c r="BUH336" s="104"/>
      <c r="BUI336" s="104"/>
      <c r="BUJ336" s="104"/>
      <c r="BUK336" s="104"/>
      <c r="BUL336" s="104"/>
      <c r="BUM336" s="104"/>
      <c r="BUN336" s="104"/>
      <c r="BUO336" s="104"/>
      <c r="BUP336" s="104"/>
      <c r="BUQ336" s="104"/>
      <c r="BUR336" s="104"/>
      <c r="BUS336" s="104"/>
      <c r="BUT336" s="104"/>
      <c r="BUU336" s="104"/>
      <c r="BUV336" s="104"/>
      <c r="BUW336" s="104"/>
      <c r="BUX336" s="104"/>
      <c r="BUY336" s="104"/>
      <c r="BUZ336" s="104"/>
      <c r="BVA336" s="104"/>
      <c r="BVB336" s="104"/>
      <c r="BVC336" s="104"/>
      <c r="BVD336" s="104"/>
      <c r="BVE336" s="104"/>
      <c r="BVF336" s="104"/>
      <c r="BVG336" s="104"/>
      <c r="BVH336" s="104"/>
      <c r="BVI336" s="104"/>
      <c r="BVJ336" s="104"/>
      <c r="BVK336" s="104"/>
      <c r="BVL336" s="104"/>
      <c r="BVM336" s="104"/>
      <c r="BVN336" s="104"/>
      <c r="BVO336" s="104"/>
      <c r="BVP336" s="104"/>
      <c r="BVQ336" s="104"/>
      <c r="BVR336" s="104"/>
      <c r="BVS336" s="104"/>
      <c r="BVT336" s="104"/>
      <c r="BVU336" s="104"/>
      <c r="BVV336" s="104"/>
      <c r="BVW336" s="104"/>
      <c r="BVX336" s="104"/>
      <c r="BVY336" s="104"/>
      <c r="BVZ336" s="104"/>
      <c r="BWA336" s="104"/>
      <c r="BWB336" s="104"/>
      <c r="BWC336" s="104"/>
      <c r="BWD336" s="104"/>
      <c r="BWE336" s="104"/>
      <c r="BWF336" s="104"/>
      <c r="BWG336" s="104"/>
      <c r="BWH336" s="104"/>
      <c r="BWI336" s="104"/>
      <c r="BWJ336" s="104"/>
      <c r="BWK336" s="104"/>
      <c r="BWL336" s="104"/>
      <c r="BWM336" s="104"/>
      <c r="BWN336" s="104"/>
      <c r="BWO336" s="104"/>
      <c r="BWP336" s="104"/>
      <c r="BWQ336" s="104"/>
      <c r="BWR336" s="104"/>
      <c r="BWS336" s="104"/>
      <c r="BWT336" s="104"/>
      <c r="BWU336" s="104"/>
      <c r="BWV336" s="104"/>
      <c r="BWW336" s="104"/>
      <c r="BWX336" s="104"/>
      <c r="BWY336" s="104"/>
      <c r="BWZ336" s="104"/>
      <c r="BXA336" s="104"/>
      <c r="BXB336" s="104"/>
      <c r="BXC336" s="104"/>
      <c r="BXD336" s="104"/>
      <c r="BXE336" s="104"/>
      <c r="BXF336" s="104"/>
      <c r="BXG336" s="104"/>
      <c r="BXH336" s="104"/>
      <c r="BXI336" s="104"/>
      <c r="BXJ336" s="104"/>
      <c r="BXK336" s="104"/>
      <c r="BXL336" s="104"/>
      <c r="BXM336" s="104"/>
      <c r="BXN336" s="104"/>
      <c r="BXO336" s="104"/>
      <c r="BXP336" s="104"/>
      <c r="BXQ336" s="104"/>
      <c r="BXR336" s="104"/>
      <c r="BXS336" s="104"/>
      <c r="BXT336" s="104"/>
      <c r="BXU336" s="104"/>
      <c r="BXV336" s="104"/>
      <c r="BXW336" s="104"/>
      <c r="BXX336" s="104"/>
      <c r="BXY336" s="104"/>
      <c r="BXZ336" s="104"/>
      <c r="BYA336" s="104"/>
      <c r="BYB336" s="104"/>
      <c r="BYC336" s="104"/>
      <c r="BYD336" s="104"/>
      <c r="BYE336" s="104"/>
      <c r="BYF336" s="104"/>
      <c r="BYG336" s="104"/>
      <c r="BYH336" s="104"/>
      <c r="BYI336" s="104"/>
      <c r="BYJ336" s="104"/>
      <c r="BYK336" s="104"/>
      <c r="BYL336" s="104"/>
      <c r="BYM336" s="104"/>
      <c r="BYN336" s="104"/>
      <c r="BYO336" s="104"/>
      <c r="BYP336" s="104"/>
      <c r="BYQ336" s="104"/>
      <c r="BYR336" s="104"/>
      <c r="BYS336" s="104"/>
      <c r="BYT336" s="104"/>
      <c r="BYU336" s="104"/>
      <c r="BYV336" s="104"/>
      <c r="BYW336" s="104"/>
      <c r="BYX336" s="104"/>
      <c r="BYY336" s="104"/>
      <c r="BYZ336" s="104"/>
      <c r="BZA336" s="104"/>
      <c r="BZB336" s="104"/>
      <c r="BZC336" s="104"/>
      <c r="BZD336" s="104"/>
      <c r="BZE336" s="104"/>
      <c r="BZF336" s="104"/>
      <c r="BZG336" s="104"/>
      <c r="BZH336" s="104"/>
      <c r="BZI336" s="104"/>
      <c r="BZJ336" s="104"/>
      <c r="BZK336" s="104"/>
      <c r="BZL336" s="104"/>
      <c r="BZM336" s="104"/>
      <c r="BZN336" s="104"/>
      <c r="BZO336" s="104"/>
      <c r="BZP336" s="104"/>
      <c r="BZQ336" s="104"/>
      <c r="BZR336" s="104"/>
      <c r="BZS336" s="104"/>
      <c r="BZT336" s="104"/>
      <c r="BZU336" s="104"/>
      <c r="BZV336" s="104"/>
      <c r="BZW336" s="104"/>
      <c r="BZX336" s="104"/>
      <c r="BZY336" s="104"/>
      <c r="BZZ336" s="104"/>
      <c r="CAA336" s="104"/>
      <c r="CAB336" s="104"/>
      <c r="CAC336" s="104"/>
      <c r="CAD336" s="104"/>
      <c r="CAE336" s="104"/>
      <c r="CAF336" s="104"/>
      <c r="CAG336" s="104"/>
      <c r="CAH336" s="104"/>
      <c r="CAI336" s="104"/>
      <c r="CAJ336" s="104"/>
      <c r="CAK336" s="104"/>
      <c r="CAL336" s="104"/>
      <c r="CAM336" s="104"/>
      <c r="CAN336" s="104"/>
      <c r="CAO336" s="104"/>
      <c r="CAP336" s="104"/>
      <c r="CAQ336" s="104"/>
      <c r="CAR336" s="104"/>
      <c r="CAS336" s="104"/>
      <c r="CAT336" s="104"/>
      <c r="CAU336" s="104"/>
      <c r="CAV336" s="104"/>
      <c r="CAW336" s="104"/>
      <c r="CAX336" s="104"/>
      <c r="CAY336" s="104"/>
      <c r="CAZ336" s="104"/>
      <c r="CBA336" s="104"/>
      <c r="CBB336" s="104"/>
      <c r="CBC336" s="104"/>
      <c r="CBD336" s="104"/>
      <c r="CBE336" s="104"/>
      <c r="CBF336" s="104"/>
      <c r="CBG336" s="104"/>
      <c r="CBH336" s="104"/>
      <c r="CBI336" s="104"/>
      <c r="CBJ336" s="104"/>
      <c r="CBK336" s="104"/>
      <c r="CBL336" s="104"/>
      <c r="CBM336" s="104"/>
      <c r="CBN336" s="104"/>
      <c r="CBO336" s="104"/>
      <c r="CBP336" s="104"/>
      <c r="CBQ336" s="104"/>
      <c r="CBR336" s="104"/>
      <c r="CBS336" s="104"/>
      <c r="CBT336" s="104"/>
      <c r="CBU336" s="104"/>
      <c r="CBV336" s="104"/>
      <c r="CBW336" s="104"/>
      <c r="CBX336" s="104"/>
      <c r="CBY336" s="104"/>
      <c r="CBZ336" s="104"/>
      <c r="CCA336" s="104"/>
      <c r="CCB336" s="104"/>
      <c r="CCC336" s="104"/>
      <c r="CCD336" s="104"/>
      <c r="CCE336" s="104"/>
      <c r="CCF336" s="104"/>
      <c r="CCG336" s="104"/>
      <c r="CCH336" s="104"/>
      <c r="CCI336" s="104"/>
      <c r="CCJ336" s="104"/>
      <c r="CCK336" s="104"/>
      <c r="CCL336" s="104"/>
      <c r="CCM336" s="104"/>
      <c r="CCN336" s="104"/>
      <c r="CCO336" s="104"/>
      <c r="CCP336" s="104"/>
      <c r="CCQ336" s="104"/>
      <c r="CCR336" s="104"/>
      <c r="CCS336" s="104"/>
      <c r="CCT336" s="104"/>
      <c r="CCU336" s="104"/>
      <c r="CCV336" s="104"/>
      <c r="CCW336" s="104"/>
      <c r="CCX336" s="104"/>
      <c r="CCY336" s="104"/>
      <c r="CCZ336" s="104"/>
      <c r="CDA336" s="104"/>
      <c r="CDB336" s="104"/>
      <c r="CDC336" s="104"/>
      <c r="CDD336" s="104"/>
      <c r="CDE336" s="104"/>
      <c r="CDF336" s="104"/>
      <c r="CDG336" s="104"/>
      <c r="CDH336" s="104"/>
      <c r="CDI336" s="104"/>
      <c r="CDJ336" s="104"/>
      <c r="CDK336" s="104"/>
      <c r="CDL336" s="104"/>
      <c r="CDM336" s="104"/>
      <c r="CDN336" s="104"/>
      <c r="CDO336" s="104"/>
      <c r="CDP336" s="104"/>
      <c r="CDQ336" s="104"/>
      <c r="CDR336" s="104"/>
      <c r="CDS336" s="104"/>
      <c r="CDT336" s="104"/>
      <c r="CDU336" s="104"/>
      <c r="CDV336" s="104"/>
      <c r="CDW336" s="104"/>
      <c r="CDX336" s="104"/>
      <c r="CDY336" s="104"/>
      <c r="CDZ336" s="104"/>
      <c r="CEA336" s="104"/>
      <c r="CEB336" s="104"/>
      <c r="CEC336" s="104"/>
      <c r="CED336" s="104"/>
      <c r="CEE336" s="104"/>
      <c r="CEF336" s="104"/>
      <c r="CEG336" s="104"/>
      <c r="CEH336" s="104"/>
      <c r="CEI336" s="104"/>
      <c r="CEJ336" s="104"/>
      <c r="CEK336" s="104"/>
      <c r="CEL336" s="104"/>
      <c r="CEM336" s="104"/>
      <c r="CEN336" s="104"/>
      <c r="CEO336" s="104"/>
      <c r="CEP336" s="104"/>
      <c r="CEQ336" s="104"/>
      <c r="CER336" s="104"/>
      <c r="CES336" s="104"/>
      <c r="CET336" s="104"/>
      <c r="CEU336" s="104"/>
      <c r="CEV336" s="104"/>
      <c r="CEW336" s="104"/>
      <c r="CEX336" s="104"/>
      <c r="CEY336" s="104"/>
      <c r="CEZ336" s="104"/>
      <c r="CFA336" s="104"/>
      <c r="CFB336" s="104"/>
      <c r="CFC336" s="104"/>
      <c r="CFD336" s="104"/>
      <c r="CFE336" s="104"/>
      <c r="CFF336" s="104"/>
      <c r="CFG336" s="104"/>
      <c r="CFH336" s="104"/>
      <c r="CFI336" s="104"/>
      <c r="CFJ336" s="104"/>
      <c r="CFK336" s="104"/>
      <c r="CFL336" s="104"/>
      <c r="CFM336" s="104"/>
      <c r="CFN336" s="104"/>
      <c r="CFO336" s="104"/>
      <c r="CFP336" s="104"/>
      <c r="CFQ336" s="104"/>
      <c r="CFR336" s="104"/>
      <c r="CFS336" s="104"/>
      <c r="CFT336" s="104"/>
      <c r="CFU336" s="104"/>
      <c r="CFV336" s="104"/>
      <c r="CFW336" s="104"/>
      <c r="CFX336" s="104"/>
      <c r="CFY336" s="104"/>
      <c r="CFZ336" s="104"/>
      <c r="CGA336" s="104"/>
      <c r="CGB336" s="104"/>
      <c r="CGC336" s="104"/>
      <c r="CGD336" s="104"/>
      <c r="CGE336" s="104"/>
      <c r="CGF336" s="104"/>
      <c r="CGG336" s="104"/>
      <c r="CGH336" s="104"/>
      <c r="CGI336" s="104"/>
      <c r="CGJ336" s="104"/>
      <c r="CGK336" s="104"/>
      <c r="CGL336" s="104"/>
      <c r="CGM336" s="104"/>
      <c r="CGN336" s="104"/>
      <c r="CGO336" s="104"/>
      <c r="CGP336" s="104"/>
      <c r="CGQ336" s="104"/>
      <c r="CGR336" s="104"/>
      <c r="CGS336" s="104"/>
      <c r="CGT336" s="104"/>
      <c r="CGU336" s="104"/>
      <c r="CGV336" s="104"/>
      <c r="CGW336" s="104"/>
      <c r="CGX336" s="104"/>
      <c r="CGY336" s="104"/>
      <c r="CGZ336" s="104"/>
      <c r="CHA336" s="104"/>
      <c r="CHB336" s="104"/>
      <c r="CHC336" s="104"/>
      <c r="CHD336" s="104"/>
      <c r="CHE336" s="104"/>
      <c r="CHF336" s="104"/>
      <c r="CHG336" s="104"/>
      <c r="CHH336" s="104"/>
      <c r="CHI336" s="104"/>
      <c r="CHJ336" s="104"/>
      <c r="CHK336" s="104"/>
      <c r="CHL336" s="104"/>
      <c r="CHM336" s="104"/>
      <c r="CHN336" s="104"/>
      <c r="CHO336" s="104"/>
      <c r="CHP336" s="104"/>
      <c r="CHQ336" s="104"/>
      <c r="CHR336" s="104"/>
      <c r="CHS336" s="104"/>
      <c r="CHT336" s="104"/>
      <c r="CHU336" s="104"/>
      <c r="CHV336" s="104"/>
      <c r="CHW336" s="104"/>
      <c r="CHX336" s="104"/>
      <c r="CHY336" s="104"/>
      <c r="CHZ336" s="104"/>
      <c r="CIA336" s="104"/>
      <c r="CIB336" s="104"/>
      <c r="CIC336" s="104"/>
      <c r="CID336" s="104"/>
      <c r="CIE336" s="104"/>
      <c r="CIF336" s="104"/>
      <c r="CIG336" s="104"/>
      <c r="CIH336" s="104"/>
      <c r="CII336" s="104"/>
      <c r="CIJ336" s="104"/>
      <c r="CIK336" s="104"/>
      <c r="CIL336" s="104"/>
      <c r="CIM336" s="104"/>
      <c r="CIN336" s="104"/>
      <c r="CIO336" s="104"/>
      <c r="CIP336" s="104"/>
      <c r="CIQ336" s="104"/>
      <c r="CIR336" s="104"/>
      <c r="CIS336" s="104"/>
      <c r="CIT336" s="104"/>
      <c r="CIU336" s="104"/>
      <c r="CIV336" s="104"/>
      <c r="CIW336" s="104"/>
      <c r="CIX336" s="104"/>
      <c r="CIY336" s="104"/>
      <c r="CIZ336" s="104"/>
      <c r="CJA336" s="104"/>
      <c r="CJB336" s="104"/>
      <c r="CJC336" s="104"/>
      <c r="CJD336" s="104"/>
      <c r="CJE336" s="104"/>
      <c r="CJF336" s="104"/>
      <c r="CJG336" s="104"/>
      <c r="CJH336" s="104"/>
      <c r="CJI336" s="104"/>
      <c r="CJJ336" s="104"/>
      <c r="CJK336" s="104"/>
      <c r="CJL336" s="104"/>
      <c r="CJM336" s="104"/>
      <c r="CJN336" s="104"/>
      <c r="CJO336" s="104"/>
      <c r="CJP336" s="104"/>
      <c r="CJQ336" s="104"/>
      <c r="CJR336" s="104"/>
      <c r="CJS336" s="104"/>
      <c r="CJT336" s="104"/>
      <c r="CJU336" s="104"/>
      <c r="CJV336" s="104"/>
      <c r="CJW336" s="104"/>
      <c r="CJX336" s="104"/>
      <c r="CJY336" s="104"/>
      <c r="CJZ336" s="104"/>
      <c r="CKA336" s="104"/>
      <c r="CKB336" s="104"/>
      <c r="CKC336" s="104"/>
      <c r="CKD336" s="104"/>
      <c r="CKE336" s="104"/>
      <c r="CKF336" s="104"/>
      <c r="CKG336" s="104"/>
      <c r="CKH336" s="104"/>
      <c r="CKI336" s="104"/>
      <c r="CKJ336" s="104"/>
      <c r="CKK336" s="104"/>
      <c r="CKL336" s="104"/>
      <c r="CKM336" s="104"/>
      <c r="CKN336" s="104"/>
      <c r="CKO336" s="104"/>
      <c r="CKP336" s="104"/>
      <c r="CKQ336" s="104"/>
      <c r="CKR336" s="104"/>
      <c r="CKS336" s="104"/>
      <c r="CKT336" s="104"/>
      <c r="CKU336" s="104"/>
      <c r="CKV336" s="104"/>
      <c r="CKW336" s="104"/>
      <c r="CKX336" s="104"/>
      <c r="CKY336" s="104"/>
      <c r="CKZ336" s="104"/>
      <c r="CLA336" s="104"/>
      <c r="CLB336" s="104"/>
      <c r="CLC336" s="104"/>
      <c r="CLD336" s="104"/>
      <c r="CLE336" s="104"/>
      <c r="CLF336" s="104"/>
      <c r="CLG336" s="104"/>
      <c r="CLH336" s="104"/>
      <c r="CLI336" s="104"/>
      <c r="CLJ336" s="104"/>
      <c r="CLK336" s="104"/>
      <c r="CLL336" s="104"/>
      <c r="CLM336" s="104"/>
      <c r="CLN336" s="104"/>
      <c r="CLO336" s="104"/>
      <c r="CLP336" s="104"/>
      <c r="CLQ336" s="104"/>
      <c r="CLR336" s="104"/>
      <c r="CLS336" s="104"/>
      <c r="CLT336" s="104"/>
      <c r="CLU336" s="104"/>
      <c r="CLV336" s="104"/>
      <c r="CLW336" s="104"/>
      <c r="CLX336" s="104"/>
      <c r="CLY336" s="104"/>
      <c r="CLZ336" s="104"/>
      <c r="CMA336" s="104"/>
      <c r="CMB336" s="104"/>
      <c r="CMC336" s="104"/>
      <c r="CMD336" s="104"/>
      <c r="CME336" s="104"/>
      <c r="CMF336" s="104"/>
      <c r="CMG336" s="104"/>
      <c r="CMH336" s="104"/>
      <c r="CMI336" s="104"/>
      <c r="CMJ336" s="104"/>
      <c r="CMK336" s="104"/>
      <c r="CML336" s="104"/>
      <c r="CMM336" s="104"/>
      <c r="CMN336" s="104"/>
      <c r="CMO336" s="104"/>
      <c r="CMP336" s="104"/>
      <c r="CMQ336" s="104"/>
      <c r="CMR336" s="104"/>
      <c r="CMS336" s="104"/>
      <c r="CMT336" s="104"/>
      <c r="CMU336" s="104"/>
      <c r="CMV336" s="104"/>
      <c r="CMW336" s="104"/>
      <c r="CMX336" s="104"/>
      <c r="CMY336" s="104"/>
      <c r="CMZ336" s="104"/>
      <c r="CNA336" s="104"/>
      <c r="CNB336" s="104"/>
      <c r="CNC336" s="104"/>
      <c r="CND336" s="104"/>
      <c r="CNE336" s="104"/>
      <c r="CNF336" s="104"/>
      <c r="CNG336" s="104"/>
      <c r="CNH336" s="104"/>
      <c r="CNI336" s="104"/>
      <c r="CNJ336" s="104"/>
      <c r="CNK336" s="104"/>
      <c r="CNL336" s="104"/>
      <c r="CNM336" s="104"/>
      <c r="CNN336" s="104"/>
      <c r="CNO336" s="104"/>
      <c r="CNP336" s="104"/>
      <c r="CNQ336" s="104"/>
      <c r="CNR336" s="104"/>
      <c r="CNS336" s="104"/>
      <c r="CNT336" s="104"/>
      <c r="CNU336" s="104"/>
      <c r="CNV336" s="104"/>
      <c r="CNW336" s="104"/>
      <c r="CNX336" s="104"/>
      <c r="CNY336" s="104"/>
      <c r="CNZ336" s="104"/>
      <c r="COA336" s="104"/>
      <c r="COB336" s="104"/>
      <c r="COC336" s="104"/>
      <c r="COD336" s="104"/>
      <c r="COE336" s="104"/>
      <c r="COF336" s="104"/>
      <c r="COG336" s="104"/>
      <c r="COH336" s="104"/>
      <c r="COI336" s="104"/>
      <c r="COJ336" s="104"/>
      <c r="COK336" s="104"/>
      <c r="COL336" s="104"/>
      <c r="COM336" s="104"/>
      <c r="CON336" s="104"/>
      <c r="COO336" s="104"/>
      <c r="COP336" s="104"/>
      <c r="COQ336" s="104"/>
      <c r="COR336" s="104"/>
      <c r="COS336" s="104"/>
      <c r="COT336" s="104"/>
      <c r="COU336" s="104"/>
      <c r="COV336" s="104"/>
      <c r="COW336" s="104"/>
      <c r="COX336" s="104"/>
      <c r="COY336" s="104"/>
      <c r="COZ336" s="104"/>
      <c r="CPA336" s="104"/>
      <c r="CPB336" s="104"/>
      <c r="CPC336" s="104"/>
      <c r="CPD336" s="104"/>
      <c r="CPE336" s="104"/>
      <c r="CPF336" s="104"/>
      <c r="CPG336" s="104"/>
      <c r="CPH336" s="104"/>
      <c r="CPI336" s="104"/>
      <c r="CPJ336" s="104"/>
      <c r="CPK336" s="104"/>
      <c r="CPL336" s="104"/>
      <c r="CPM336" s="104"/>
      <c r="CPN336" s="104"/>
      <c r="CPO336" s="104"/>
      <c r="CPP336" s="104"/>
      <c r="CPQ336" s="104"/>
      <c r="CPR336" s="104"/>
      <c r="CPS336" s="104"/>
      <c r="CPT336" s="104"/>
      <c r="CPU336" s="104"/>
      <c r="CPV336" s="104"/>
      <c r="CPW336" s="104"/>
      <c r="CPX336" s="104"/>
      <c r="CPY336" s="104"/>
      <c r="CPZ336" s="104"/>
      <c r="CQA336" s="104"/>
      <c r="CQB336" s="104"/>
      <c r="CQC336" s="104"/>
      <c r="CQD336" s="104"/>
      <c r="CQE336" s="104"/>
      <c r="CQF336" s="104"/>
      <c r="CQG336" s="104"/>
      <c r="CQH336" s="104"/>
      <c r="CQI336" s="104"/>
      <c r="CQJ336" s="104"/>
      <c r="CQK336" s="104"/>
      <c r="CQL336" s="104"/>
      <c r="CQM336" s="104"/>
      <c r="CQN336" s="104"/>
      <c r="CQO336" s="104"/>
      <c r="CQP336" s="104"/>
      <c r="CQQ336" s="104"/>
      <c r="CQR336" s="104"/>
      <c r="CQS336" s="104"/>
      <c r="CQT336" s="104"/>
      <c r="CQU336" s="104"/>
      <c r="CQV336" s="104"/>
      <c r="CQW336" s="104"/>
      <c r="CQX336" s="104"/>
      <c r="CQY336" s="104"/>
      <c r="CQZ336" s="104"/>
      <c r="CRA336" s="104"/>
      <c r="CRB336" s="104"/>
      <c r="CRC336" s="104"/>
      <c r="CRD336" s="104"/>
      <c r="CRE336" s="104"/>
      <c r="CRF336" s="104"/>
      <c r="CRG336" s="104"/>
      <c r="CRH336" s="104"/>
      <c r="CRI336" s="104"/>
      <c r="CRJ336" s="104"/>
      <c r="CRK336" s="104"/>
      <c r="CRL336" s="104"/>
      <c r="CRM336" s="104"/>
      <c r="CRN336" s="104"/>
      <c r="CRO336" s="104"/>
      <c r="CRP336" s="104"/>
      <c r="CRQ336" s="104"/>
      <c r="CRR336" s="104"/>
      <c r="CRS336" s="104"/>
      <c r="CRT336" s="104"/>
      <c r="CRU336" s="104"/>
      <c r="CRV336" s="104"/>
      <c r="CRW336" s="104"/>
      <c r="CRX336" s="104"/>
      <c r="CRY336" s="104"/>
      <c r="CRZ336" s="104"/>
      <c r="CSA336" s="104"/>
      <c r="CSB336" s="104"/>
      <c r="CSC336" s="104"/>
      <c r="CSD336" s="104"/>
      <c r="CSE336" s="104"/>
      <c r="CSF336" s="104"/>
      <c r="CSG336" s="104"/>
      <c r="CSH336" s="104"/>
      <c r="CSI336" s="104"/>
      <c r="CSJ336" s="104"/>
      <c r="CSK336" s="104"/>
      <c r="CSL336" s="104"/>
      <c r="CSM336" s="104"/>
      <c r="CSN336" s="104"/>
      <c r="CSO336" s="104"/>
      <c r="CSP336" s="104"/>
      <c r="CSQ336" s="104"/>
      <c r="CSR336" s="104"/>
      <c r="CSS336" s="104"/>
      <c r="CST336" s="104"/>
      <c r="CSU336" s="104"/>
      <c r="CSV336" s="104"/>
      <c r="CSW336" s="104"/>
      <c r="CSX336" s="104"/>
      <c r="CSY336" s="104"/>
      <c r="CSZ336" s="104"/>
      <c r="CTA336" s="104"/>
      <c r="CTB336" s="104"/>
      <c r="CTC336" s="104"/>
      <c r="CTD336" s="104"/>
      <c r="CTE336" s="104"/>
      <c r="CTF336" s="104"/>
      <c r="CTG336" s="104"/>
      <c r="CTH336" s="104"/>
      <c r="CTI336" s="104"/>
      <c r="CTJ336" s="104"/>
      <c r="CTK336" s="104"/>
      <c r="CTL336" s="104"/>
      <c r="CTM336" s="104"/>
      <c r="CTN336" s="104"/>
      <c r="CTO336" s="104"/>
      <c r="CTP336" s="104"/>
      <c r="CTQ336" s="104"/>
      <c r="CTR336" s="104"/>
      <c r="CTS336" s="104"/>
      <c r="CTT336" s="104"/>
      <c r="CTU336" s="104"/>
      <c r="CTV336" s="104"/>
      <c r="CTW336" s="104"/>
      <c r="CTX336" s="104"/>
      <c r="CTY336" s="104"/>
      <c r="CTZ336" s="104"/>
      <c r="CUA336" s="104"/>
    </row>
    <row r="337" s="78" customFormat="1" spans="1:2575">
      <c r="A337" s="115"/>
      <c r="B337" s="116"/>
      <c r="C337" s="116"/>
      <c r="D337" s="116"/>
      <c r="E337" s="116"/>
      <c r="F337" s="116"/>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c r="BE337" s="104"/>
      <c r="BF337" s="104"/>
      <c r="BG337" s="104"/>
      <c r="BH337" s="104"/>
      <c r="BI337" s="104"/>
      <c r="BJ337" s="104"/>
      <c r="BK337" s="104"/>
      <c r="BL337" s="104"/>
      <c r="BM337" s="104"/>
      <c r="BN337" s="104"/>
      <c r="BO337" s="104"/>
      <c r="BP337" s="104"/>
      <c r="BQ337" s="104"/>
      <c r="BR337" s="104"/>
      <c r="BS337" s="104"/>
      <c r="BT337" s="104"/>
      <c r="BU337" s="104"/>
      <c r="BV337" s="104"/>
      <c r="BW337" s="104"/>
      <c r="BX337" s="104"/>
      <c r="BY337" s="104"/>
      <c r="BZ337" s="104"/>
      <c r="CA337" s="104"/>
      <c r="CB337" s="104"/>
      <c r="CC337" s="104"/>
      <c r="CD337" s="104"/>
      <c r="CE337" s="104"/>
      <c r="CF337" s="104"/>
      <c r="CG337" s="104"/>
      <c r="CH337" s="104"/>
      <c r="CI337" s="104"/>
      <c r="CJ337" s="104"/>
      <c r="CK337" s="104"/>
      <c r="CL337" s="104"/>
      <c r="CM337" s="104"/>
      <c r="CN337" s="104"/>
      <c r="CO337" s="104"/>
      <c r="CP337" s="104"/>
      <c r="CQ337" s="104"/>
      <c r="CR337" s="104"/>
      <c r="CS337" s="104"/>
      <c r="CT337" s="104"/>
      <c r="CU337" s="104"/>
      <c r="CV337" s="104"/>
      <c r="CW337" s="104"/>
      <c r="CX337" s="104"/>
      <c r="CY337" s="104"/>
      <c r="CZ337" s="104"/>
      <c r="DA337" s="104"/>
      <c r="DB337" s="104"/>
      <c r="DC337" s="104"/>
      <c r="DD337" s="104"/>
      <c r="DE337" s="104"/>
      <c r="DF337" s="104"/>
      <c r="DG337" s="104"/>
      <c r="DH337" s="104"/>
      <c r="DI337" s="104"/>
      <c r="DJ337" s="104"/>
      <c r="DK337" s="104"/>
      <c r="DL337" s="104"/>
      <c r="DM337" s="104"/>
      <c r="DN337" s="104"/>
      <c r="DO337" s="104"/>
      <c r="DP337" s="104"/>
      <c r="DQ337" s="104"/>
      <c r="DR337" s="104"/>
      <c r="DS337" s="104"/>
      <c r="DT337" s="104"/>
      <c r="DU337" s="104"/>
      <c r="DV337" s="104"/>
      <c r="DW337" s="104"/>
      <c r="DX337" s="104"/>
      <c r="DY337" s="104"/>
      <c r="DZ337" s="104"/>
      <c r="EA337" s="104"/>
      <c r="EB337" s="104"/>
      <c r="EC337" s="104"/>
      <c r="ED337" s="104"/>
      <c r="EE337" s="104"/>
      <c r="EF337" s="104"/>
      <c r="EG337" s="104"/>
      <c r="EH337" s="104"/>
      <c r="EI337" s="104"/>
      <c r="EJ337" s="104"/>
      <c r="EK337" s="104"/>
      <c r="EL337" s="104"/>
      <c r="EM337" s="104"/>
      <c r="EN337" s="104"/>
      <c r="EO337" s="104"/>
      <c r="EP337" s="104"/>
      <c r="EQ337" s="104"/>
      <c r="ER337" s="104"/>
      <c r="ES337" s="104"/>
      <c r="ET337" s="104"/>
      <c r="EU337" s="104"/>
      <c r="EV337" s="104"/>
      <c r="EW337" s="104"/>
      <c r="EX337" s="104"/>
      <c r="EY337" s="104"/>
      <c r="EZ337" s="104"/>
      <c r="FA337" s="104"/>
      <c r="FB337" s="104"/>
      <c r="FC337" s="104"/>
      <c r="FD337" s="104"/>
      <c r="FE337" s="104"/>
      <c r="FF337" s="104"/>
      <c r="FG337" s="104"/>
      <c r="FH337" s="104"/>
      <c r="FI337" s="104"/>
      <c r="FJ337" s="104"/>
      <c r="FK337" s="104"/>
      <c r="FL337" s="104"/>
      <c r="FM337" s="104"/>
      <c r="FN337" s="104"/>
      <c r="FO337" s="104"/>
      <c r="FP337" s="104"/>
      <c r="FQ337" s="104"/>
      <c r="FR337" s="104"/>
      <c r="FS337" s="104"/>
      <c r="FT337" s="104"/>
      <c r="FU337" s="104"/>
      <c r="FV337" s="104"/>
      <c r="FW337" s="104"/>
      <c r="FX337" s="104"/>
      <c r="FY337" s="104"/>
      <c r="FZ337" s="104"/>
      <c r="GA337" s="104"/>
      <c r="GB337" s="104"/>
      <c r="GC337" s="104"/>
      <c r="GD337" s="104"/>
      <c r="GE337" s="104"/>
      <c r="GF337" s="104"/>
      <c r="GG337" s="104"/>
      <c r="GH337" s="104"/>
      <c r="GI337" s="104"/>
      <c r="GJ337" s="104"/>
      <c r="GK337" s="104"/>
      <c r="GL337" s="104"/>
      <c r="GM337" s="104"/>
      <c r="GN337" s="104"/>
      <c r="GO337" s="104"/>
      <c r="GP337" s="104"/>
      <c r="GQ337" s="104"/>
      <c r="GR337" s="104"/>
      <c r="GS337" s="104"/>
      <c r="GT337" s="104"/>
      <c r="GU337" s="104"/>
      <c r="GV337" s="104"/>
      <c r="GW337" s="104"/>
      <c r="GX337" s="104"/>
      <c r="GY337" s="104"/>
      <c r="GZ337" s="104"/>
      <c r="HA337" s="104"/>
      <c r="HB337" s="104"/>
      <c r="HC337" s="104"/>
      <c r="HD337" s="104"/>
      <c r="HE337" s="104"/>
      <c r="HF337" s="104"/>
      <c r="HG337" s="104"/>
      <c r="HH337" s="104"/>
      <c r="HI337" s="104"/>
      <c r="HJ337" s="104"/>
      <c r="HK337" s="104"/>
      <c r="HL337" s="104"/>
      <c r="HM337" s="104"/>
      <c r="HN337" s="104"/>
      <c r="HO337" s="104"/>
      <c r="HP337" s="104"/>
      <c r="HQ337" s="104"/>
      <c r="HR337" s="104"/>
      <c r="HS337" s="104"/>
      <c r="HT337" s="104"/>
      <c r="HU337" s="104"/>
      <c r="HV337" s="104"/>
      <c r="HW337" s="104"/>
      <c r="HX337" s="104"/>
      <c r="HY337" s="104"/>
      <c r="HZ337" s="104"/>
      <c r="IA337" s="104"/>
      <c r="IB337" s="104"/>
      <c r="IC337" s="104"/>
      <c r="ID337" s="104"/>
      <c r="IE337" s="104"/>
      <c r="IF337" s="104"/>
      <c r="IG337" s="104"/>
      <c r="IH337" s="104"/>
      <c r="II337" s="104"/>
      <c r="IJ337" s="104"/>
      <c r="IK337" s="104"/>
      <c r="IL337" s="104"/>
      <c r="IM337" s="104"/>
      <c r="IN337" s="104"/>
      <c r="IO337" s="104"/>
      <c r="IP337" s="104"/>
      <c r="IQ337" s="104"/>
      <c r="IR337" s="104"/>
      <c r="IS337" s="104"/>
      <c r="IT337" s="104"/>
      <c r="IU337" s="104"/>
      <c r="IV337" s="104"/>
      <c r="IW337" s="104"/>
      <c r="IX337" s="104"/>
      <c r="IY337" s="104"/>
      <c r="IZ337" s="104"/>
      <c r="JA337" s="104"/>
      <c r="JB337" s="104"/>
      <c r="JC337" s="104"/>
      <c r="JD337" s="104"/>
      <c r="JE337" s="104"/>
      <c r="JF337" s="104"/>
      <c r="JG337" s="104"/>
      <c r="JH337" s="104"/>
      <c r="JI337" s="104"/>
      <c r="JJ337" s="104"/>
      <c r="JK337" s="104"/>
      <c r="JL337" s="104"/>
      <c r="JM337" s="104"/>
      <c r="JN337" s="104"/>
      <c r="JO337" s="104"/>
      <c r="JP337" s="104"/>
      <c r="JQ337" s="104"/>
      <c r="JR337" s="104"/>
      <c r="JS337" s="104"/>
      <c r="JT337" s="104"/>
      <c r="JU337" s="104"/>
      <c r="JV337" s="104"/>
      <c r="JW337" s="104"/>
      <c r="JX337" s="104"/>
      <c r="JY337" s="104"/>
      <c r="JZ337" s="104"/>
      <c r="KA337" s="104"/>
      <c r="KB337" s="104"/>
      <c r="KC337" s="104"/>
      <c r="KD337" s="104"/>
      <c r="KE337" s="104"/>
      <c r="KF337" s="104"/>
      <c r="KG337" s="104"/>
      <c r="KH337" s="104"/>
      <c r="KI337" s="104"/>
      <c r="KJ337" s="104"/>
      <c r="KK337" s="104"/>
      <c r="KL337" s="104"/>
      <c r="KM337" s="104"/>
      <c r="KN337" s="104"/>
      <c r="KO337" s="104"/>
      <c r="KP337" s="104"/>
      <c r="KQ337" s="104"/>
      <c r="KR337" s="104"/>
      <c r="KS337" s="104"/>
      <c r="KT337" s="104"/>
      <c r="KU337" s="104"/>
      <c r="KV337" s="104"/>
      <c r="KW337" s="104"/>
      <c r="KX337" s="104"/>
      <c r="KY337" s="104"/>
      <c r="KZ337" s="104"/>
      <c r="LA337" s="104"/>
      <c r="LB337" s="104"/>
      <c r="LC337" s="104"/>
      <c r="LD337" s="104"/>
      <c r="LE337" s="104"/>
      <c r="LF337" s="104"/>
      <c r="LG337" s="104"/>
      <c r="LH337" s="104"/>
      <c r="LI337" s="104"/>
      <c r="LJ337" s="104"/>
      <c r="LK337" s="104"/>
      <c r="LL337" s="104"/>
      <c r="LM337" s="104"/>
      <c r="LN337" s="104"/>
      <c r="LO337" s="104"/>
      <c r="LP337" s="104"/>
      <c r="LQ337" s="104"/>
      <c r="LR337" s="104"/>
      <c r="LS337" s="104"/>
      <c r="LT337" s="104"/>
      <c r="LU337" s="104"/>
      <c r="LV337" s="104"/>
      <c r="LW337" s="104"/>
      <c r="LX337" s="104"/>
      <c r="LY337" s="104"/>
      <c r="LZ337" s="104"/>
      <c r="MA337" s="104"/>
      <c r="MB337" s="104"/>
      <c r="MC337" s="104"/>
      <c r="MD337" s="104"/>
      <c r="ME337" s="104"/>
      <c r="MF337" s="104"/>
      <c r="MG337" s="104"/>
      <c r="MH337" s="104"/>
      <c r="MI337" s="104"/>
      <c r="MJ337" s="104"/>
      <c r="MK337" s="104"/>
      <c r="ML337" s="104"/>
      <c r="MM337" s="104"/>
      <c r="MN337" s="104"/>
      <c r="MO337" s="104"/>
      <c r="MP337" s="104"/>
      <c r="MQ337" s="104"/>
      <c r="MR337" s="104"/>
      <c r="MS337" s="104"/>
      <c r="MT337" s="104"/>
      <c r="MU337" s="104"/>
      <c r="MV337" s="104"/>
      <c r="MW337" s="104"/>
      <c r="MX337" s="104"/>
      <c r="MY337" s="104"/>
      <c r="MZ337" s="104"/>
      <c r="NA337" s="104"/>
      <c r="NB337" s="104"/>
      <c r="NC337" s="104"/>
      <c r="ND337" s="104"/>
      <c r="NE337" s="104"/>
      <c r="NF337" s="104"/>
      <c r="NG337" s="104"/>
      <c r="NH337" s="104"/>
      <c r="NI337" s="104"/>
      <c r="NJ337" s="104"/>
      <c r="NK337" s="104"/>
      <c r="NL337" s="104"/>
      <c r="NM337" s="104"/>
      <c r="NN337" s="104"/>
      <c r="NO337" s="104"/>
      <c r="NP337" s="104"/>
      <c r="NQ337" s="104"/>
      <c r="NR337" s="104"/>
      <c r="NS337" s="104"/>
      <c r="NT337" s="104"/>
      <c r="NU337" s="104"/>
      <c r="NV337" s="104"/>
      <c r="NW337" s="104"/>
      <c r="NX337" s="104"/>
      <c r="NY337" s="104"/>
      <c r="NZ337" s="104"/>
      <c r="OA337" s="104"/>
      <c r="OB337" s="104"/>
      <c r="OC337" s="104"/>
      <c r="OD337" s="104"/>
      <c r="OE337" s="104"/>
      <c r="OF337" s="104"/>
      <c r="OG337" s="104"/>
      <c r="OH337" s="104"/>
      <c r="OI337" s="104"/>
      <c r="OJ337" s="104"/>
      <c r="OK337" s="104"/>
      <c r="OL337" s="104"/>
      <c r="OM337" s="104"/>
      <c r="ON337" s="104"/>
      <c r="OO337" s="104"/>
      <c r="OP337" s="104"/>
      <c r="OQ337" s="104"/>
      <c r="OR337" s="104"/>
      <c r="OS337" s="104"/>
      <c r="OT337" s="104"/>
      <c r="OU337" s="104"/>
      <c r="OV337" s="104"/>
      <c r="OW337" s="104"/>
      <c r="OX337" s="104"/>
      <c r="OY337" s="104"/>
      <c r="OZ337" s="104"/>
      <c r="PA337" s="104"/>
      <c r="PB337" s="104"/>
      <c r="PC337" s="104"/>
      <c r="PD337" s="104"/>
      <c r="PE337" s="104"/>
      <c r="PF337" s="104"/>
      <c r="PG337" s="104"/>
      <c r="PH337" s="104"/>
      <c r="PI337" s="104"/>
      <c r="PJ337" s="104"/>
      <c r="PK337" s="104"/>
      <c r="PL337" s="104"/>
      <c r="PM337" s="104"/>
      <c r="PN337" s="104"/>
      <c r="PO337" s="104"/>
      <c r="PP337" s="104"/>
      <c r="PQ337" s="104"/>
      <c r="PR337" s="104"/>
      <c r="PS337" s="104"/>
      <c r="PT337" s="104"/>
      <c r="PU337" s="104"/>
      <c r="PV337" s="104"/>
      <c r="PW337" s="104"/>
      <c r="PX337" s="104"/>
      <c r="PY337" s="104"/>
      <c r="PZ337" s="104"/>
      <c r="QA337" s="104"/>
      <c r="QB337" s="104"/>
      <c r="QC337" s="104"/>
      <c r="QD337" s="104"/>
      <c r="QE337" s="104"/>
      <c r="QF337" s="104"/>
      <c r="QG337" s="104"/>
      <c r="QH337" s="104"/>
      <c r="QI337" s="104"/>
      <c r="QJ337" s="104"/>
      <c r="QK337" s="104"/>
      <c r="QL337" s="104"/>
      <c r="QM337" s="104"/>
      <c r="QN337" s="104"/>
      <c r="QO337" s="104"/>
      <c r="QP337" s="104"/>
      <c r="QQ337" s="104"/>
      <c r="QR337" s="104"/>
      <c r="QS337" s="104"/>
      <c r="QT337" s="104"/>
      <c r="QU337" s="104"/>
      <c r="QV337" s="104"/>
      <c r="QW337" s="104"/>
      <c r="QX337" s="104"/>
      <c r="QY337" s="104"/>
      <c r="QZ337" s="104"/>
      <c r="RA337" s="104"/>
      <c r="RB337" s="104"/>
      <c r="RC337" s="104"/>
      <c r="RD337" s="104"/>
      <c r="RE337" s="104"/>
      <c r="RF337" s="104"/>
      <c r="RG337" s="104"/>
      <c r="RH337" s="104"/>
      <c r="RI337" s="104"/>
      <c r="RJ337" s="104"/>
      <c r="RK337" s="104"/>
      <c r="RL337" s="104"/>
      <c r="RM337" s="104"/>
      <c r="RN337" s="104"/>
      <c r="RO337" s="104"/>
      <c r="RP337" s="104"/>
      <c r="RQ337" s="104"/>
      <c r="RR337" s="104"/>
      <c r="RS337" s="104"/>
      <c r="RT337" s="104"/>
      <c r="RU337" s="104"/>
      <c r="RV337" s="104"/>
      <c r="RW337" s="104"/>
      <c r="RX337" s="104"/>
      <c r="RY337" s="104"/>
      <c r="RZ337" s="104"/>
      <c r="SA337" s="104"/>
      <c r="SB337" s="104"/>
      <c r="SC337" s="104"/>
      <c r="SD337" s="104"/>
      <c r="SE337" s="104"/>
      <c r="SF337" s="104"/>
      <c r="SG337" s="104"/>
      <c r="SH337" s="104"/>
      <c r="SI337" s="104"/>
      <c r="SJ337" s="104"/>
      <c r="SK337" s="104"/>
      <c r="SL337" s="104"/>
      <c r="SM337" s="104"/>
      <c r="SN337" s="104"/>
      <c r="SO337" s="104"/>
      <c r="SP337" s="104"/>
      <c r="SQ337" s="104"/>
      <c r="SR337" s="104"/>
      <c r="SS337" s="104"/>
      <c r="ST337" s="104"/>
      <c r="SU337" s="104"/>
      <c r="SV337" s="104"/>
      <c r="SW337" s="104"/>
      <c r="SX337" s="104"/>
      <c r="SY337" s="104"/>
      <c r="SZ337" s="104"/>
      <c r="TA337" s="104"/>
      <c r="TB337" s="104"/>
      <c r="TC337" s="104"/>
      <c r="TD337" s="104"/>
      <c r="TE337" s="104"/>
      <c r="TF337" s="104"/>
      <c r="TG337" s="104"/>
      <c r="TH337" s="104"/>
      <c r="TI337" s="104"/>
      <c r="TJ337" s="104"/>
      <c r="TK337" s="104"/>
      <c r="TL337" s="104"/>
      <c r="TM337" s="104"/>
      <c r="TN337" s="104"/>
      <c r="TO337" s="104"/>
      <c r="TP337" s="104"/>
      <c r="TQ337" s="104"/>
      <c r="TR337" s="104"/>
      <c r="TS337" s="104"/>
      <c r="TT337" s="104"/>
      <c r="TU337" s="104"/>
      <c r="TV337" s="104"/>
      <c r="TW337" s="104"/>
      <c r="TX337" s="104"/>
      <c r="TY337" s="104"/>
      <c r="TZ337" s="104"/>
      <c r="UA337" s="104"/>
      <c r="UB337" s="104"/>
      <c r="UC337" s="104"/>
      <c r="UD337" s="104"/>
      <c r="UE337" s="104"/>
      <c r="UF337" s="104"/>
      <c r="UG337" s="104"/>
      <c r="UH337" s="104"/>
      <c r="UI337" s="104"/>
      <c r="UJ337" s="104"/>
      <c r="UK337" s="104"/>
      <c r="UL337" s="104"/>
      <c r="UM337" s="104"/>
      <c r="UN337" s="104"/>
      <c r="UO337" s="104"/>
      <c r="UP337" s="104"/>
      <c r="UQ337" s="104"/>
      <c r="UR337" s="104"/>
      <c r="US337" s="104"/>
      <c r="UT337" s="104"/>
      <c r="UU337" s="104"/>
      <c r="UV337" s="104"/>
      <c r="UW337" s="104"/>
      <c r="UX337" s="104"/>
      <c r="UY337" s="104"/>
      <c r="UZ337" s="104"/>
      <c r="VA337" s="104"/>
      <c r="VB337" s="104"/>
      <c r="VC337" s="104"/>
      <c r="VD337" s="104"/>
      <c r="VE337" s="104"/>
      <c r="VF337" s="104"/>
      <c r="VG337" s="104"/>
      <c r="VH337" s="104"/>
      <c r="VI337" s="104"/>
      <c r="VJ337" s="104"/>
      <c r="VK337" s="104"/>
      <c r="VL337" s="104"/>
      <c r="VM337" s="104"/>
      <c r="VN337" s="104"/>
      <c r="VO337" s="104"/>
      <c r="VP337" s="104"/>
      <c r="VQ337" s="104"/>
      <c r="VR337" s="104"/>
      <c r="VS337" s="104"/>
      <c r="VT337" s="104"/>
      <c r="VU337" s="104"/>
      <c r="VV337" s="104"/>
      <c r="VW337" s="104"/>
      <c r="VX337" s="104"/>
      <c r="VY337" s="104"/>
      <c r="VZ337" s="104"/>
      <c r="WA337" s="104"/>
      <c r="WB337" s="104"/>
      <c r="WC337" s="104"/>
      <c r="WD337" s="104"/>
      <c r="WE337" s="104"/>
      <c r="WF337" s="104"/>
      <c r="WG337" s="104"/>
      <c r="WH337" s="104"/>
      <c r="WI337" s="104"/>
      <c r="WJ337" s="104"/>
      <c r="WK337" s="104"/>
      <c r="WL337" s="104"/>
      <c r="WM337" s="104"/>
      <c r="WN337" s="104"/>
      <c r="WO337" s="104"/>
      <c r="WP337" s="104"/>
      <c r="WQ337" s="104"/>
      <c r="WR337" s="104"/>
      <c r="WS337" s="104"/>
      <c r="WT337" s="104"/>
      <c r="WU337" s="104"/>
      <c r="WV337" s="104"/>
      <c r="WW337" s="104"/>
      <c r="WX337" s="104"/>
      <c r="WY337" s="104"/>
      <c r="WZ337" s="104"/>
      <c r="XA337" s="104"/>
      <c r="XB337" s="104"/>
      <c r="XC337" s="104"/>
      <c r="XD337" s="104"/>
      <c r="XE337" s="104"/>
      <c r="XF337" s="104"/>
      <c r="XG337" s="104"/>
      <c r="XH337" s="104"/>
      <c r="XI337" s="104"/>
      <c r="XJ337" s="104"/>
      <c r="XK337" s="104"/>
      <c r="XL337" s="104"/>
      <c r="XM337" s="104"/>
      <c r="XN337" s="104"/>
      <c r="XO337" s="104"/>
      <c r="XP337" s="104"/>
      <c r="XQ337" s="104"/>
      <c r="XR337" s="104"/>
      <c r="XS337" s="104"/>
      <c r="XT337" s="104"/>
      <c r="XU337" s="104"/>
      <c r="XV337" s="104"/>
      <c r="XW337" s="104"/>
      <c r="XX337" s="104"/>
      <c r="XY337" s="104"/>
      <c r="XZ337" s="104"/>
      <c r="YA337" s="104"/>
      <c r="YB337" s="104"/>
      <c r="YC337" s="104"/>
      <c r="YD337" s="104"/>
      <c r="YE337" s="104"/>
      <c r="YF337" s="104"/>
      <c r="YG337" s="104"/>
      <c r="YH337" s="104"/>
      <c r="YI337" s="104"/>
      <c r="YJ337" s="104"/>
      <c r="YK337" s="104"/>
      <c r="YL337" s="104"/>
      <c r="YM337" s="104"/>
      <c r="YN337" s="104"/>
      <c r="YO337" s="104"/>
      <c r="YP337" s="104"/>
      <c r="YQ337" s="104"/>
      <c r="YR337" s="104"/>
      <c r="YS337" s="104"/>
      <c r="YT337" s="104"/>
      <c r="YU337" s="104"/>
      <c r="YV337" s="104"/>
      <c r="YW337" s="104"/>
      <c r="YX337" s="104"/>
      <c r="YY337" s="104"/>
      <c r="YZ337" s="104"/>
      <c r="ZA337" s="104"/>
      <c r="ZB337" s="104"/>
      <c r="ZC337" s="104"/>
      <c r="ZD337" s="104"/>
      <c r="ZE337" s="104"/>
      <c r="ZF337" s="104"/>
      <c r="ZG337" s="104"/>
      <c r="ZH337" s="104"/>
      <c r="ZI337" s="104"/>
      <c r="ZJ337" s="104"/>
      <c r="ZK337" s="104"/>
      <c r="ZL337" s="104"/>
      <c r="ZM337" s="104"/>
      <c r="ZN337" s="104"/>
      <c r="ZO337" s="104"/>
      <c r="ZP337" s="104"/>
      <c r="ZQ337" s="104"/>
      <c r="ZR337" s="104"/>
      <c r="ZS337" s="104"/>
      <c r="ZT337" s="104"/>
      <c r="ZU337" s="104"/>
      <c r="ZV337" s="104"/>
      <c r="ZW337" s="104"/>
      <c r="ZX337" s="104"/>
      <c r="ZY337" s="104"/>
      <c r="ZZ337" s="104"/>
      <c r="AAA337" s="104"/>
      <c r="AAB337" s="104"/>
      <c r="AAC337" s="104"/>
      <c r="AAD337" s="104"/>
      <c r="AAE337" s="104"/>
      <c r="AAF337" s="104"/>
      <c r="AAG337" s="104"/>
      <c r="AAH337" s="104"/>
      <c r="AAI337" s="104"/>
      <c r="AAJ337" s="104"/>
      <c r="AAK337" s="104"/>
      <c r="AAL337" s="104"/>
      <c r="AAM337" s="104"/>
      <c r="AAN337" s="104"/>
      <c r="AAO337" s="104"/>
      <c r="AAP337" s="104"/>
      <c r="AAQ337" s="104"/>
      <c r="AAR337" s="104"/>
      <c r="AAS337" s="104"/>
      <c r="AAT337" s="104"/>
      <c r="AAU337" s="104"/>
      <c r="AAV337" s="104"/>
      <c r="AAW337" s="104"/>
      <c r="AAX337" s="104"/>
      <c r="AAY337" s="104"/>
      <c r="AAZ337" s="104"/>
      <c r="ABA337" s="104"/>
      <c r="ABB337" s="104"/>
      <c r="ABC337" s="104"/>
      <c r="ABD337" s="104"/>
      <c r="ABE337" s="104"/>
      <c r="ABF337" s="104"/>
      <c r="ABG337" s="104"/>
      <c r="ABH337" s="104"/>
      <c r="ABI337" s="104"/>
      <c r="ABJ337" s="104"/>
      <c r="ABK337" s="104"/>
      <c r="ABL337" s="104"/>
      <c r="ABM337" s="104"/>
      <c r="ABN337" s="104"/>
      <c r="ABO337" s="104"/>
      <c r="ABP337" s="104"/>
      <c r="ABQ337" s="104"/>
      <c r="ABR337" s="104"/>
      <c r="ABS337" s="104"/>
      <c r="ABT337" s="104"/>
      <c r="ABU337" s="104"/>
      <c r="ABV337" s="104"/>
      <c r="ABW337" s="104"/>
      <c r="ABX337" s="104"/>
      <c r="ABY337" s="104"/>
      <c r="ABZ337" s="104"/>
      <c r="ACA337" s="104"/>
      <c r="ACB337" s="104"/>
      <c r="ACC337" s="104"/>
      <c r="ACD337" s="104"/>
      <c r="ACE337" s="104"/>
      <c r="ACF337" s="104"/>
      <c r="ACG337" s="104"/>
      <c r="ACH337" s="104"/>
      <c r="ACI337" s="104"/>
      <c r="ACJ337" s="104"/>
      <c r="ACK337" s="104"/>
      <c r="ACL337" s="104"/>
      <c r="ACM337" s="104"/>
      <c r="ACN337" s="104"/>
      <c r="ACO337" s="104"/>
      <c r="ACP337" s="104"/>
      <c r="ACQ337" s="104"/>
      <c r="ACR337" s="104"/>
      <c r="ACS337" s="104"/>
      <c r="ACT337" s="104"/>
      <c r="ACU337" s="104"/>
      <c r="ACV337" s="104"/>
      <c r="ACW337" s="104"/>
      <c r="ACX337" s="104"/>
      <c r="ACY337" s="104"/>
      <c r="ACZ337" s="104"/>
      <c r="ADA337" s="104"/>
      <c r="ADB337" s="104"/>
      <c r="ADC337" s="104"/>
      <c r="ADD337" s="104"/>
      <c r="ADE337" s="104"/>
      <c r="ADF337" s="104"/>
      <c r="ADG337" s="104"/>
      <c r="ADH337" s="104"/>
      <c r="ADI337" s="104"/>
      <c r="ADJ337" s="104"/>
      <c r="ADK337" s="104"/>
      <c r="ADL337" s="104"/>
      <c r="ADM337" s="104"/>
      <c r="ADN337" s="104"/>
      <c r="ADO337" s="104"/>
      <c r="ADP337" s="104"/>
      <c r="ADQ337" s="104"/>
      <c r="ADR337" s="104"/>
      <c r="ADS337" s="104"/>
      <c r="ADT337" s="104"/>
      <c r="ADU337" s="104"/>
      <c r="ADV337" s="104"/>
      <c r="ADW337" s="104"/>
      <c r="ADX337" s="104"/>
      <c r="ADY337" s="104"/>
      <c r="ADZ337" s="104"/>
      <c r="AEA337" s="104"/>
      <c r="AEB337" s="104"/>
      <c r="AEC337" s="104"/>
      <c r="AED337" s="104"/>
      <c r="AEE337" s="104"/>
      <c r="AEF337" s="104"/>
      <c r="AEG337" s="104"/>
      <c r="AEH337" s="104"/>
      <c r="AEI337" s="104"/>
      <c r="AEJ337" s="104"/>
      <c r="AEK337" s="104"/>
      <c r="AEL337" s="104"/>
      <c r="AEM337" s="104"/>
      <c r="AEN337" s="104"/>
      <c r="AEO337" s="104"/>
      <c r="AEP337" s="104"/>
      <c r="AEQ337" s="104"/>
      <c r="AER337" s="104"/>
      <c r="AES337" s="104"/>
      <c r="AET337" s="104"/>
      <c r="AEU337" s="104"/>
      <c r="AEV337" s="104"/>
      <c r="AEW337" s="104"/>
      <c r="AEX337" s="104"/>
      <c r="AEY337" s="104"/>
      <c r="AEZ337" s="104"/>
      <c r="AFA337" s="104"/>
      <c r="AFB337" s="104"/>
      <c r="AFC337" s="104"/>
      <c r="AFD337" s="104"/>
      <c r="AFE337" s="104"/>
      <c r="AFF337" s="104"/>
      <c r="AFG337" s="104"/>
      <c r="AFH337" s="104"/>
      <c r="AFI337" s="104"/>
      <c r="AFJ337" s="104"/>
      <c r="AFK337" s="104"/>
      <c r="AFL337" s="104"/>
      <c r="AFM337" s="104"/>
      <c r="AFN337" s="104"/>
      <c r="AFO337" s="104"/>
      <c r="AFP337" s="104"/>
      <c r="AFQ337" s="104"/>
      <c r="AFR337" s="104"/>
      <c r="AFS337" s="104"/>
      <c r="AFT337" s="104"/>
      <c r="AFU337" s="104"/>
      <c r="AFV337" s="104"/>
      <c r="AFW337" s="104"/>
      <c r="AFX337" s="104"/>
      <c r="AFY337" s="104"/>
      <c r="AFZ337" s="104"/>
      <c r="AGA337" s="104"/>
      <c r="AGB337" s="104"/>
      <c r="AGC337" s="104"/>
      <c r="AGD337" s="104"/>
      <c r="AGE337" s="104"/>
      <c r="AGF337" s="104"/>
      <c r="AGG337" s="104"/>
      <c r="AGH337" s="104"/>
      <c r="AGI337" s="104"/>
      <c r="AGJ337" s="104"/>
      <c r="AGK337" s="104"/>
      <c r="AGL337" s="104"/>
      <c r="AGM337" s="104"/>
      <c r="AGN337" s="104"/>
      <c r="AGO337" s="104"/>
      <c r="AGP337" s="104"/>
      <c r="AGQ337" s="104"/>
      <c r="AGR337" s="104"/>
      <c r="AGS337" s="104"/>
      <c r="AGT337" s="104"/>
      <c r="AGU337" s="104"/>
      <c r="AGV337" s="104"/>
      <c r="AGW337" s="104"/>
      <c r="AGX337" s="104"/>
      <c r="AGY337" s="104"/>
      <c r="AGZ337" s="104"/>
      <c r="AHA337" s="104"/>
      <c r="AHB337" s="104"/>
      <c r="AHC337" s="104"/>
      <c r="AHD337" s="104"/>
      <c r="AHE337" s="104"/>
      <c r="AHF337" s="104"/>
      <c r="AHG337" s="104"/>
      <c r="AHH337" s="104"/>
      <c r="AHI337" s="104"/>
      <c r="AHJ337" s="104"/>
      <c r="AHK337" s="104"/>
      <c r="AHL337" s="104"/>
      <c r="AHM337" s="104"/>
      <c r="AHN337" s="104"/>
      <c r="AHO337" s="104"/>
      <c r="AHP337" s="104"/>
      <c r="AHQ337" s="104"/>
      <c r="AHR337" s="104"/>
      <c r="AHS337" s="104"/>
      <c r="AHT337" s="104"/>
      <c r="AHU337" s="104"/>
      <c r="AHV337" s="104"/>
      <c r="AHW337" s="104"/>
      <c r="AHX337" s="104"/>
      <c r="AHY337" s="104"/>
      <c r="AHZ337" s="104"/>
      <c r="AIA337" s="104"/>
      <c r="AIB337" s="104"/>
      <c r="AIC337" s="104"/>
      <c r="AID337" s="104"/>
      <c r="AIE337" s="104"/>
      <c r="AIF337" s="104"/>
      <c r="AIG337" s="104"/>
      <c r="AIH337" s="104"/>
      <c r="AII337" s="104"/>
      <c r="AIJ337" s="104"/>
      <c r="AIK337" s="104"/>
      <c r="AIL337" s="104"/>
      <c r="AIM337" s="104"/>
      <c r="AIN337" s="104"/>
      <c r="AIO337" s="104"/>
      <c r="AIP337" s="104"/>
      <c r="AIQ337" s="104"/>
      <c r="AIR337" s="104"/>
      <c r="AIS337" s="104"/>
      <c r="AIT337" s="104"/>
      <c r="AIU337" s="104"/>
      <c r="AIV337" s="104"/>
      <c r="AIW337" s="104"/>
      <c r="AIX337" s="104"/>
      <c r="AIY337" s="104"/>
      <c r="AIZ337" s="104"/>
      <c r="AJA337" s="104"/>
      <c r="AJB337" s="104"/>
      <c r="AJC337" s="104"/>
      <c r="AJD337" s="104"/>
      <c r="AJE337" s="104"/>
      <c r="AJF337" s="104"/>
      <c r="AJG337" s="104"/>
      <c r="AJH337" s="104"/>
      <c r="AJI337" s="104"/>
      <c r="AJJ337" s="104"/>
      <c r="AJK337" s="104"/>
      <c r="AJL337" s="104"/>
      <c r="AJM337" s="104"/>
      <c r="AJN337" s="104"/>
      <c r="AJO337" s="104"/>
      <c r="AJP337" s="104"/>
      <c r="AJQ337" s="104"/>
      <c r="AJR337" s="104"/>
      <c r="AJS337" s="104"/>
      <c r="AJT337" s="104"/>
      <c r="AJU337" s="104"/>
      <c r="AJV337" s="104"/>
      <c r="AJW337" s="104"/>
      <c r="AJX337" s="104"/>
      <c r="AJY337" s="104"/>
      <c r="AJZ337" s="104"/>
      <c r="AKA337" s="104"/>
      <c r="AKB337" s="104"/>
      <c r="AKC337" s="104"/>
      <c r="AKD337" s="104"/>
      <c r="AKE337" s="104"/>
      <c r="AKF337" s="104"/>
      <c r="AKG337" s="104"/>
      <c r="AKH337" s="104"/>
      <c r="AKI337" s="104"/>
      <c r="AKJ337" s="104"/>
      <c r="AKK337" s="104"/>
      <c r="AKL337" s="104"/>
      <c r="AKM337" s="104"/>
      <c r="AKN337" s="104"/>
      <c r="AKO337" s="104"/>
      <c r="AKP337" s="104"/>
      <c r="AKQ337" s="104"/>
      <c r="AKR337" s="104"/>
      <c r="AKS337" s="104"/>
      <c r="AKT337" s="104"/>
      <c r="AKU337" s="104"/>
      <c r="AKV337" s="104"/>
      <c r="AKW337" s="104"/>
      <c r="AKX337" s="104"/>
      <c r="AKY337" s="104"/>
      <c r="AKZ337" s="104"/>
      <c r="ALA337" s="104"/>
      <c r="ALB337" s="104"/>
      <c r="ALC337" s="104"/>
      <c r="ALD337" s="104"/>
      <c r="ALE337" s="104"/>
      <c r="ALF337" s="104"/>
      <c r="ALG337" s="104"/>
      <c r="ALH337" s="104"/>
      <c r="ALI337" s="104"/>
      <c r="ALJ337" s="104"/>
      <c r="ALK337" s="104"/>
      <c r="ALL337" s="104"/>
      <c r="ALM337" s="104"/>
      <c r="ALN337" s="104"/>
      <c r="ALO337" s="104"/>
      <c r="ALP337" s="104"/>
      <c r="ALQ337" s="104"/>
      <c r="ALR337" s="104"/>
      <c r="ALS337" s="104"/>
      <c r="ALT337" s="104"/>
      <c r="ALU337" s="104"/>
      <c r="ALV337" s="104"/>
      <c r="ALW337" s="104"/>
      <c r="ALX337" s="104"/>
      <c r="ALY337" s="104"/>
      <c r="ALZ337" s="104"/>
      <c r="AMA337" s="104"/>
      <c r="AMB337" s="104"/>
      <c r="AMC337" s="104"/>
      <c r="AMD337" s="104"/>
      <c r="AME337" s="104"/>
      <c r="AMF337" s="104"/>
      <c r="AMG337" s="104"/>
      <c r="AMH337" s="104"/>
      <c r="AMI337" s="104"/>
      <c r="AMJ337" s="104"/>
      <c r="AMK337" s="104"/>
      <c r="AML337" s="104"/>
      <c r="AMM337" s="104"/>
      <c r="AMN337" s="104"/>
      <c r="AMO337" s="104"/>
      <c r="AMP337" s="104"/>
      <c r="AMQ337" s="104"/>
      <c r="AMR337" s="104"/>
      <c r="AMS337" s="104"/>
      <c r="AMT337" s="104"/>
      <c r="AMU337" s="104"/>
      <c r="AMV337" s="104"/>
      <c r="AMW337" s="104"/>
      <c r="AMX337" s="104"/>
      <c r="AMY337" s="104"/>
      <c r="AMZ337" s="104"/>
      <c r="ANA337" s="104"/>
      <c r="ANB337" s="104"/>
      <c r="ANC337" s="104"/>
      <c r="AND337" s="104"/>
      <c r="ANE337" s="104"/>
      <c r="ANF337" s="104"/>
      <c r="ANG337" s="104"/>
      <c r="ANH337" s="104"/>
      <c r="ANI337" s="104"/>
      <c r="ANJ337" s="104"/>
      <c r="ANK337" s="104"/>
      <c r="ANL337" s="104"/>
      <c r="ANM337" s="104"/>
      <c r="ANN337" s="104"/>
      <c r="ANO337" s="104"/>
      <c r="ANP337" s="104"/>
      <c r="ANQ337" s="104"/>
      <c r="ANR337" s="104"/>
      <c r="ANS337" s="104"/>
      <c r="ANT337" s="104"/>
      <c r="ANU337" s="104"/>
      <c r="ANV337" s="104"/>
      <c r="ANW337" s="104"/>
      <c r="ANX337" s="104"/>
      <c r="ANY337" s="104"/>
      <c r="ANZ337" s="104"/>
      <c r="AOA337" s="104"/>
      <c r="AOB337" s="104"/>
      <c r="AOC337" s="104"/>
      <c r="AOD337" s="104"/>
      <c r="AOE337" s="104"/>
      <c r="AOF337" s="104"/>
      <c r="AOG337" s="104"/>
      <c r="AOH337" s="104"/>
      <c r="AOI337" s="104"/>
      <c r="AOJ337" s="104"/>
      <c r="AOK337" s="104"/>
      <c r="AOL337" s="104"/>
      <c r="AOM337" s="104"/>
      <c r="AON337" s="104"/>
      <c r="AOO337" s="104"/>
      <c r="AOP337" s="104"/>
      <c r="AOQ337" s="104"/>
      <c r="AOR337" s="104"/>
      <c r="AOS337" s="104"/>
      <c r="AOT337" s="104"/>
      <c r="AOU337" s="104"/>
      <c r="AOV337" s="104"/>
      <c r="AOW337" s="104"/>
      <c r="AOX337" s="104"/>
      <c r="AOY337" s="104"/>
      <c r="AOZ337" s="104"/>
      <c r="APA337" s="104"/>
      <c r="APB337" s="104"/>
      <c r="APC337" s="104"/>
      <c r="APD337" s="104"/>
      <c r="APE337" s="104"/>
      <c r="APF337" s="104"/>
      <c r="APG337" s="104"/>
      <c r="APH337" s="104"/>
      <c r="API337" s="104"/>
      <c r="APJ337" s="104"/>
      <c r="APK337" s="104"/>
      <c r="APL337" s="104"/>
      <c r="APM337" s="104"/>
      <c r="APN337" s="104"/>
      <c r="APO337" s="104"/>
      <c r="APP337" s="104"/>
      <c r="APQ337" s="104"/>
      <c r="APR337" s="104"/>
      <c r="APS337" s="104"/>
      <c r="APT337" s="104"/>
      <c r="APU337" s="104"/>
      <c r="APV337" s="104"/>
      <c r="APW337" s="104"/>
      <c r="APX337" s="104"/>
      <c r="APY337" s="104"/>
      <c r="APZ337" s="104"/>
      <c r="AQA337" s="104"/>
      <c r="AQB337" s="104"/>
      <c r="AQC337" s="104"/>
      <c r="AQD337" s="104"/>
      <c r="AQE337" s="104"/>
      <c r="AQF337" s="104"/>
      <c r="AQG337" s="104"/>
      <c r="AQH337" s="104"/>
      <c r="AQI337" s="104"/>
      <c r="AQJ337" s="104"/>
      <c r="AQK337" s="104"/>
      <c r="AQL337" s="104"/>
      <c r="AQM337" s="104"/>
      <c r="AQN337" s="104"/>
      <c r="AQO337" s="104"/>
      <c r="AQP337" s="104"/>
      <c r="AQQ337" s="104"/>
      <c r="AQR337" s="104"/>
      <c r="AQS337" s="104"/>
      <c r="AQT337" s="104"/>
      <c r="AQU337" s="104"/>
      <c r="AQV337" s="104"/>
      <c r="AQW337" s="104"/>
      <c r="AQX337" s="104"/>
      <c r="AQY337" s="104"/>
      <c r="AQZ337" s="104"/>
      <c r="ARA337" s="104"/>
      <c r="ARB337" s="104"/>
      <c r="ARC337" s="104"/>
      <c r="ARD337" s="104"/>
      <c r="ARE337" s="104"/>
      <c r="ARF337" s="104"/>
      <c r="ARG337" s="104"/>
      <c r="ARH337" s="104"/>
      <c r="ARI337" s="104"/>
      <c r="ARJ337" s="104"/>
      <c r="ARK337" s="104"/>
      <c r="ARL337" s="104"/>
      <c r="ARM337" s="104"/>
      <c r="ARN337" s="104"/>
      <c r="ARO337" s="104"/>
      <c r="ARP337" s="104"/>
      <c r="ARQ337" s="104"/>
      <c r="ARR337" s="104"/>
      <c r="ARS337" s="104"/>
      <c r="ART337" s="104"/>
      <c r="ARU337" s="104"/>
      <c r="ARV337" s="104"/>
      <c r="ARW337" s="104"/>
      <c r="ARX337" s="104"/>
      <c r="ARY337" s="104"/>
      <c r="ARZ337" s="104"/>
      <c r="ASA337" s="104"/>
      <c r="ASB337" s="104"/>
      <c r="ASC337" s="104"/>
      <c r="ASD337" s="104"/>
      <c r="ASE337" s="104"/>
      <c r="ASF337" s="104"/>
      <c r="ASG337" s="104"/>
      <c r="ASH337" s="104"/>
      <c r="ASI337" s="104"/>
      <c r="ASJ337" s="104"/>
      <c r="ASK337" s="104"/>
      <c r="ASL337" s="104"/>
      <c r="ASM337" s="104"/>
      <c r="ASN337" s="104"/>
      <c r="ASO337" s="104"/>
      <c r="ASP337" s="104"/>
      <c r="ASQ337" s="104"/>
      <c r="ASR337" s="104"/>
      <c r="ASS337" s="104"/>
      <c r="AST337" s="104"/>
      <c r="ASU337" s="104"/>
      <c r="ASV337" s="104"/>
      <c r="ASW337" s="104"/>
      <c r="ASX337" s="104"/>
      <c r="ASY337" s="104"/>
      <c r="ASZ337" s="104"/>
      <c r="ATA337" s="104"/>
      <c r="ATB337" s="104"/>
      <c r="ATC337" s="104"/>
      <c r="ATD337" s="104"/>
      <c r="ATE337" s="104"/>
      <c r="ATF337" s="104"/>
      <c r="ATG337" s="104"/>
      <c r="ATH337" s="104"/>
      <c r="ATI337" s="104"/>
      <c r="ATJ337" s="104"/>
      <c r="ATK337" s="104"/>
      <c r="ATL337" s="104"/>
      <c r="ATM337" s="104"/>
      <c r="ATN337" s="104"/>
      <c r="ATO337" s="104"/>
      <c r="ATP337" s="104"/>
      <c r="ATQ337" s="104"/>
      <c r="ATR337" s="104"/>
      <c r="ATS337" s="104"/>
      <c r="ATT337" s="104"/>
      <c r="ATU337" s="104"/>
      <c r="ATV337" s="104"/>
      <c r="ATW337" s="104"/>
      <c r="ATX337" s="104"/>
      <c r="ATY337" s="104"/>
      <c r="ATZ337" s="104"/>
      <c r="AUA337" s="104"/>
      <c r="AUB337" s="104"/>
      <c r="AUC337" s="104"/>
      <c r="AUD337" s="104"/>
      <c r="AUE337" s="104"/>
      <c r="AUF337" s="104"/>
      <c r="AUG337" s="104"/>
      <c r="AUH337" s="104"/>
      <c r="AUI337" s="104"/>
      <c r="AUJ337" s="104"/>
      <c r="AUK337" s="104"/>
      <c r="AUL337" s="104"/>
      <c r="AUM337" s="104"/>
      <c r="AUN337" s="104"/>
      <c r="AUO337" s="104"/>
      <c r="AUP337" s="104"/>
      <c r="AUQ337" s="104"/>
      <c r="AUR337" s="104"/>
      <c r="AUS337" s="104"/>
      <c r="AUT337" s="104"/>
      <c r="AUU337" s="104"/>
      <c r="AUV337" s="104"/>
      <c r="AUW337" s="104"/>
      <c r="AUX337" s="104"/>
      <c r="AUY337" s="104"/>
      <c r="AUZ337" s="104"/>
      <c r="AVA337" s="104"/>
      <c r="AVB337" s="104"/>
      <c r="AVC337" s="104"/>
      <c r="AVD337" s="104"/>
      <c r="AVE337" s="104"/>
      <c r="AVF337" s="104"/>
      <c r="AVG337" s="104"/>
      <c r="AVH337" s="104"/>
      <c r="AVI337" s="104"/>
      <c r="AVJ337" s="104"/>
      <c r="AVK337" s="104"/>
      <c r="AVL337" s="104"/>
      <c r="AVM337" s="104"/>
      <c r="AVN337" s="104"/>
      <c r="AVO337" s="104"/>
      <c r="AVP337" s="104"/>
      <c r="AVQ337" s="104"/>
      <c r="AVR337" s="104"/>
      <c r="AVS337" s="104"/>
      <c r="AVT337" s="104"/>
      <c r="AVU337" s="104"/>
      <c r="AVV337" s="104"/>
      <c r="AVW337" s="104"/>
      <c r="AVX337" s="104"/>
      <c r="AVY337" s="104"/>
      <c r="AVZ337" s="104"/>
      <c r="AWA337" s="104"/>
      <c r="AWB337" s="104"/>
      <c r="AWC337" s="104"/>
      <c r="AWD337" s="104"/>
      <c r="AWE337" s="104"/>
      <c r="AWF337" s="104"/>
      <c r="AWG337" s="104"/>
      <c r="AWH337" s="104"/>
      <c r="AWI337" s="104"/>
      <c r="AWJ337" s="104"/>
      <c r="AWK337" s="104"/>
      <c r="AWL337" s="104"/>
      <c r="AWM337" s="104"/>
      <c r="AWN337" s="104"/>
      <c r="AWO337" s="104"/>
      <c r="AWP337" s="104"/>
      <c r="AWQ337" s="104"/>
      <c r="AWR337" s="104"/>
      <c r="AWS337" s="104"/>
      <c r="AWT337" s="104"/>
      <c r="AWU337" s="104"/>
      <c r="AWV337" s="104"/>
      <c r="AWW337" s="104"/>
      <c r="AWX337" s="104"/>
      <c r="AWY337" s="104"/>
      <c r="AWZ337" s="104"/>
      <c r="AXA337" s="104"/>
      <c r="AXB337" s="104"/>
      <c r="AXC337" s="104"/>
      <c r="AXD337" s="104"/>
      <c r="AXE337" s="104"/>
      <c r="AXF337" s="104"/>
      <c r="AXG337" s="104"/>
      <c r="AXH337" s="104"/>
      <c r="AXI337" s="104"/>
      <c r="AXJ337" s="104"/>
      <c r="AXK337" s="104"/>
      <c r="AXL337" s="104"/>
      <c r="AXM337" s="104"/>
      <c r="AXN337" s="104"/>
      <c r="AXO337" s="104"/>
      <c r="AXP337" s="104"/>
      <c r="AXQ337" s="104"/>
      <c r="AXR337" s="104"/>
      <c r="AXS337" s="104"/>
      <c r="AXT337" s="104"/>
      <c r="AXU337" s="104"/>
      <c r="AXV337" s="104"/>
      <c r="AXW337" s="104"/>
      <c r="AXX337" s="104"/>
      <c r="AXY337" s="104"/>
      <c r="AXZ337" s="104"/>
      <c r="AYA337" s="104"/>
      <c r="AYB337" s="104"/>
      <c r="AYC337" s="104"/>
      <c r="AYD337" s="104"/>
      <c r="AYE337" s="104"/>
      <c r="AYF337" s="104"/>
      <c r="AYG337" s="104"/>
      <c r="AYH337" s="104"/>
      <c r="AYI337" s="104"/>
      <c r="AYJ337" s="104"/>
      <c r="AYK337" s="104"/>
      <c r="AYL337" s="104"/>
      <c r="AYM337" s="104"/>
      <c r="AYN337" s="104"/>
      <c r="AYO337" s="104"/>
      <c r="AYP337" s="104"/>
      <c r="AYQ337" s="104"/>
      <c r="AYR337" s="104"/>
      <c r="AYS337" s="104"/>
      <c r="AYT337" s="104"/>
      <c r="AYU337" s="104"/>
      <c r="AYV337" s="104"/>
      <c r="AYW337" s="104"/>
      <c r="AYX337" s="104"/>
      <c r="AYY337" s="104"/>
      <c r="AYZ337" s="104"/>
      <c r="AZA337" s="104"/>
      <c r="AZB337" s="104"/>
      <c r="AZC337" s="104"/>
      <c r="AZD337" s="104"/>
      <c r="AZE337" s="104"/>
      <c r="AZF337" s="104"/>
      <c r="AZG337" s="104"/>
      <c r="AZH337" s="104"/>
      <c r="AZI337" s="104"/>
      <c r="AZJ337" s="104"/>
      <c r="AZK337" s="104"/>
      <c r="AZL337" s="104"/>
      <c r="AZM337" s="104"/>
      <c r="AZN337" s="104"/>
      <c r="AZO337" s="104"/>
      <c r="AZP337" s="104"/>
      <c r="AZQ337" s="104"/>
      <c r="AZR337" s="104"/>
      <c r="AZS337" s="104"/>
      <c r="AZT337" s="104"/>
      <c r="AZU337" s="104"/>
      <c r="AZV337" s="104"/>
      <c r="AZW337" s="104"/>
      <c r="AZX337" s="104"/>
      <c r="AZY337" s="104"/>
      <c r="AZZ337" s="104"/>
      <c r="BAA337" s="104"/>
      <c r="BAB337" s="104"/>
      <c r="BAC337" s="104"/>
      <c r="BAD337" s="104"/>
      <c r="BAE337" s="104"/>
      <c r="BAF337" s="104"/>
      <c r="BAG337" s="104"/>
      <c r="BAH337" s="104"/>
      <c r="BAI337" s="104"/>
      <c r="BAJ337" s="104"/>
      <c r="BAK337" s="104"/>
      <c r="BAL337" s="104"/>
      <c r="BAM337" s="104"/>
      <c r="BAN337" s="104"/>
      <c r="BAO337" s="104"/>
      <c r="BAP337" s="104"/>
      <c r="BAQ337" s="104"/>
      <c r="BAR337" s="104"/>
      <c r="BAS337" s="104"/>
      <c r="BAT337" s="104"/>
      <c r="BAU337" s="104"/>
      <c r="BAV337" s="104"/>
      <c r="BAW337" s="104"/>
      <c r="BAX337" s="104"/>
      <c r="BAY337" s="104"/>
      <c r="BAZ337" s="104"/>
      <c r="BBA337" s="104"/>
      <c r="BBB337" s="104"/>
      <c r="BBC337" s="104"/>
      <c r="BBD337" s="104"/>
      <c r="BBE337" s="104"/>
      <c r="BBF337" s="104"/>
      <c r="BBG337" s="104"/>
      <c r="BBH337" s="104"/>
      <c r="BBI337" s="104"/>
      <c r="BBJ337" s="104"/>
      <c r="BBK337" s="104"/>
      <c r="BBL337" s="104"/>
      <c r="BBM337" s="104"/>
      <c r="BBN337" s="104"/>
      <c r="BBO337" s="104"/>
      <c r="BBP337" s="104"/>
      <c r="BBQ337" s="104"/>
      <c r="BBR337" s="104"/>
      <c r="BBS337" s="104"/>
      <c r="BBT337" s="104"/>
      <c r="BBU337" s="104"/>
      <c r="BBV337" s="104"/>
      <c r="BBW337" s="104"/>
      <c r="BBX337" s="104"/>
      <c r="BBY337" s="104"/>
      <c r="BBZ337" s="104"/>
      <c r="BCA337" s="104"/>
      <c r="BCB337" s="104"/>
      <c r="BCC337" s="104"/>
      <c r="BCD337" s="104"/>
      <c r="BCE337" s="104"/>
      <c r="BCF337" s="104"/>
      <c r="BCG337" s="104"/>
      <c r="BCH337" s="104"/>
      <c r="BCI337" s="104"/>
      <c r="BCJ337" s="104"/>
      <c r="BCK337" s="104"/>
      <c r="BCL337" s="104"/>
      <c r="BCM337" s="104"/>
      <c r="BCN337" s="104"/>
      <c r="BCO337" s="104"/>
      <c r="BCP337" s="104"/>
      <c r="BCQ337" s="104"/>
      <c r="BCR337" s="104"/>
      <c r="BCS337" s="104"/>
      <c r="BCT337" s="104"/>
      <c r="BCU337" s="104"/>
      <c r="BCV337" s="104"/>
      <c r="BCW337" s="104"/>
      <c r="BCX337" s="104"/>
      <c r="BCY337" s="104"/>
      <c r="BCZ337" s="104"/>
      <c r="BDA337" s="104"/>
      <c r="BDB337" s="104"/>
      <c r="BDC337" s="104"/>
      <c r="BDD337" s="104"/>
      <c r="BDE337" s="104"/>
      <c r="BDF337" s="104"/>
      <c r="BDG337" s="104"/>
      <c r="BDH337" s="104"/>
      <c r="BDI337" s="104"/>
      <c r="BDJ337" s="104"/>
      <c r="BDK337" s="104"/>
      <c r="BDL337" s="104"/>
      <c r="BDM337" s="104"/>
      <c r="BDN337" s="104"/>
      <c r="BDO337" s="104"/>
      <c r="BDP337" s="104"/>
      <c r="BDQ337" s="104"/>
      <c r="BDR337" s="104"/>
      <c r="BDS337" s="104"/>
      <c r="BDT337" s="104"/>
      <c r="BDU337" s="104"/>
      <c r="BDV337" s="104"/>
      <c r="BDW337" s="104"/>
      <c r="BDX337" s="104"/>
      <c r="BDY337" s="104"/>
      <c r="BDZ337" s="104"/>
      <c r="BEA337" s="104"/>
      <c r="BEB337" s="104"/>
      <c r="BEC337" s="104"/>
      <c r="BED337" s="104"/>
      <c r="BEE337" s="104"/>
      <c r="BEF337" s="104"/>
      <c r="BEG337" s="104"/>
      <c r="BEH337" s="104"/>
      <c r="BEI337" s="104"/>
      <c r="BEJ337" s="104"/>
      <c r="BEK337" s="104"/>
      <c r="BEL337" s="104"/>
      <c r="BEM337" s="104"/>
      <c r="BEN337" s="104"/>
      <c r="BEO337" s="104"/>
      <c r="BEP337" s="104"/>
      <c r="BEQ337" s="104"/>
      <c r="BER337" s="104"/>
      <c r="BES337" s="104"/>
      <c r="BET337" s="104"/>
      <c r="BEU337" s="104"/>
      <c r="BEV337" s="104"/>
      <c r="BEW337" s="104"/>
      <c r="BEX337" s="104"/>
      <c r="BEY337" s="104"/>
      <c r="BEZ337" s="104"/>
      <c r="BFA337" s="104"/>
      <c r="BFB337" s="104"/>
      <c r="BFC337" s="104"/>
      <c r="BFD337" s="104"/>
      <c r="BFE337" s="104"/>
      <c r="BFF337" s="104"/>
      <c r="BFG337" s="104"/>
      <c r="BFH337" s="104"/>
      <c r="BFI337" s="104"/>
      <c r="BFJ337" s="104"/>
      <c r="BFK337" s="104"/>
      <c r="BFL337" s="104"/>
      <c r="BFM337" s="104"/>
      <c r="BFN337" s="104"/>
      <c r="BFO337" s="104"/>
      <c r="BFP337" s="104"/>
      <c r="BFQ337" s="104"/>
      <c r="BFR337" s="104"/>
      <c r="BFS337" s="104"/>
      <c r="BFT337" s="104"/>
      <c r="BFU337" s="104"/>
      <c r="BFV337" s="104"/>
      <c r="BFW337" s="104"/>
      <c r="BFX337" s="104"/>
      <c r="BFY337" s="104"/>
      <c r="BFZ337" s="104"/>
      <c r="BGA337" s="104"/>
      <c r="BGB337" s="104"/>
      <c r="BGC337" s="104"/>
      <c r="BGD337" s="104"/>
      <c r="BGE337" s="104"/>
      <c r="BGF337" s="104"/>
      <c r="BGG337" s="104"/>
      <c r="BGH337" s="104"/>
      <c r="BGI337" s="104"/>
      <c r="BGJ337" s="104"/>
      <c r="BGK337" s="104"/>
      <c r="BGL337" s="104"/>
      <c r="BGM337" s="104"/>
      <c r="BGN337" s="104"/>
      <c r="BGO337" s="104"/>
      <c r="BGP337" s="104"/>
      <c r="BGQ337" s="104"/>
      <c r="BGR337" s="104"/>
      <c r="BGS337" s="104"/>
      <c r="BGT337" s="104"/>
      <c r="BGU337" s="104"/>
      <c r="BGV337" s="104"/>
      <c r="BGW337" s="104"/>
      <c r="BGX337" s="104"/>
      <c r="BGY337" s="104"/>
      <c r="BGZ337" s="104"/>
      <c r="BHA337" s="104"/>
      <c r="BHB337" s="104"/>
      <c r="BHC337" s="104"/>
      <c r="BHD337" s="104"/>
      <c r="BHE337" s="104"/>
      <c r="BHF337" s="104"/>
      <c r="BHG337" s="104"/>
      <c r="BHH337" s="104"/>
      <c r="BHI337" s="104"/>
      <c r="BHJ337" s="104"/>
      <c r="BHK337" s="104"/>
      <c r="BHL337" s="104"/>
      <c r="BHM337" s="104"/>
      <c r="BHN337" s="104"/>
      <c r="BHO337" s="104"/>
      <c r="BHP337" s="104"/>
      <c r="BHQ337" s="104"/>
      <c r="BHR337" s="104"/>
      <c r="BHS337" s="104"/>
      <c r="BHT337" s="104"/>
      <c r="BHU337" s="104"/>
      <c r="BHV337" s="104"/>
      <c r="BHW337" s="104"/>
      <c r="BHX337" s="104"/>
      <c r="BHY337" s="104"/>
      <c r="BHZ337" s="104"/>
      <c r="BIA337" s="104"/>
      <c r="BIB337" s="104"/>
      <c r="BIC337" s="104"/>
      <c r="BID337" s="104"/>
      <c r="BIE337" s="104"/>
      <c r="BIF337" s="104"/>
      <c r="BIG337" s="104"/>
      <c r="BIH337" s="104"/>
      <c r="BII337" s="104"/>
      <c r="BIJ337" s="104"/>
      <c r="BIK337" s="104"/>
      <c r="BIL337" s="104"/>
      <c r="BIM337" s="104"/>
      <c r="BIN337" s="104"/>
      <c r="BIO337" s="104"/>
      <c r="BIP337" s="104"/>
      <c r="BIQ337" s="104"/>
      <c r="BIR337" s="104"/>
      <c r="BIS337" s="104"/>
      <c r="BIT337" s="104"/>
      <c r="BIU337" s="104"/>
      <c r="BIV337" s="104"/>
      <c r="BIW337" s="104"/>
      <c r="BIX337" s="104"/>
      <c r="BIY337" s="104"/>
      <c r="BIZ337" s="104"/>
      <c r="BJA337" s="104"/>
      <c r="BJB337" s="104"/>
      <c r="BJC337" s="104"/>
      <c r="BJD337" s="104"/>
      <c r="BJE337" s="104"/>
      <c r="BJF337" s="104"/>
      <c r="BJG337" s="104"/>
      <c r="BJH337" s="104"/>
      <c r="BJI337" s="104"/>
      <c r="BJJ337" s="104"/>
      <c r="BJK337" s="104"/>
      <c r="BJL337" s="104"/>
      <c r="BJM337" s="104"/>
      <c r="BJN337" s="104"/>
      <c r="BJO337" s="104"/>
      <c r="BJP337" s="104"/>
      <c r="BJQ337" s="104"/>
      <c r="BJR337" s="104"/>
      <c r="BJS337" s="104"/>
      <c r="BJT337" s="104"/>
      <c r="BJU337" s="104"/>
      <c r="BJV337" s="104"/>
      <c r="BJW337" s="104"/>
      <c r="BJX337" s="104"/>
      <c r="BJY337" s="104"/>
      <c r="BJZ337" s="104"/>
      <c r="BKA337" s="104"/>
      <c r="BKB337" s="104"/>
      <c r="BKC337" s="104"/>
      <c r="BKD337" s="104"/>
      <c r="BKE337" s="104"/>
      <c r="BKF337" s="104"/>
      <c r="BKG337" s="104"/>
      <c r="BKH337" s="104"/>
      <c r="BKI337" s="104"/>
      <c r="BKJ337" s="104"/>
      <c r="BKK337" s="104"/>
      <c r="BKL337" s="104"/>
      <c r="BKM337" s="104"/>
      <c r="BKN337" s="104"/>
      <c r="BKO337" s="104"/>
      <c r="BKP337" s="104"/>
      <c r="BKQ337" s="104"/>
      <c r="BKR337" s="104"/>
      <c r="BKS337" s="104"/>
      <c r="BKT337" s="104"/>
      <c r="BKU337" s="104"/>
      <c r="BKV337" s="104"/>
      <c r="BKW337" s="104"/>
      <c r="BKX337" s="104"/>
      <c r="BKY337" s="104"/>
      <c r="BKZ337" s="104"/>
      <c r="BLA337" s="104"/>
      <c r="BLB337" s="104"/>
      <c r="BLC337" s="104"/>
      <c r="BLD337" s="104"/>
      <c r="BLE337" s="104"/>
      <c r="BLF337" s="104"/>
      <c r="BLG337" s="104"/>
      <c r="BLH337" s="104"/>
      <c r="BLI337" s="104"/>
      <c r="BLJ337" s="104"/>
      <c r="BLK337" s="104"/>
      <c r="BLL337" s="104"/>
      <c r="BLM337" s="104"/>
      <c r="BLN337" s="104"/>
      <c r="BLO337" s="104"/>
      <c r="BLP337" s="104"/>
      <c r="BLQ337" s="104"/>
      <c r="BLR337" s="104"/>
      <c r="BLS337" s="104"/>
      <c r="BLT337" s="104"/>
      <c r="BLU337" s="104"/>
      <c r="BLV337" s="104"/>
      <c r="BLW337" s="104"/>
      <c r="BLX337" s="104"/>
      <c r="BLY337" s="104"/>
      <c r="BLZ337" s="104"/>
      <c r="BMA337" s="104"/>
      <c r="BMB337" s="104"/>
      <c r="BMC337" s="104"/>
      <c r="BMD337" s="104"/>
      <c r="BME337" s="104"/>
      <c r="BMF337" s="104"/>
      <c r="BMG337" s="104"/>
      <c r="BMH337" s="104"/>
      <c r="BMI337" s="104"/>
      <c r="BMJ337" s="104"/>
      <c r="BMK337" s="104"/>
      <c r="BML337" s="104"/>
      <c r="BMM337" s="104"/>
      <c r="BMN337" s="104"/>
      <c r="BMO337" s="104"/>
      <c r="BMP337" s="104"/>
      <c r="BMQ337" s="104"/>
      <c r="BMR337" s="104"/>
      <c r="BMS337" s="104"/>
      <c r="BMT337" s="104"/>
      <c r="BMU337" s="104"/>
      <c r="BMV337" s="104"/>
      <c r="BMW337" s="104"/>
      <c r="BMX337" s="104"/>
      <c r="BMY337" s="104"/>
      <c r="BMZ337" s="104"/>
      <c r="BNA337" s="104"/>
      <c r="BNB337" s="104"/>
      <c r="BNC337" s="104"/>
      <c r="BND337" s="104"/>
      <c r="BNE337" s="104"/>
      <c r="BNF337" s="104"/>
      <c r="BNG337" s="104"/>
      <c r="BNH337" s="104"/>
      <c r="BNI337" s="104"/>
      <c r="BNJ337" s="104"/>
      <c r="BNK337" s="104"/>
      <c r="BNL337" s="104"/>
      <c r="BNM337" s="104"/>
      <c r="BNN337" s="104"/>
      <c r="BNO337" s="104"/>
      <c r="BNP337" s="104"/>
      <c r="BNQ337" s="104"/>
      <c r="BNR337" s="104"/>
      <c r="BNS337" s="104"/>
      <c r="BNT337" s="104"/>
      <c r="BNU337" s="104"/>
      <c r="BNV337" s="104"/>
      <c r="BNW337" s="104"/>
      <c r="BNX337" s="104"/>
      <c r="BNY337" s="104"/>
      <c r="BNZ337" s="104"/>
      <c r="BOA337" s="104"/>
      <c r="BOB337" s="104"/>
      <c r="BOC337" s="104"/>
      <c r="BOD337" s="104"/>
      <c r="BOE337" s="104"/>
      <c r="BOF337" s="104"/>
      <c r="BOG337" s="104"/>
      <c r="BOH337" s="104"/>
      <c r="BOI337" s="104"/>
      <c r="BOJ337" s="104"/>
      <c r="BOK337" s="104"/>
      <c r="BOL337" s="104"/>
      <c r="BOM337" s="104"/>
      <c r="BON337" s="104"/>
      <c r="BOO337" s="104"/>
      <c r="BOP337" s="104"/>
      <c r="BOQ337" s="104"/>
      <c r="BOR337" s="104"/>
      <c r="BOS337" s="104"/>
      <c r="BOT337" s="104"/>
      <c r="BOU337" s="104"/>
      <c r="BOV337" s="104"/>
      <c r="BOW337" s="104"/>
      <c r="BOX337" s="104"/>
      <c r="BOY337" s="104"/>
      <c r="BOZ337" s="104"/>
      <c r="BPA337" s="104"/>
      <c r="BPB337" s="104"/>
      <c r="BPC337" s="104"/>
      <c r="BPD337" s="104"/>
      <c r="BPE337" s="104"/>
      <c r="BPF337" s="104"/>
      <c r="BPG337" s="104"/>
      <c r="BPH337" s="104"/>
      <c r="BPI337" s="104"/>
      <c r="BPJ337" s="104"/>
      <c r="BPK337" s="104"/>
      <c r="BPL337" s="104"/>
      <c r="BPM337" s="104"/>
      <c r="BPN337" s="104"/>
      <c r="BPO337" s="104"/>
      <c r="BPP337" s="104"/>
      <c r="BPQ337" s="104"/>
      <c r="BPR337" s="104"/>
      <c r="BPS337" s="104"/>
      <c r="BPT337" s="104"/>
      <c r="BPU337" s="104"/>
      <c r="BPV337" s="104"/>
      <c r="BPW337" s="104"/>
      <c r="BPX337" s="104"/>
      <c r="BPY337" s="104"/>
      <c r="BPZ337" s="104"/>
      <c r="BQA337" s="104"/>
      <c r="BQB337" s="104"/>
      <c r="BQC337" s="104"/>
      <c r="BQD337" s="104"/>
      <c r="BQE337" s="104"/>
      <c r="BQF337" s="104"/>
      <c r="BQG337" s="104"/>
      <c r="BQH337" s="104"/>
      <c r="BQI337" s="104"/>
      <c r="BQJ337" s="104"/>
      <c r="BQK337" s="104"/>
      <c r="BQL337" s="104"/>
      <c r="BQM337" s="104"/>
      <c r="BQN337" s="104"/>
      <c r="BQO337" s="104"/>
      <c r="BQP337" s="104"/>
      <c r="BQQ337" s="104"/>
      <c r="BQR337" s="104"/>
      <c r="BQS337" s="104"/>
      <c r="BQT337" s="104"/>
      <c r="BQU337" s="104"/>
      <c r="BQV337" s="104"/>
      <c r="BQW337" s="104"/>
      <c r="BQX337" s="104"/>
      <c r="BQY337" s="104"/>
      <c r="BQZ337" s="104"/>
      <c r="BRA337" s="104"/>
      <c r="BRB337" s="104"/>
      <c r="BRC337" s="104"/>
      <c r="BRD337" s="104"/>
      <c r="BRE337" s="104"/>
      <c r="BRF337" s="104"/>
      <c r="BRG337" s="104"/>
      <c r="BRH337" s="104"/>
      <c r="BRI337" s="104"/>
      <c r="BRJ337" s="104"/>
      <c r="BRK337" s="104"/>
      <c r="BRL337" s="104"/>
      <c r="BRM337" s="104"/>
      <c r="BRN337" s="104"/>
      <c r="BRO337" s="104"/>
      <c r="BRP337" s="104"/>
      <c r="BRQ337" s="104"/>
      <c r="BRR337" s="104"/>
      <c r="BRS337" s="104"/>
      <c r="BRT337" s="104"/>
      <c r="BRU337" s="104"/>
      <c r="BRV337" s="104"/>
      <c r="BRW337" s="104"/>
      <c r="BRX337" s="104"/>
      <c r="BRY337" s="104"/>
      <c r="BRZ337" s="104"/>
      <c r="BSA337" s="104"/>
      <c r="BSB337" s="104"/>
      <c r="BSC337" s="104"/>
      <c r="BSD337" s="104"/>
      <c r="BSE337" s="104"/>
      <c r="BSF337" s="104"/>
      <c r="BSG337" s="104"/>
      <c r="BSH337" s="104"/>
      <c r="BSI337" s="104"/>
      <c r="BSJ337" s="104"/>
      <c r="BSK337" s="104"/>
      <c r="BSL337" s="104"/>
      <c r="BSM337" s="104"/>
      <c r="BSN337" s="104"/>
      <c r="BSO337" s="104"/>
      <c r="BSP337" s="104"/>
      <c r="BSQ337" s="104"/>
      <c r="BSR337" s="104"/>
      <c r="BSS337" s="104"/>
      <c r="BST337" s="104"/>
      <c r="BSU337" s="104"/>
      <c r="BSV337" s="104"/>
      <c r="BSW337" s="104"/>
      <c r="BSX337" s="104"/>
      <c r="BSY337" s="104"/>
      <c r="BSZ337" s="104"/>
      <c r="BTA337" s="104"/>
      <c r="BTB337" s="104"/>
      <c r="BTC337" s="104"/>
      <c r="BTD337" s="104"/>
      <c r="BTE337" s="104"/>
      <c r="BTF337" s="104"/>
      <c r="BTG337" s="104"/>
      <c r="BTH337" s="104"/>
      <c r="BTI337" s="104"/>
      <c r="BTJ337" s="104"/>
      <c r="BTK337" s="104"/>
      <c r="BTL337" s="104"/>
      <c r="BTM337" s="104"/>
      <c r="BTN337" s="104"/>
      <c r="BTO337" s="104"/>
      <c r="BTP337" s="104"/>
      <c r="BTQ337" s="104"/>
      <c r="BTR337" s="104"/>
      <c r="BTS337" s="104"/>
      <c r="BTT337" s="104"/>
      <c r="BTU337" s="104"/>
      <c r="BTV337" s="104"/>
      <c r="BTW337" s="104"/>
      <c r="BTX337" s="104"/>
      <c r="BTY337" s="104"/>
      <c r="BTZ337" s="104"/>
      <c r="BUA337" s="104"/>
      <c r="BUB337" s="104"/>
      <c r="BUC337" s="104"/>
      <c r="BUD337" s="104"/>
      <c r="BUE337" s="104"/>
      <c r="BUF337" s="104"/>
      <c r="BUG337" s="104"/>
      <c r="BUH337" s="104"/>
      <c r="BUI337" s="104"/>
      <c r="BUJ337" s="104"/>
      <c r="BUK337" s="104"/>
      <c r="BUL337" s="104"/>
      <c r="BUM337" s="104"/>
      <c r="BUN337" s="104"/>
      <c r="BUO337" s="104"/>
      <c r="BUP337" s="104"/>
      <c r="BUQ337" s="104"/>
      <c r="BUR337" s="104"/>
      <c r="BUS337" s="104"/>
      <c r="BUT337" s="104"/>
      <c r="BUU337" s="104"/>
      <c r="BUV337" s="104"/>
      <c r="BUW337" s="104"/>
      <c r="BUX337" s="104"/>
      <c r="BUY337" s="104"/>
      <c r="BUZ337" s="104"/>
      <c r="BVA337" s="104"/>
      <c r="BVB337" s="104"/>
      <c r="BVC337" s="104"/>
      <c r="BVD337" s="104"/>
      <c r="BVE337" s="104"/>
      <c r="BVF337" s="104"/>
      <c r="BVG337" s="104"/>
      <c r="BVH337" s="104"/>
      <c r="BVI337" s="104"/>
      <c r="BVJ337" s="104"/>
      <c r="BVK337" s="104"/>
      <c r="BVL337" s="104"/>
      <c r="BVM337" s="104"/>
      <c r="BVN337" s="104"/>
      <c r="BVO337" s="104"/>
      <c r="BVP337" s="104"/>
      <c r="BVQ337" s="104"/>
      <c r="BVR337" s="104"/>
      <c r="BVS337" s="104"/>
      <c r="BVT337" s="104"/>
      <c r="BVU337" s="104"/>
      <c r="BVV337" s="104"/>
      <c r="BVW337" s="104"/>
      <c r="BVX337" s="104"/>
      <c r="BVY337" s="104"/>
      <c r="BVZ337" s="104"/>
      <c r="BWA337" s="104"/>
      <c r="BWB337" s="104"/>
      <c r="BWC337" s="104"/>
      <c r="BWD337" s="104"/>
      <c r="BWE337" s="104"/>
      <c r="BWF337" s="104"/>
      <c r="BWG337" s="104"/>
      <c r="BWH337" s="104"/>
      <c r="BWI337" s="104"/>
      <c r="BWJ337" s="104"/>
      <c r="BWK337" s="104"/>
      <c r="BWL337" s="104"/>
      <c r="BWM337" s="104"/>
      <c r="BWN337" s="104"/>
      <c r="BWO337" s="104"/>
      <c r="BWP337" s="104"/>
      <c r="BWQ337" s="104"/>
      <c r="BWR337" s="104"/>
      <c r="BWS337" s="104"/>
      <c r="BWT337" s="104"/>
      <c r="BWU337" s="104"/>
      <c r="BWV337" s="104"/>
      <c r="BWW337" s="104"/>
      <c r="BWX337" s="104"/>
      <c r="BWY337" s="104"/>
      <c r="BWZ337" s="104"/>
      <c r="BXA337" s="104"/>
      <c r="BXB337" s="104"/>
      <c r="BXC337" s="104"/>
      <c r="BXD337" s="104"/>
      <c r="BXE337" s="104"/>
      <c r="BXF337" s="104"/>
      <c r="BXG337" s="104"/>
      <c r="BXH337" s="104"/>
      <c r="BXI337" s="104"/>
      <c r="BXJ337" s="104"/>
      <c r="BXK337" s="104"/>
      <c r="BXL337" s="104"/>
      <c r="BXM337" s="104"/>
      <c r="BXN337" s="104"/>
      <c r="BXO337" s="104"/>
      <c r="BXP337" s="104"/>
      <c r="BXQ337" s="104"/>
      <c r="BXR337" s="104"/>
      <c r="BXS337" s="104"/>
      <c r="BXT337" s="104"/>
      <c r="BXU337" s="104"/>
      <c r="BXV337" s="104"/>
      <c r="BXW337" s="104"/>
      <c r="BXX337" s="104"/>
      <c r="BXY337" s="104"/>
      <c r="BXZ337" s="104"/>
      <c r="BYA337" s="104"/>
      <c r="BYB337" s="104"/>
      <c r="BYC337" s="104"/>
      <c r="BYD337" s="104"/>
      <c r="BYE337" s="104"/>
      <c r="BYF337" s="104"/>
      <c r="BYG337" s="104"/>
      <c r="BYH337" s="104"/>
      <c r="BYI337" s="104"/>
      <c r="BYJ337" s="104"/>
      <c r="BYK337" s="104"/>
      <c r="BYL337" s="104"/>
      <c r="BYM337" s="104"/>
      <c r="BYN337" s="104"/>
      <c r="BYO337" s="104"/>
      <c r="BYP337" s="104"/>
      <c r="BYQ337" s="104"/>
      <c r="BYR337" s="104"/>
      <c r="BYS337" s="104"/>
      <c r="BYT337" s="104"/>
      <c r="BYU337" s="104"/>
      <c r="BYV337" s="104"/>
      <c r="BYW337" s="104"/>
      <c r="BYX337" s="104"/>
      <c r="BYY337" s="104"/>
      <c r="BYZ337" s="104"/>
      <c r="BZA337" s="104"/>
      <c r="BZB337" s="104"/>
      <c r="BZC337" s="104"/>
      <c r="BZD337" s="104"/>
      <c r="BZE337" s="104"/>
      <c r="BZF337" s="104"/>
      <c r="BZG337" s="104"/>
      <c r="BZH337" s="104"/>
      <c r="BZI337" s="104"/>
      <c r="BZJ337" s="104"/>
      <c r="BZK337" s="104"/>
      <c r="BZL337" s="104"/>
      <c r="BZM337" s="104"/>
      <c r="BZN337" s="104"/>
      <c r="BZO337" s="104"/>
      <c r="BZP337" s="104"/>
      <c r="BZQ337" s="104"/>
      <c r="BZR337" s="104"/>
      <c r="BZS337" s="104"/>
      <c r="BZT337" s="104"/>
      <c r="BZU337" s="104"/>
      <c r="BZV337" s="104"/>
      <c r="BZW337" s="104"/>
      <c r="BZX337" s="104"/>
      <c r="BZY337" s="104"/>
      <c r="BZZ337" s="104"/>
      <c r="CAA337" s="104"/>
      <c r="CAB337" s="104"/>
      <c r="CAC337" s="104"/>
      <c r="CAD337" s="104"/>
      <c r="CAE337" s="104"/>
      <c r="CAF337" s="104"/>
      <c r="CAG337" s="104"/>
      <c r="CAH337" s="104"/>
      <c r="CAI337" s="104"/>
      <c r="CAJ337" s="104"/>
      <c r="CAK337" s="104"/>
      <c r="CAL337" s="104"/>
      <c r="CAM337" s="104"/>
      <c r="CAN337" s="104"/>
      <c r="CAO337" s="104"/>
      <c r="CAP337" s="104"/>
      <c r="CAQ337" s="104"/>
      <c r="CAR337" s="104"/>
      <c r="CAS337" s="104"/>
      <c r="CAT337" s="104"/>
      <c r="CAU337" s="104"/>
      <c r="CAV337" s="104"/>
      <c r="CAW337" s="104"/>
      <c r="CAX337" s="104"/>
      <c r="CAY337" s="104"/>
      <c r="CAZ337" s="104"/>
      <c r="CBA337" s="104"/>
      <c r="CBB337" s="104"/>
      <c r="CBC337" s="104"/>
      <c r="CBD337" s="104"/>
      <c r="CBE337" s="104"/>
      <c r="CBF337" s="104"/>
      <c r="CBG337" s="104"/>
      <c r="CBH337" s="104"/>
      <c r="CBI337" s="104"/>
      <c r="CBJ337" s="104"/>
      <c r="CBK337" s="104"/>
      <c r="CBL337" s="104"/>
      <c r="CBM337" s="104"/>
      <c r="CBN337" s="104"/>
      <c r="CBO337" s="104"/>
      <c r="CBP337" s="104"/>
      <c r="CBQ337" s="104"/>
      <c r="CBR337" s="104"/>
      <c r="CBS337" s="104"/>
      <c r="CBT337" s="104"/>
      <c r="CBU337" s="104"/>
      <c r="CBV337" s="104"/>
      <c r="CBW337" s="104"/>
      <c r="CBX337" s="104"/>
      <c r="CBY337" s="104"/>
      <c r="CBZ337" s="104"/>
      <c r="CCA337" s="104"/>
      <c r="CCB337" s="104"/>
      <c r="CCC337" s="104"/>
      <c r="CCD337" s="104"/>
      <c r="CCE337" s="104"/>
      <c r="CCF337" s="104"/>
      <c r="CCG337" s="104"/>
      <c r="CCH337" s="104"/>
      <c r="CCI337" s="104"/>
      <c r="CCJ337" s="104"/>
      <c r="CCK337" s="104"/>
      <c r="CCL337" s="104"/>
      <c r="CCM337" s="104"/>
      <c r="CCN337" s="104"/>
      <c r="CCO337" s="104"/>
      <c r="CCP337" s="104"/>
      <c r="CCQ337" s="104"/>
      <c r="CCR337" s="104"/>
      <c r="CCS337" s="104"/>
      <c r="CCT337" s="104"/>
      <c r="CCU337" s="104"/>
      <c r="CCV337" s="104"/>
      <c r="CCW337" s="104"/>
      <c r="CCX337" s="104"/>
      <c r="CCY337" s="104"/>
      <c r="CCZ337" s="104"/>
      <c r="CDA337" s="104"/>
      <c r="CDB337" s="104"/>
      <c r="CDC337" s="104"/>
      <c r="CDD337" s="104"/>
      <c r="CDE337" s="104"/>
      <c r="CDF337" s="104"/>
      <c r="CDG337" s="104"/>
      <c r="CDH337" s="104"/>
      <c r="CDI337" s="104"/>
      <c r="CDJ337" s="104"/>
      <c r="CDK337" s="104"/>
      <c r="CDL337" s="104"/>
      <c r="CDM337" s="104"/>
      <c r="CDN337" s="104"/>
      <c r="CDO337" s="104"/>
      <c r="CDP337" s="104"/>
      <c r="CDQ337" s="104"/>
      <c r="CDR337" s="104"/>
      <c r="CDS337" s="104"/>
      <c r="CDT337" s="104"/>
      <c r="CDU337" s="104"/>
      <c r="CDV337" s="104"/>
      <c r="CDW337" s="104"/>
      <c r="CDX337" s="104"/>
      <c r="CDY337" s="104"/>
      <c r="CDZ337" s="104"/>
      <c r="CEA337" s="104"/>
      <c r="CEB337" s="104"/>
      <c r="CEC337" s="104"/>
      <c r="CED337" s="104"/>
      <c r="CEE337" s="104"/>
      <c r="CEF337" s="104"/>
      <c r="CEG337" s="104"/>
      <c r="CEH337" s="104"/>
      <c r="CEI337" s="104"/>
      <c r="CEJ337" s="104"/>
      <c r="CEK337" s="104"/>
      <c r="CEL337" s="104"/>
      <c r="CEM337" s="104"/>
      <c r="CEN337" s="104"/>
      <c r="CEO337" s="104"/>
      <c r="CEP337" s="104"/>
      <c r="CEQ337" s="104"/>
      <c r="CER337" s="104"/>
      <c r="CES337" s="104"/>
      <c r="CET337" s="104"/>
      <c r="CEU337" s="104"/>
      <c r="CEV337" s="104"/>
      <c r="CEW337" s="104"/>
      <c r="CEX337" s="104"/>
      <c r="CEY337" s="104"/>
      <c r="CEZ337" s="104"/>
      <c r="CFA337" s="104"/>
      <c r="CFB337" s="104"/>
      <c r="CFC337" s="104"/>
      <c r="CFD337" s="104"/>
      <c r="CFE337" s="104"/>
      <c r="CFF337" s="104"/>
      <c r="CFG337" s="104"/>
      <c r="CFH337" s="104"/>
      <c r="CFI337" s="104"/>
      <c r="CFJ337" s="104"/>
      <c r="CFK337" s="104"/>
      <c r="CFL337" s="104"/>
      <c r="CFM337" s="104"/>
      <c r="CFN337" s="104"/>
      <c r="CFO337" s="104"/>
      <c r="CFP337" s="104"/>
      <c r="CFQ337" s="104"/>
      <c r="CFR337" s="104"/>
      <c r="CFS337" s="104"/>
      <c r="CFT337" s="104"/>
      <c r="CFU337" s="104"/>
      <c r="CFV337" s="104"/>
      <c r="CFW337" s="104"/>
      <c r="CFX337" s="104"/>
      <c r="CFY337" s="104"/>
      <c r="CFZ337" s="104"/>
      <c r="CGA337" s="104"/>
      <c r="CGB337" s="104"/>
      <c r="CGC337" s="104"/>
      <c r="CGD337" s="104"/>
      <c r="CGE337" s="104"/>
      <c r="CGF337" s="104"/>
      <c r="CGG337" s="104"/>
      <c r="CGH337" s="104"/>
      <c r="CGI337" s="104"/>
      <c r="CGJ337" s="104"/>
      <c r="CGK337" s="104"/>
      <c r="CGL337" s="104"/>
      <c r="CGM337" s="104"/>
      <c r="CGN337" s="104"/>
      <c r="CGO337" s="104"/>
      <c r="CGP337" s="104"/>
      <c r="CGQ337" s="104"/>
      <c r="CGR337" s="104"/>
      <c r="CGS337" s="104"/>
      <c r="CGT337" s="104"/>
      <c r="CGU337" s="104"/>
      <c r="CGV337" s="104"/>
      <c r="CGW337" s="104"/>
      <c r="CGX337" s="104"/>
      <c r="CGY337" s="104"/>
      <c r="CGZ337" s="104"/>
      <c r="CHA337" s="104"/>
      <c r="CHB337" s="104"/>
      <c r="CHC337" s="104"/>
      <c r="CHD337" s="104"/>
      <c r="CHE337" s="104"/>
      <c r="CHF337" s="104"/>
      <c r="CHG337" s="104"/>
      <c r="CHH337" s="104"/>
      <c r="CHI337" s="104"/>
      <c r="CHJ337" s="104"/>
      <c r="CHK337" s="104"/>
      <c r="CHL337" s="104"/>
      <c r="CHM337" s="104"/>
      <c r="CHN337" s="104"/>
      <c r="CHO337" s="104"/>
      <c r="CHP337" s="104"/>
      <c r="CHQ337" s="104"/>
      <c r="CHR337" s="104"/>
      <c r="CHS337" s="104"/>
      <c r="CHT337" s="104"/>
      <c r="CHU337" s="104"/>
      <c r="CHV337" s="104"/>
      <c r="CHW337" s="104"/>
      <c r="CHX337" s="104"/>
      <c r="CHY337" s="104"/>
      <c r="CHZ337" s="104"/>
      <c r="CIA337" s="104"/>
      <c r="CIB337" s="104"/>
      <c r="CIC337" s="104"/>
      <c r="CID337" s="104"/>
      <c r="CIE337" s="104"/>
      <c r="CIF337" s="104"/>
      <c r="CIG337" s="104"/>
      <c r="CIH337" s="104"/>
      <c r="CII337" s="104"/>
      <c r="CIJ337" s="104"/>
      <c r="CIK337" s="104"/>
      <c r="CIL337" s="104"/>
      <c r="CIM337" s="104"/>
      <c r="CIN337" s="104"/>
      <c r="CIO337" s="104"/>
      <c r="CIP337" s="104"/>
      <c r="CIQ337" s="104"/>
      <c r="CIR337" s="104"/>
      <c r="CIS337" s="104"/>
      <c r="CIT337" s="104"/>
      <c r="CIU337" s="104"/>
      <c r="CIV337" s="104"/>
      <c r="CIW337" s="104"/>
      <c r="CIX337" s="104"/>
      <c r="CIY337" s="104"/>
      <c r="CIZ337" s="104"/>
      <c r="CJA337" s="104"/>
      <c r="CJB337" s="104"/>
      <c r="CJC337" s="104"/>
      <c r="CJD337" s="104"/>
      <c r="CJE337" s="104"/>
      <c r="CJF337" s="104"/>
      <c r="CJG337" s="104"/>
      <c r="CJH337" s="104"/>
      <c r="CJI337" s="104"/>
      <c r="CJJ337" s="104"/>
      <c r="CJK337" s="104"/>
      <c r="CJL337" s="104"/>
      <c r="CJM337" s="104"/>
      <c r="CJN337" s="104"/>
      <c r="CJO337" s="104"/>
      <c r="CJP337" s="104"/>
      <c r="CJQ337" s="104"/>
      <c r="CJR337" s="104"/>
      <c r="CJS337" s="104"/>
      <c r="CJT337" s="104"/>
      <c r="CJU337" s="104"/>
      <c r="CJV337" s="104"/>
      <c r="CJW337" s="104"/>
      <c r="CJX337" s="104"/>
      <c r="CJY337" s="104"/>
      <c r="CJZ337" s="104"/>
      <c r="CKA337" s="104"/>
      <c r="CKB337" s="104"/>
      <c r="CKC337" s="104"/>
      <c r="CKD337" s="104"/>
      <c r="CKE337" s="104"/>
      <c r="CKF337" s="104"/>
      <c r="CKG337" s="104"/>
      <c r="CKH337" s="104"/>
      <c r="CKI337" s="104"/>
      <c r="CKJ337" s="104"/>
      <c r="CKK337" s="104"/>
      <c r="CKL337" s="104"/>
      <c r="CKM337" s="104"/>
      <c r="CKN337" s="104"/>
      <c r="CKO337" s="104"/>
      <c r="CKP337" s="104"/>
      <c r="CKQ337" s="104"/>
      <c r="CKR337" s="104"/>
      <c r="CKS337" s="104"/>
      <c r="CKT337" s="104"/>
      <c r="CKU337" s="104"/>
      <c r="CKV337" s="104"/>
      <c r="CKW337" s="104"/>
      <c r="CKX337" s="104"/>
      <c r="CKY337" s="104"/>
      <c r="CKZ337" s="104"/>
      <c r="CLA337" s="104"/>
      <c r="CLB337" s="104"/>
      <c r="CLC337" s="104"/>
      <c r="CLD337" s="104"/>
      <c r="CLE337" s="104"/>
      <c r="CLF337" s="104"/>
      <c r="CLG337" s="104"/>
      <c r="CLH337" s="104"/>
      <c r="CLI337" s="104"/>
      <c r="CLJ337" s="104"/>
      <c r="CLK337" s="104"/>
      <c r="CLL337" s="104"/>
      <c r="CLM337" s="104"/>
      <c r="CLN337" s="104"/>
      <c r="CLO337" s="104"/>
      <c r="CLP337" s="104"/>
      <c r="CLQ337" s="104"/>
      <c r="CLR337" s="104"/>
      <c r="CLS337" s="104"/>
      <c r="CLT337" s="104"/>
      <c r="CLU337" s="104"/>
      <c r="CLV337" s="104"/>
      <c r="CLW337" s="104"/>
      <c r="CLX337" s="104"/>
      <c r="CLY337" s="104"/>
      <c r="CLZ337" s="104"/>
      <c r="CMA337" s="104"/>
      <c r="CMB337" s="104"/>
      <c r="CMC337" s="104"/>
      <c r="CMD337" s="104"/>
      <c r="CME337" s="104"/>
      <c r="CMF337" s="104"/>
      <c r="CMG337" s="104"/>
      <c r="CMH337" s="104"/>
      <c r="CMI337" s="104"/>
      <c r="CMJ337" s="104"/>
      <c r="CMK337" s="104"/>
      <c r="CML337" s="104"/>
      <c r="CMM337" s="104"/>
      <c r="CMN337" s="104"/>
      <c r="CMO337" s="104"/>
      <c r="CMP337" s="104"/>
      <c r="CMQ337" s="104"/>
      <c r="CMR337" s="104"/>
      <c r="CMS337" s="104"/>
      <c r="CMT337" s="104"/>
      <c r="CMU337" s="104"/>
      <c r="CMV337" s="104"/>
      <c r="CMW337" s="104"/>
      <c r="CMX337" s="104"/>
      <c r="CMY337" s="104"/>
      <c r="CMZ337" s="104"/>
      <c r="CNA337" s="104"/>
      <c r="CNB337" s="104"/>
      <c r="CNC337" s="104"/>
      <c r="CND337" s="104"/>
      <c r="CNE337" s="104"/>
      <c r="CNF337" s="104"/>
      <c r="CNG337" s="104"/>
      <c r="CNH337" s="104"/>
      <c r="CNI337" s="104"/>
      <c r="CNJ337" s="104"/>
      <c r="CNK337" s="104"/>
      <c r="CNL337" s="104"/>
      <c r="CNM337" s="104"/>
      <c r="CNN337" s="104"/>
      <c r="CNO337" s="104"/>
      <c r="CNP337" s="104"/>
      <c r="CNQ337" s="104"/>
      <c r="CNR337" s="104"/>
      <c r="CNS337" s="104"/>
      <c r="CNT337" s="104"/>
      <c r="CNU337" s="104"/>
      <c r="CNV337" s="104"/>
      <c r="CNW337" s="104"/>
      <c r="CNX337" s="104"/>
      <c r="CNY337" s="104"/>
      <c r="CNZ337" s="104"/>
      <c r="COA337" s="104"/>
      <c r="COB337" s="104"/>
      <c r="COC337" s="104"/>
      <c r="COD337" s="104"/>
      <c r="COE337" s="104"/>
      <c r="COF337" s="104"/>
      <c r="COG337" s="104"/>
      <c r="COH337" s="104"/>
      <c r="COI337" s="104"/>
      <c r="COJ337" s="104"/>
      <c r="COK337" s="104"/>
      <c r="COL337" s="104"/>
      <c r="COM337" s="104"/>
      <c r="CON337" s="104"/>
      <c r="COO337" s="104"/>
      <c r="COP337" s="104"/>
      <c r="COQ337" s="104"/>
      <c r="COR337" s="104"/>
      <c r="COS337" s="104"/>
      <c r="COT337" s="104"/>
      <c r="COU337" s="104"/>
      <c r="COV337" s="104"/>
      <c r="COW337" s="104"/>
      <c r="COX337" s="104"/>
      <c r="COY337" s="104"/>
      <c r="COZ337" s="104"/>
      <c r="CPA337" s="104"/>
      <c r="CPB337" s="104"/>
      <c r="CPC337" s="104"/>
      <c r="CPD337" s="104"/>
      <c r="CPE337" s="104"/>
      <c r="CPF337" s="104"/>
      <c r="CPG337" s="104"/>
      <c r="CPH337" s="104"/>
      <c r="CPI337" s="104"/>
      <c r="CPJ337" s="104"/>
      <c r="CPK337" s="104"/>
      <c r="CPL337" s="104"/>
      <c r="CPM337" s="104"/>
      <c r="CPN337" s="104"/>
      <c r="CPO337" s="104"/>
      <c r="CPP337" s="104"/>
      <c r="CPQ337" s="104"/>
      <c r="CPR337" s="104"/>
      <c r="CPS337" s="104"/>
      <c r="CPT337" s="104"/>
      <c r="CPU337" s="104"/>
      <c r="CPV337" s="104"/>
      <c r="CPW337" s="104"/>
      <c r="CPX337" s="104"/>
      <c r="CPY337" s="104"/>
      <c r="CPZ337" s="104"/>
      <c r="CQA337" s="104"/>
      <c r="CQB337" s="104"/>
      <c r="CQC337" s="104"/>
      <c r="CQD337" s="104"/>
      <c r="CQE337" s="104"/>
      <c r="CQF337" s="104"/>
      <c r="CQG337" s="104"/>
      <c r="CQH337" s="104"/>
      <c r="CQI337" s="104"/>
      <c r="CQJ337" s="104"/>
      <c r="CQK337" s="104"/>
      <c r="CQL337" s="104"/>
      <c r="CQM337" s="104"/>
      <c r="CQN337" s="104"/>
      <c r="CQO337" s="104"/>
      <c r="CQP337" s="104"/>
      <c r="CQQ337" s="104"/>
      <c r="CQR337" s="104"/>
      <c r="CQS337" s="104"/>
      <c r="CQT337" s="104"/>
      <c r="CQU337" s="104"/>
      <c r="CQV337" s="104"/>
      <c r="CQW337" s="104"/>
      <c r="CQX337" s="104"/>
      <c r="CQY337" s="104"/>
      <c r="CQZ337" s="104"/>
      <c r="CRA337" s="104"/>
      <c r="CRB337" s="104"/>
      <c r="CRC337" s="104"/>
      <c r="CRD337" s="104"/>
      <c r="CRE337" s="104"/>
      <c r="CRF337" s="104"/>
      <c r="CRG337" s="104"/>
      <c r="CRH337" s="104"/>
      <c r="CRI337" s="104"/>
      <c r="CRJ337" s="104"/>
      <c r="CRK337" s="104"/>
      <c r="CRL337" s="104"/>
      <c r="CRM337" s="104"/>
      <c r="CRN337" s="104"/>
      <c r="CRO337" s="104"/>
      <c r="CRP337" s="104"/>
      <c r="CRQ337" s="104"/>
      <c r="CRR337" s="104"/>
      <c r="CRS337" s="104"/>
      <c r="CRT337" s="104"/>
      <c r="CRU337" s="104"/>
      <c r="CRV337" s="104"/>
      <c r="CRW337" s="104"/>
      <c r="CRX337" s="104"/>
      <c r="CRY337" s="104"/>
      <c r="CRZ337" s="104"/>
      <c r="CSA337" s="104"/>
      <c r="CSB337" s="104"/>
      <c r="CSC337" s="104"/>
      <c r="CSD337" s="104"/>
      <c r="CSE337" s="104"/>
      <c r="CSF337" s="104"/>
      <c r="CSG337" s="104"/>
      <c r="CSH337" s="104"/>
      <c r="CSI337" s="104"/>
      <c r="CSJ337" s="104"/>
      <c r="CSK337" s="104"/>
      <c r="CSL337" s="104"/>
      <c r="CSM337" s="104"/>
      <c r="CSN337" s="104"/>
      <c r="CSO337" s="104"/>
      <c r="CSP337" s="104"/>
      <c r="CSQ337" s="104"/>
      <c r="CSR337" s="104"/>
      <c r="CSS337" s="104"/>
      <c r="CST337" s="104"/>
      <c r="CSU337" s="104"/>
      <c r="CSV337" s="104"/>
      <c r="CSW337" s="104"/>
      <c r="CSX337" s="104"/>
      <c r="CSY337" s="104"/>
      <c r="CSZ337" s="104"/>
      <c r="CTA337" s="104"/>
      <c r="CTB337" s="104"/>
      <c r="CTC337" s="104"/>
      <c r="CTD337" s="104"/>
      <c r="CTE337" s="104"/>
      <c r="CTF337" s="104"/>
      <c r="CTG337" s="104"/>
      <c r="CTH337" s="104"/>
      <c r="CTI337" s="104"/>
      <c r="CTJ337" s="104"/>
      <c r="CTK337" s="104"/>
      <c r="CTL337" s="104"/>
      <c r="CTM337" s="104"/>
      <c r="CTN337" s="104"/>
      <c r="CTO337" s="104"/>
      <c r="CTP337" s="104"/>
      <c r="CTQ337" s="104"/>
      <c r="CTR337" s="104"/>
      <c r="CTS337" s="104"/>
      <c r="CTT337" s="104"/>
      <c r="CTU337" s="104"/>
      <c r="CTV337" s="104"/>
      <c r="CTW337" s="104"/>
      <c r="CTX337" s="104"/>
      <c r="CTY337" s="104"/>
      <c r="CTZ337" s="104"/>
      <c r="CUA337" s="104"/>
    </row>
    <row r="338" s="78" customFormat="1" spans="1:2575">
      <c r="A338" s="117"/>
      <c r="B338" s="116"/>
      <c r="C338" s="116"/>
      <c r="D338" s="116"/>
      <c r="E338" s="116"/>
      <c r="F338" s="116"/>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c r="BE338" s="104"/>
      <c r="BF338" s="104"/>
      <c r="BG338" s="104"/>
      <c r="BH338" s="104"/>
      <c r="BI338" s="104"/>
      <c r="BJ338" s="104"/>
      <c r="BK338" s="104"/>
      <c r="BL338" s="104"/>
      <c r="BM338" s="104"/>
      <c r="BN338" s="104"/>
      <c r="BO338" s="104"/>
      <c r="BP338" s="104"/>
      <c r="BQ338" s="104"/>
      <c r="BR338" s="104"/>
      <c r="BS338" s="104"/>
      <c r="BT338" s="104"/>
      <c r="BU338" s="104"/>
      <c r="BV338" s="104"/>
      <c r="BW338" s="104"/>
      <c r="BX338" s="104"/>
      <c r="BY338" s="104"/>
      <c r="BZ338" s="104"/>
      <c r="CA338" s="104"/>
      <c r="CB338" s="104"/>
      <c r="CC338" s="104"/>
      <c r="CD338" s="104"/>
      <c r="CE338" s="104"/>
      <c r="CF338" s="104"/>
      <c r="CG338" s="104"/>
      <c r="CH338" s="104"/>
      <c r="CI338" s="104"/>
      <c r="CJ338" s="104"/>
      <c r="CK338" s="104"/>
      <c r="CL338" s="104"/>
      <c r="CM338" s="104"/>
      <c r="CN338" s="104"/>
      <c r="CO338" s="104"/>
      <c r="CP338" s="104"/>
      <c r="CQ338" s="104"/>
      <c r="CR338" s="104"/>
      <c r="CS338" s="104"/>
      <c r="CT338" s="104"/>
      <c r="CU338" s="104"/>
      <c r="CV338" s="104"/>
      <c r="CW338" s="104"/>
      <c r="CX338" s="104"/>
      <c r="CY338" s="104"/>
      <c r="CZ338" s="104"/>
      <c r="DA338" s="104"/>
      <c r="DB338" s="104"/>
      <c r="DC338" s="104"/>
      <c r="DD338" s="104"/>
      <c r="DE338" s="104"/>
      <c r="DF338" s="104"/>
      <c r="DG338" s="104"/>
      <c r="DH338" s="104"/>
      <c r="DI338" s="104"/>
      <c r="DJ338" s="104"/>
      <c r="DK338" s="104"/>
      <c r="DL338" s="104"/>
      <c r="DM338" s="104"/>
      <c r="DN338" s="104"/>
      <c r="DO338" s="104"/>
      <c r="DP338" s="104"/>
      <c r="DQ338" s="104"/>
      <c r="DR338" s="104"/>
      <c r="DS338" s="104"/>
      <c r="DT338" s="104"/>
      <c r="DU338" s="104"/>
      <c r="DV338" s="104"/>
      <c r="DW338" s="104"/>
      <c r="DX338" s="104"/>
      <c r="DY338" s="104"/>
      <c r="DZ338" s="104"/>
      <c r="EA338" s="104"/>
      <c r="EB338" s="104"/>
      <c r="EC338" s="104"/>
      <c r="ED338" s="104"/>
      <c r="EE338" s="104"/>
      <c r="EF338" s="104"/>
      <c r="EG338" s="104"/>
      <c r="EH338" s="104"/>
      <c r="EI338" s="104"/>
      <c r="EJ338" s="104"/>
      <c r="EK338" s="104"/>
      <c r="EL338" s="104"/>
      <c r="EM338" s="104"/>
      <c r="EN338" s="104"/>
      <c r="EO338" s="104"/>
      <c r="EP338" s="104"/>
      <c r="EQ338" s="104"/>
      <c r="ER338" s="104"/>
      <c r="ES338" s="104"/>
      <c r="ET338" s="104"/>
      <c r="EU338" s="104"/>
      <c r="EV338" s="104"/>
      <c r="EW338" s="104"/>
      <c r="EX338" s="104"/>
      <c r="EY338" s="104"/>
      <c r="EZ338" s="104"/>
      <c r="FA338" s="104"/>
      <c r="FB338" s="104"/>
      <c r="FC338" s="104"/>
      <c r="FD338" s="104"/>
      <c r="FE338" s="104"/>
      <c r="FF338" s="104"/>
      <c r="FG338" s="104"/>
      <c r="FH338" s="104"/>
      <c r="FI338" s="104"/>
      <c r="FJ338" s="104"/>
      <c r="FK338" s="104"/>
      <c r="FL338" s="104"/>
      <c r="FM338" s="104"/>
      <c r="FN338" s="104"/>
      <c r="FO338" s="104"/>
      <c r="FP338" s="104"/>
      <c r="FQ338" s="104"/>
      <c r="FR338" s="104"/>
      <c r="FS338" s="104"/>
      <c r="FT338" s="104"/>
      <c r="FU338" s="104"/>
      <c r="FV338" s="104"/>
      <c r="FW338" s="104"/>
      <c r="FX338" s="104"/>
      <c r="FY338" s="104"/>
      <c r="FZ338" s="104"/>
      <c r="GA338" s="104"/>
      <c r="GB338" s="104"/>
      <c r="GC338" s="104"/>
      <c r="GD338" s="104"/>
      <c r="GE338" s="104"/>
      <c r="GF338" s="104"/>
      <c r="GG338" s="104"/>
      <c r="GH338" s="104"/>
      <c r="GI338" s="104"/>
      <c r="GJ338" s="104"/>
      <c r="GK338" s="104"/>
      <c r="GL338" s="104"/>
      <c r="GM338" s="104"/>
      <c r="GN338" s="104"/>
      <c r="GO338" s="104"/>
      <c r="GP338" s="104"/>
      <c r="GQ338" s="104"/>
      <c r="GR338" s="104"/>
      <c r="GS338" s="104"/>
      <c r="GT338" s="104"/>
      <c r="GU338" s="104"/>
      <c r="GV338" s="104"/>
      <c r="GW338" s="104"/>
      <c r="GX338" s="104"/>
      <c r="GY338" s="104"/>
      <c r="GZ338" s="104"/>
      <c r="HA338" s="104"/>
      <c r="HB338" s="104"/>
      <c r="HC338" s="104"/>
      <c r="HD338" s="104"/>
      <c r="HE338" s="104"/>
      <c r="HF338" s="104"/>
      <c r="HG338" s="104"/>
      <c r="HH338" s="104"/>
      <c r="HI338" s="104"/>
      <c r="HJ338" s="104"/>
      <c r="HK338" s="104"/>
      <c r="HL338" s="104"/>
      <c r="HM338" s="104"/>
      <c r="HN338" s="104"/>
      <c r="HO338" s="104"/>
      <c r="HP338" s="104"/>
      <c r="HQ338" s="104"/>
      <c r="HR338" s="104"/>
      <c r="HS338" s="104"/>
      <c r="HT338" s="104"/>
      <c r="HU338" s="104"/>
      <c r="HV338" s="104"/>
      <c r="HW338" s="104"/>
      <c r="HX338" s="104"/>
      <c r="HY338" s="104"/>
      <c r="HZ338" s="104"/>
      <c r="IA338" s="104"/>
      <c r="IB338" s="104"/>
      <c r="IC338" s="104"/>
      <c r="ID338" s="104"/>
      <c r="IE338" s="104"/>
      <c r="IF338" s="104"/>
      <c r="IG338" s="104"/>
      <c r="IH338" s="104"/>
      <c r="II338" s="104"/>
      <c r="IJ338" s="104"/>
      <c r="IK338" s="104"/>
      <c r="IL338" s="104"/>
      <c r="IM338" s="104"/>
      <c r="IN338" s="104"/>
      <c r="IO338" s="104"/>
      <c r="IP338" s="104"/>
      <c r="IQ338" s="104"/>
      <c r="IR338" s="104"/>
      <c r="IS338" s="104"/>
      <c r="IT338" s="104"/>
      <c r="IU338" s="104"/>
      <c r="IV338" s="104"/>
      <c r="IW338" s="104"/>
      <c r="IX338" s="104"/>
      <c r="IY338" s="104"/>
      <c r="IZ338" s="104"/>
      <c r="JA338" s="104"/>
      <c r="JB338" s="104"/>
      <c r="JC338" s="104"/>
      <c r="JD338" s="104"/>
      <c r="JE338" s="104"/>
      <c r="JF338" s="104"/>
      <c r="JG338" s="104"/>
      <c r="JH338" s="104"/>
      <c r="JI338" s="104"/>
      <c r="JJ338" s="104"/>
      <c r="JK338" s="104"/>
      <c r="JL338" s="104"/>
      <c r="JM338" s="104"/>
      <c r="JN338" s="104"/>
      <c r="JO338" s="104"/>
      <c r="JP338" s="104"/>
      <c r="JQ338" s="104"/>
      <c r="JR338" s="104"/>
      <c r="JS338" s="104"/>
      <c r="JT338" s="104"/>
      <c r="JU338" s="104"/>
      <c r="JV338" s="104"/>
      <c r="JW338" s="104"/>
      <c r="JX338" s="104"/>
      <c r="JY338" s="104"/>
      <c r="JZ338" s="104"/>
      <c r="KA338" s="104"/>
      <c r="KB338" s="104"/>
      <c r="KC338" s="104"/>
      <c r="KD338" s="104"/>
      <c r="KE338" s="104"/>
      <c r="KF338" s="104"/>
      <c r="KG338" s="104"/>
      <c r="KH338" s="104"/>
      <c r="KI338" s="104"/>
      <c r="KJ338" s="104"/>
      <c r="KK338" s="104"/>
      <c r="KL338" s="104"/>
      <c r="KM338" s="104"/>
      <c r="KN338" s="104"/>
      <c r="KO338" s="104"/>
      <c r="KP338" s="104"/>
      <c r="KQ338" s="104"/>
      <c r="KR338" s="104"/>
      <c r="KS338" s="104"/>
      <c r="KT338" s="104"/>
      <c r="KU338" s="104"/>
      <c r="KV338" s="104"/>
      <c r="KW338" s="104"/>
      <c r="KX338" s="104"/>
      <c r="KY338" s="104"/>
      <c r="KZ338" s="104"/>
      <c r="LA338" s="104"/>
      <c r="LB338" s="104"/>
      <c r="LC338" s="104"/>
      <c r="LD338" s="104"/>
      <c r="LE338" s="104"/>
      <c r="LF338" s="104"/>
      <c r="LG338" s="104"/>
      <c r="LH338" s="104"/>
      <c r="LI338" s="104"/>
      <c r="LJ338" s="104"/>
      <c r="LK338" s="104"/>
      <c r="LL338" s="104"/>
      <c r="LM338" s="104"/>
      <c r="LN338" s="104"/>
      <c r="LO338" s="104"/>
      <c r="LP338" s="104"/>
      <c r="LQ338" s="104"/>
      <c r="LR338" s="104"/>
      <c r="LS338" s="104"/>
      <c r="LT338" s="104"/>
      <c r="LU338" s="104"/>
      <c r="LV338" s="104"/>
      <c r="LW338" s="104"/>
      <c r="LX338" s="104"/>
      <c r="LY338" s="104"/>
      <c r="LZ338" s="104"/>
      <c r="MA338" s="104"/>
      <c r="MB338" s="104"/>
      <c r="MC338" s="104"/>
      <c r="MD338" s="104"/>
      <c r="ME338" s="104"/>
      <c r="MF338" s="104"/>
      <c r="MG338" s="104"/>
      <c r="MH338" s="104"/>
      <c r="MI338" s="104"/>
      <c r="MJ338" s="104"/>
      <c r="MK338" s="104"/>
      <c r="ML338" s="104"/>
      <c r="MM338" s="104"/>
      <c r="MN338" s="104"/>
      <c r="MO338" s="104"/>
      <c r="MP338" s="104"/>
      <c r="MQ338" s="104"/>
      <c r="MR338" s="104"/>
      <c r="MS338" s="104"/>
      <c r="MT338" s="104"/>
      <c r="MU338" s="104"/>
      <c r="MV338" s="104"/>
      <c r="MW338" s="104"/>
      <c r="MX338" s="104"/>
      <c r="MY338" s="104"/>
      <c r="MZ338" s="104"/>
      <c r="NA338" s="104"/>
      <c r="NB338" s="104"/>
      <c r="NC338" s="104"/>
      <c r="ND338" s="104"/>
      <c r="NE338" s="104"/>
      <c r="NF338" s="104"/>
      <c r="NG338" s="104"/>
      <c r="NH338" s="104"/>
      <c r="NI338" s="104"/>
      <c r="NJ338" s="104"/>
      <c r="NK338" s="104"/>
      <c r="NL338" s="104"/>
      <c r="NM338" s="104"/>
      <c r="NN338" s="104"/>
      <c r="NO338" s="104"/>
      <c r="NP338" s="104"/>
      <c r="NQ338" s="104"/>
      <c r="NR338" s="104"/>
      <c r="NS338" s="104"/>
      <c r="NT338" s="104"/>
      <c r="NU338" s="104"/>
      <c r="NV338" s="104"/>
      <c r="NW338" s="104"/>
      <c r="NX338" s="104"/>
      <c r="NY338" s="104"/>
      <c r="NZ338" s="104"/>
      <c r="OA338" s="104"/>
      <c r="OB338" s="104"/>
      <c r="OC338" s="104"/>
      <c r="OD338" s="104"/>
      <c r="OE338" s="104"/>
      <c r="OF338" s="104"/>
      <c r="OG338" s="104"/>
      <c r="OH338" s="104"/>
      <c r="OI338" s="104"/>
      <c r="OJ338" s="104"/>
      <c r="OK338" s="104"/>
      <c r="OL338" s="104"/>
      <c r="OM338" s="104"/>
      <c r="ON338" s="104"/>
      <c r="OO338" s="104"/>
      <c r="OP338" s="104"/>
      <c r="OQ338" s="104"/>
      <c r="OR338" s="104"/>
      <c r="OS338" s="104"/>
      <c r="OT338" s="104"/>
      <c r="OU338" s="104"/>
      <c r="OV338" s="104"/>
      <c r="OW338" s="104"/>
      <c r="OX338" s="104"/>
      <c r="OY338" s="104"/>
      <c r="OZ338" s="104"/>
      <c r="PA338" s="104"/>
      <c r="PB338" s="104"/>
      <c r="PC338" s="104"/>
      <c r="PD338" s="104"/>
      <c r="PE338" s="104"/>
      <c r="PF338" s="104"/>
      <c r="PG338" s="104"/>
      <c r="PH338" s="104"/>
      <c r="PI338" s="104"/>
      <c r="PJ338" s="104"/>
      <c r="PK338" s="104"/>
      <c r="PL338" s="104"/>
      <c r="PM338" s="104"/>
      <c r="PN338" s="104"/>
      <c r="PO338" s="104"/>
      <c r="PP338" s="104"/>
      <c r="PQ338" s="104"/>
      <c r="PR338" s="104"/>
      <c r="PS338" s="104"/>
      <c r="PT338" s="104"/>
      <c r="PU338" s="104"/>
      <c r="PV338" s="104"/>
      <c r="PW338" s="104"/>
      <c r="PX338" s="104"/>
      <c r="PY338" s="104"/>
      <c r="PZ338" s="104"/>
      <c r="QA338" s="104"/>
      <c r="QB338" s="104"/>
      <c r="QC338" s="104"/>
      <c r="QD338" s="104"/>
      <c r="QE338" s="104"/>
      <c r="QF338" s="104"/>
      <c r="QG338" s="104"/>
      <c r="QH338" s="104"/>
      <c r="QI338" s="104"/>
      <c r="QJ338" s="104"/>
      <c r="QK338" s="104"/>
      <c r="QL338" s="104"/>
      <c r="QM338" s="104"/>
      <c r="QN338" s="104"/>
      <c r="QO338" s="104"/>
      <c r="QP338" s="104"/>
      <c r="QQ338" s="104"/>
      <c r="QR338" s="104"/>
      <c r="QS338" s="104"/>
      <c r="QT338" s="104"/>
      <c r="QU338" s="104"/>
      <c r="QV338" s="104"/>
      <c r="QW338" s="104"/>
      <c r="QX338" s="104"/>
      <c r="QY338" s="104"/>
      <c r="QZ338" s="104"/>
      <c r="RA338" s="104"/>
      <c r="RB338" s="104"/>
      <c r="RC338" s="104"/>
      <c r="RD338" s="104"/>
      <c r="RE338" s="104"/>
      <c r="RF338" s="104"/>
      <c r="RG338" s="104"/>
      <c r="RH338" s="104"/>
      <c r="RI338" s="104"/>
      <c r="RJ338" s="104"/>
      <c r="RK338" s="104"/>
      <c r="RL338" s="104"/>
      <c r="RM338" s="104"/>
      <c r="RN338" s="104"/>
      <c r="RO338" s="104"/>
      <c r="RP338" s="104"/>
      <c r="RQ338" s="104"/>
      <c r="RR338" s="104"/>
      <c r="RS338" s="104"/>
      <c r="RT338" s="104"/>
      <c r="RU338" s="104"/>
      <c r="RV338" s="104"/>
      <c r="RW338" s="104"/>
      <c r="RX338" s="104"/>
      <c r="RY338" s="104"/>
      <c r="RZ338" s="104"/>
      <c r="SA338" s="104"/>
      <c r="SB338" s="104"/>
      <c r="SC338" s="104"/>
      <c r="SD338" s="104"/>
      <c r="SE338" s="104"/>
      <c r="SF338" s="104"/>
      <c r="SG338" s="104"/>
      <c r="SH338" s="104"/>
      <c r="SI338" s="104"/>
      <c r="SJ338" s="104"/>
      <c r="SK338" s="104"/>
      <c r="SL338" s="104"/>
      <c r="SM338" s="104"/>
      <c r="SN338" s="104"/>
      <c r="SO338" s="104"/>
      <c r="SP338" s="104"/>
      <c r="SQ338" s="104"/>
      <c r="SR338" s="104"/>
      <c r="SS338" s="104"/>
      <c r="ST338" s="104"/>
      <c r="SU338" s="104"/>
      <c r="SV338" s="104"/>
      <c r="SW338" s="104"/>
      <c r="SX338" s="104"/>
      <c r="SY338" s="104"/>
      <c r="SZ338" s="104"/>
      <c r="TA338" s="104"/>
      <c r="TB338" s="104"/>
      <c r="TC338" s="104"/>
      <c r="TD338" s="104"/>
      <c r="TE338" s="104"/>
      <c r="TF338" s="104"/>
      <c r="TG338" s="104"/>
      <c r="TH338" s="104"/>
      <c r="TI338" s="104"/>
      <c r="TJ338" s="104"/>
      <c r="TK338" s="104"/>
      <c r="TL338" s="104"/>
      <c r="TM338" s="104"/>
      <c r="TN338" s="104"/>
      <c r="TO338" s="104"/>
      <c r="TP338" s="104"/>
      <c r="TQ338" s="104"/>
      <c r="TR338" s="104"/>
      <c r="TS338" s="104"/>
      <c r="TT338" s="104"/>
      <c r="TU338" s="104"/>
      <c r="TV338" s="104"/>
      <c r="TW338" s="104"/>
      <c r="TX338" s="104"/>
      <c r="TY338" s="104"/>
      <c r="TZ338" s="104"/>
      <c r="UA338" s="104"/>
      <c r="UB338" s="104"/>
      <c r="UC338" s="104"/>
      <c r="UD338" s="104"/>
      <c r="UE338" s="104"/>
      <c r="UF338" s="104"/>
      <c r="UG338" s="104"/>
      <c r="UH338" s="104"/>
      <c r="UI338" s="104"/>
      <c r="UJ338" s="104"/>
      <c r="UK338" s="104"/>
      <c r="UL338" s="104"/>
      <c r="UM338" s="104"/>
      <c r="UN338" s="104"/>
      <c r="UO338" s="104"/>
      <c r="UP338" s="104"/>
      <c r="UQ338" s="104"/>
      <c r="UR338" s="104"/>
      <c r="US338" s="104"/>
      <c r="UT338" s="104"/>
      <c r="UU338" s="104"/>
      <c r="UV338" s="104"/>
      <c r="UW338" s="104"/>
      <c r="UX338" s="104"/>
      <c r="UY338" s="104"/>
      <c r="UZ338" s="104"/>
      <c r="VA338" s="104"/>
      <c r="VB338" s="104"/>
      <c r="VC338" s="104"/>
      <c r="VD338" s="104"/>
      <c r="VE338" s="104"/>
      <c r="VF338" s="104"/>
      <c r="VG338" s="104"/>
      <c r="VH338" s="104"/>
      <c r="VI338" s="104"/>
      <c r="VJ338" s="104"/>
      <c r="VK338" s="104"/>
      <c r="VL338" s="104"/>
      <c r="VM338" s="104"/>
      <c r="VN338" s="104"/>
      <c r="VO338" s="104"/>
      <c r="VP338" s="104"/>
      <c r="VQ338" s="104"/>
      <c r="VR338" s="104"/>
      <c r="VS338" s="104"/>
      <c r="VT338" s="104"/>
      <c r="VU338" s="104"/>
      <c r="VV338" s="104"/>
      <c r="VW338" s="104"/>
      <c r="VX338" s="104"/>
      <c r="VY338" s="104"/>
      <c r="VZ338" s="104"/>
      <c r="WA338" s="104"/>
      <c r="WB338" s="104"/>
      <c r="WC338" s="104"/>
      <c r="WD338" s="104"/>
      <c r="WE338" s="104"/>
      <c r="WF338" s="104"/>
      <c r="WG338" s="104"/>
      <c r="WH338" s="104"/>
      <c r="WI338" s="104"/>
      <c r="WJ338" s="104"/>
      <c r="WK338" s="104"/>
      <c r="WL338" s="104"/>
      <c r="WM338" s="104"/>
      <c r="WN338" s="104"/>
      <c r="WO338" s="104"/>
      <c r="WP338" s="104"/>
      <c r="WQ338" s="104"/>
      <c r="WR338" s="104"/>
      <c r="WS338" s="104"/>
      <c r="WT338" s="104"/>
      <c r="WU338" s="104"/>
      <c r="WV338" s="104"/>
      <c r="WW338" s="104"/>
      <c r="WX338" s="104"/>
      <c r="WY338" s="104"/>
      <c r="WZ338" s="104"/>
      <c r="XA338" s="104"/>
      <c r="XB338" s="104"/>
      <c r="XC338" s="104"/>
      <c r="XD338" s="104"/>
      <c r="XE338" s="104"/>
      <c r="XF338" s="104"/>
      <c r="XG338" s="104"/>
      <c r="XH338" s="104"/>
      <c r="XI338" s="104"/>
      <c r="XJ338" s="104"/>
      <c r="XK338" s="104"/>
      <c r="XL338" s="104"/>
      <c r="XM338" s="104"/>
      <c r="XN338" s="104"/>
      <c r="XO338" s="104"/>
      <c r="XP338" s="104"/>
      <c r="XQ338" s="104"/>
      <c r="XR338" s="104"/>
      <c r="XS338" s="104"/>
      <c r="XT338" s="104"/>
      <c r="XU338" s="104"/>
      <c r="XV338" s="104"/>
      <c r="XW338" s="104"/>
      <c r="XX338" s="104"/>
      <c r="XY338" s="104"/>
      <c r="XZ338" s="104"/>
      <c r="YA338" s="104"/>
      <c r="YB338" s="104"/>
      <c r="YC338" s="104"/>
      <c r="YD338" s="104"/>
      <c r="YE338" s="104"/>
      <c r="YF338" s="104"/>
      <c r="YG338" s="104"/>
      <c r="YH338" s="104"/>
      <c r="YI338" s="104"/>
      <c r="YJ338" s="104"/>
      <c r="YK338" s="104"/>
      <c r="YL338" s="104"/>
      <c r="YM338" s="104"/>
      <c r="YN338" s="104"/>
      <c r="YO338" s="104"/>
      <c r="YP338" s="104"/>
      <c r="YQ338" s="104"/>
      <c r="YR338" s="104"/>
      <c r="YS338" s="104"/>
      <c r="YT338" s="104"/>
      <c r="YU338" s="104"/>
      <c r="YV338" s="104"/>
      <c r="YW338" s="104"/>
      <c r="YX338" s="104"/>
      <c r="YY338" s="104"/>
      <c r="YZ338" s="104"/>
      <c r="ZA338" s="104"/>
      <c r="ZB338" s="104"/>
      <c r="ZC338" s="104"/>
      <c r="ZD338" s="104"/>
      <c r="ZE338" s="104"/>
      <c r="ZF338" s="104"/>
      <c r="ZG338" s="104"/>
      <c r="ZH338" s="104"/>
      <c r="ZI338" s="104"/>
      <c r="ZJ338" s="104"/>
      <c r="ZK338" s="104"/>
      <c r="ZL338" s="104"/>
      <c r="ZM338" s="104"/>
      <c r="ZN338" s="104"/>
      <c r="ZO338" s="104"/>
      <c r="ZP338" s="104"/>
      <c r="ZQ338" s="104"/>
      <c r="ZR338" s="104"/>
      <c r="ZS338" s="104"/>
      <c r="ZT338" s="104"/>
      <c r="ZU338" s="104"/>
      <c r="ZV338" s="104"/>
      <c r="ZW338" s="104"/>
      <c r="ZX338" s="104"/>
      <c r="ZY338" s="104"/>
      <c r="ZZ338" s="104"/>
      <c r="AAA338" s="104"/>
      <c r="AAB338" s="104"/>
      <c r="AAC338" s="104"/>
      <c r="AAD338" s="104"/>
      <c r="AAE338" s="104"/>
      <c r="AAF338" s="104"/>
      <c r="AAG338" s="104"/>
      <c r="AAH338" s="104"/>
      <c r="AAI338" s="104"/>
      <c r="AAJ338" s="104"/>
      <c r="AAK338" s="104"/>
      <c r="AAL338" s="104"/>
      <c r="AAM338" s="104"/>
      <c r="AAN338" s="104"/>
      <c r="AAO338" s="104"/>
      <c r="AAP338" s="104"/>
      <c r="AAQ338" s="104"/>
      <c r="AAR338" s="104"/>
      <c r="AAS338" s="104"/>
      <c r="AAT338" s="104"/>
      <c r="AAU338" s="104"/>
      <c r="AAV338" s="104"/>
      <c r="AAW338" s="104"/>
      <c r="AAX338" s="104"/>
      <c r="AAY338" s="104"/>
      <c r="AAZ338" s="104"/>
      <c r="ABA338" s="104"/>
      <c r="ABB338" s="104"/>
      <c r="ABC338" s="104"/>
      <c r="ABD338" s="104"/>
      <c r="ABE338" s="104"/>
      <c r="ABF338" s="104"/>
      <c r="ABG338" s="104"/>
      <c r="ABH338" s="104"/>
      <c r="ABI338" s="104"/>
      <c r="ABJ338" s="104"/>
      <c r="ABK338" s="104"/>
      <c r="ABL338" s="104"/>
      <c r="ABM338" s="104"/>
      <c r="ABN338" s="104"/>
      <c r="ABO338" s="104"/>
      <c r="ABP338" s="104"/>
      <c r="ABQ338" s="104"/>
      <c r="ABR338" s="104"/>
      <c r="ABS338" s="104"/>
      <c r="ABT338" s="104"/>
      <c r="ABU338" s="104"/>
      <c r="ABV338" s="104"/>
      <c r="ABW338" s="104"/>
      <c r="ABX338" s="104"/>
      <c r="ABY338" s="104"/>
      <c r="ABZ338" s="104"/>
      <c r="ACA338" s="104"/>
      <c r="ACB338" s="104"/>
      <c r="ACC338" s="104"/>
      <c r="ACD338" s="104"/>
      <c r="ACE338" s="104"/>
      <c r="ACF338" s="104"/>
      <c r="ACG338" s="104"/>
      <c r="ACH338" s="104"/>
      <c r="ACI338" s="104"/>
      <c r="ACJ338" s="104"/>
      <c r="ACK338" s="104"/>
      <c r="ACL338" s="104"/>
      <c r="ACM338" s="104"/>
      <c r="ACN338" s="104"/>
      <c r="ACO338" s="104"/>
      <c r="ACP338" s="104"/>
      <c r="ACQ338" s="104"/>
      <c r="ACR338" s="104"/>
      <c r="ACS338" s="104"/>
      <c r="ACT338" s="104"/>
      <c r="ACU338" s="104"/>
      <c r="ACV338" s="104"/>
      <c r="ACW338" s="104"/>
      <c r="ACX338" s="104"/>
      <c r="ACY338" s="104"/>
      <c r="ACZ338" s="104"/>
      <c r="ADA338" s="104"/>
      <c r="ADB338" s="104"/>
      <c r="ADC338" s="104"/>
      <c r="ADD338" s="104"/>
      <c r="ADE338" s="104"/>
      <c r="ADF338" s="104"/>
      <c r="ADG338" s="104"/>
      <c r="ADH338" s="104"/>
      <c r="ADI338" s="104"/>
      <c r="ADJ338" s="104"/>
      <c r="ADK338" s="104"/>
      <c r="ADL338" s="104"/>
      <c r="ADM338" s="104"/>
      <c r="ADN338" s="104"/>
      <c r="ADO338" s="104"/>
      <c r="ADP338" s="104"/>
      <c r="ADQ338" s="104"/>
      <c r="ADR338" s="104"/>
      <c r="ADS338" s="104"/>
      <c r="ADT338" s="104"/>
      <c r="ADU338" s="104"/>
      <c r="ADV338" s="104"/>
      <c r="ADW338" s="104"/>
      <c r="ADX338" s="104"/>
      <c r="ADY338" s="104"/>
      <c r="ADZ338" s="104"/>
      <c r="AEA338" s="104"/>
      <c r="AEB338" s="104"/>
      <c r="AEC338" s="104"/>
      <c r="AED338" s="104"/>
      <c r="AEE338" s="104"/>
      <c r="AEF338" s="104"/>
      <c r="AEG338" s="104"/>
      <c r="AEH338" s="104"/>
      <c r="AEI338" s="104"/>
      <c r="AEJ338" s="104"/>
      <c r="AEK338" s="104"/>
      <c r="AEL338" s="104"/>
      <c r="AEM338" s="104"/>
      <c r="AEN338" s="104"/>
      <c r="AEO338" s="104"/>
      <c r="AEP338" s="104"/>
      <c r="AEQ338" s="104"/>
      <c r="AER338" s="104"/>
      <c r="AES338" s="104"/>
      <c r="AET338" s="104"/>
      <c r="AEU338" s="104"/>
      <c r="AEV338" s="104"/>
      <c r="AEW338" s="104"/>
      <c r="AEX338" s="104"/>
      <c r="AEY338" s="104"/>
      <c r="AEZ338" s="104"/>
      <c r="AFA338" s="104"/>
      <c r="AFB338" s="104"/>
      <c r="AFC338" s="104"/>
      <c r="AFD338" s="104"/>
      <c r="AFE338" s="104"/>
      <c r="AFF338" s="104"/>
      <c r="AFG338" s="104"/>
      <c r="AFH338" s="104"/>
      <c r="AFI338" s="104"/>
      <c r="AFJ338" s="104"/>
      <c r="AFK338" s="104"/>
      <c r="AFL338" s="104"/>
      <c r="AFM338" s="104"/>
      <c r="AFN338" s="104"/>
      <c r="AFO338" s="104"/>
      <c r="AFP338" s="104"/>
      <c r="AFQ338" s="104"/>
      <c r="AFR338" s="104"/>
      <c r="AFS338" s="104"/>
      <c r="AFT338" s="104"/>
      <c r="AFU338" s="104"/>
      <c r="AFV338" s="104"/>
      <c r="AFW338" s="104"/>
      <c r="AFX338" s="104"/>
      <c r="AFY338" s="104"/>
      <c r="AFZ338" s="104"/>
      <c r="AGA338" s="104"/>
      <c r="AGB338" s="104"/>
      <c r="AGC338" s="104"/>
      <c r="AGD338" s="104"/>
      <c r="AGE338" s="104"/>
      <c r="AGF338" s="104"/>
      <c r="AGG338" s="104"/>
      <c r="AGH338" s="104"/>
      <c r="AGI338" s="104"/>
      <c r="AGJ338" s="104"/>
      <c r="AGK338" s="104"/>
      <c r="AGL338" s="104"/>
      <c r="AGM338" s="104"/>
      <c r="AGN338" s="104"/>
      <c r="AGO338" s="104"/>
      <c r="AGP338" s="104"/>
      <c r="AGQ338" s="104"/>
      <c r="AGR338" s="104"/>
      <c r="AGS338" s="104"/>
      <c r="AGT338" s="104"/>
      <c r="AGU338" s="104"/>
      <c r="AGV338" s="104"/>
      <c r="AGW338" s="104"/>
      <c r="AGX338" s="104"/>
      <c r="AGY338" s="104"/>
      <c r="AGZ338" s="104"/>
      <c r="AHA338" s="104"/>
      <c r="AHB338" s="104"/>
      <c r="AHC338" s="104"/>
      <c r="AHD338" s="104"/>
      <c r="AHE338" s="104"/>
      <c r="AHF338" s="104"/>
      <c r="AHG338" s="104"/>
      <c r="AHH338" s="104"/>
      <c r="AHI338" s="104"/>
      <c r="AHJ338" s="104"/>
      <c r="AHK338" s="104"/>
      <c r="AHL338" s="104"/>
      <c r="AHM338" s="104"/>
      <c r="AHN338" s="104"/>
      <c r="AHO338" s="104"/>
      <c r="AHP338" s="104"/>
      <c r="AHQ338" s="104"/>
      <c r="AHR338" s="104"/>
      <c r="AHS338" s="104"/>
      <c r="AHT338" s="104"/>
      <c r="AHU338" s="104"/>
      <c r="AHV338" s="104"/>
      <c r="AHW338" s="104"/>
      <c r="AHX338" s="104"/>
      <c r="AHY338" s="104"/>
      <c r="AHZ338" s="104"/>
      <c r="AIA338" s="104"/>
      <c r="AIB338" s="104"/>
      <c r="AIC338" s="104"/>
      <c r="AID338" s="104"/>
      <c r="AIE338" s="104"/>
      <c r="AIF338" s="104"/>
      <c r="AIG338" s="104"/>
      <c r="AIH338" s="104"/>
      <c r="AII338" s="104"/>
      <c r="AIJ338" s="104"/>
      <c r="AIK338" s="104"/>
      <c r="AIL338" s="104"/>
      <c r="AIM338" s="104"/>
      <c r="AIN338" s="104"/>
      <c r="AIO338" s="104"/>
      <c r="AIP338" s="104"/>
      <c r="AIQ338" s="104"/>
      <c r="AIR338" s="104"/>
      <c r="AIS338" s="104"/>
      <c r="AIT338" s="104"/>
      <c r="AIU338" s="104"/>
      <c r="AIV338" s="104"/>
      <c r="AIW338" s="104"/>
      <c r="AIX338" s="104"/>
      <c r="AIY338" s="104"/>
      <c r="AIZ338" s="104"/>
      <c r="AJA338" s="104"/>
      <c r="AJB338" s="104"/>
      <c r="AJC338" s="104"/>
      <c r="AJD338" s="104"/>
      <c r="AJE338" s="104"/>
      <c r="AJF338" s="104"/>
      <c r="AJG338" s="104"/>
      <c r="AJH338" s="104"/>
      <c r="AJI338" s="104"/>
      <c r="AJJ338" s="104"/>
      <c r="AJK338" s="104"/>
      <c r="AJL338" s="104"/>
      <c r="AJM338" s="104"/>
      <c r="AJN338" s="104"/>
      <c r="AJO338" s="104"/>
      <c r="AJP338" s="104"/>
      <c r="AJQ338" s="104"/>
      <c r="AJR338" s="104"/>
      <c r="AJS338" s="104"/>
      <c r="AJT338" s="104"/>
      <c r="AJU338" s="104"/>
      <c r="AJV338" s="104"/>
      <c r="AJW338" s="104"/>
      <c r="AJX338" s="104"/>
      <c r="AJY338" s="104"/>
      <c r="AJZ338" s="104"/>
      <c r="AKA338" s="104"/>
      <c r="AKB338" s="104"/>
      <c r="AKC338" s="104"/>
      <c r="AKD338" s="104"/>
      <c r="AKE338" s="104"/>
      <c r="AKF338" s="104"/>
      <c r="AKG338" s="104"/>
      <c r="AKH338" s="104"/>
      <c r="AKI338" s="104"/>
      <c r="AKJ338" s="104"/>
      <c r="AKK338" s="104"/>
      <c r="AKL338" s="104"/>
      <c r="AKM338" s="104"/>
      <c r="AKN338" s="104"/>
      <c r="AKO338" s="104"/>
      <c r="AKP338" s="104"/>
      <c r="AKQ338" s="104"/>
      <c r="AKR338" s="104"/>
      <c r="AKS338" s="104"/>
      <c r="AKT338" s="104"/>
      <c r="AKU338" s="104"/>
      <c r="AKV338" s="104"/>
      <c r="AKW338" s="104"/>
      <c r="AKX338" s="104"/>
      <c r="AKY338" s="104"/>
      <c r="AKZ338" s="104"/>
      <c r="ALA338" s="104"/>
      <c r="ALB338" s="104"/>
      <c r="ALC338" s="104"/>
      <c r="ALD338" s="104"/>
      <c r="ALE338" s="104"/>
      <c r="ALF338" s="104"/>
      <c r="ALG338" s="104"/>
      <c r="ALH338" s="104"/>
      <c r="ALI338" s="104"/>
      <c r="ALJ338" s="104"/>
      <c r="ALK338" s="104"/>
      <c r="ALL338" s="104"/>
      <c r="ALM338" s="104"/>
      <c r="ALN338" s="104"/>
      <c r="ALO338" s="104"/>
      <c r="ALP338" s="104"/>
      <c r="ALQ338" s="104"/>
      <c r="ALR338" s="104"/>
      <c r="ALS338" s="104"/>
      <c r="ALT338" s="104"/>
      <c r="ALU338" s="104"/>
      <c r="ALV338" s="104"/>
      <c r="ALW338" s="104"/>
      <c r="ALX338" s="104"/>
      <c r="ALY338" s="104"/>
      <c r="ALZ338" s="104"/>
      <c r="AMA338" s="104"/>
      <c r="AMB338" s="104"/>
      <c r="AMC338" s="104"/>
      <c r="AMD338" s="104"/>
      <c r="AME338" s="104"/>
      <c r="AMF338" s="104"/>
      <c r="AMG338" s="104"/>
      <c r="AMH338" s="104"/>
      <c r="AMI338" s="104"/>
      <c r="AMJ338" s="104"/>
      <c r="AMK338" s="104"/>
      <c r="AML338" s="104"/>
      <c r="AMM338" s="104"/>
      <c r="AMN338" s="104"/>
      <c r="AMO338" s="104"/>
      <c r="AMP338" s="104"/>
      <c r="AMQ338" s="104"/>
      <c r="AMR338" s="104"/>
      <c r="AMS338" s="104"/>
      <c r="AMT338" s="104"/>
      <c r="AMU338" s="104"/>
      <c r="AMV338" s="104"/>
      <c r="AMW338" s="104"/>
      <c r="AMX338" s="104"/>
      <c r="AMY338" s="104"/>
      <c r="AMZ338" s="104"/>
      <c r="ANA338" s="104"/>
      <c r="ANB338" s="104"/>
      <c r="ANC338" s="104"/>
      <c r="AND338" s="104"/>
      <c r="ANE338" s="104"/>
      <c r="ANF338" s="104"/>
      <c r="ANG338" s="104"/>
      <c r="ANH338" s="104"/>
      <c r="ANI338" s="104"/>
      <c r="ANJ338" s="104"/>
      <c r="ANK338" s="104"/>
      <c r="ANL338" s="104"/>
      <c r="ANM338" s="104"/>
      <c r="ANN338" s="104"/>
      <c r="ANO338" s="104"/>
      <c r="ANP338" s="104"/>
      <c r="ANQ338" s="104"/>
      <c r="ANR338" s="104"/>
      <c r="ANS338" s="104"/>
      <c r="ANT338" s="104"/>
      <c r="ANU338" s="104"/>
      <c r="ANV338" s="104"/>
      <c r="ANW338" s="104"/>
      <c r="ANX338" s="104"/>
      <c r="ANY338" s="104"/>
      <c r="ANZ338" s="104"/>
      <c r="AOA338" s="104"/>
      <c r="AOB338" s="104"/>
      <c r="AOC338" s="104"/>
      <c r="AOD338" s="104"/>
      <c r="AOE338" s="104"/>
      <c r="AOF338" s="104"/>
      <c r="AOG338" s="104"/>
      <c r="AOH338" s="104"/>
      <c r="AOI338" s="104"/>
      <c r="AOJ338" s="104"/>
      <c r="AOK338" s="104"/>
      <c r="AOL338" s="104"/>
      <c r="AOM338" s="104"/>
      <c r="AON338" s="104"/>
      <c r="AOO338" s="104"/>
      <c r="AOP338" s="104"/>
      <c r="AOQ338" s="104"/>
      <c r="AOR338" s="104"/>
      <c r="AOS338" s="104"/>
      <c r="AOT338" s="104"/>
      <c r="AOU338" s="104"/>
      <c r="AOV338" s="104"/>
      <c r="AOW338" s="104"/>
      <c r="AOX338" s="104"/>
      <c r="AOY338" s="104"/>
      <c r="AOZ338" s="104"/>
      <c r="APA338" s="104"/>
      <c r="APB338" s="104"/>
      <c r="APC338" s="104"/>
      <c r="APD338" s="104"/>
      <c r="APE338" s="104"/>
      <c r="APF338" s="104"/>
      <c r="APG338" s="104"/>
      <c r="APH338" s="104"/>
      <c r="API338" s="104"/>
      <c r="APJ338" s="104"/>
      <c r="APK338" s="104"/>
      <c r="APL338" s="104"/>
      <c r="APM338" s="104"/>
      <c r="APN338" s="104"/>
      <c r="APO338" s="104"/>
      <c r="APP338" s="104"/>
      <c r="APQ338" s="104"/>
      <c r="APR338" s="104"/>
      <c r="APS338" s="104"/>
      <c r="APT338" s="104"/>
      <c r="APU338" s="104"/>
      <c r="APV338" s="104"/>
      <c r="APW338" s="104"/>
      <c r="APX338" s="104"/>
      <c r="APY338" s="104"/>
      <c r="APZ338" s="104"/>
      <c r="AQA338" s="104"/>
      <c r="AQB338" s="104"/>
      <c r="AQC338" s="104"/>
      <c r="AQD338" s="104"/>
      <c r="AQE338" s="104"/>
      <c r="AQF338" s="104"/>
      <c r="AQG338" s="104"/>
      <c r="AQH338" s="104"/>
      <c r="AQI338" s="104"/>
      <c r="AQJ338" s="104"/>
      <c r="AQK338" s="104"/>
      <c r="AQL338" s="104"/>
      <c r="AQM338" s="104"/>
      <c r="AQN338" s="104"/>
      <c r="AQO338" s="104"/>
      <c r="AQP338" s="104"/>
      <c r="AQQ338" s="104"/>
      <c r="AQR338" s="104"/>
      <c r="AQS338" s="104"/>
      <c r="AQT338" s="104"/>
      <c r="AQU338" s="104"/>
      <c r="AQV338" s="104"/>
      <c r="AQW338" s="104"/>
      <c r="AQX338" s="104"/>
      <c r="AQY338" s="104"/>
      <c r="AQZ338" s="104"/>
      <c r="ARA338" s="104"/>
      <c r="ARB338" s="104"/>
      <c r="ARC338" s="104"/>
      <c r="ARD338" s="104"/>
      <c r="ARE338" s="104"/>
      <c r="ARF338" s="104"/>
      <c r="ARG338" s="104"/>
      <c r="ARH338" s="104"/>
      <c r="ARI338" s="104"/>
      <c r="ARJ338" s="104"/>
      <c r="ARK338" s="104"/>
      <c r="ARL338" s="104"/>
      <c r="ARM338" s="104"/>
      <c r="ARN338" s="104"/>
      <c r="ARO338" s="104"/>
      <c r="ARP338" s="104"/>
      <c r="ARQ338" s="104"/>
      <c r="ARR338" s="104"/>
      <c r="ARS338" s="104"/>
      <c r="ART338" s="104"/>
      <c r="ARU338" s="104"/>
      <c r="ARV338" s="104"/>
      <c r="ARW338" s="104"/>
      <c r="ARX338" s="104"/>
      <c r="ARY338" s="104"/>
      <c r="ARZ338" s="104"/>
      <c r="ASA338" s="104"/>
      <c r="ASB338" s="104"/>
      <c r="ASC338" s="104"/>
      <c r="ASD338" s="104"/>
      <c r="ASE338" s="104"/>
      <c r="ASF338" s="104"/>
      <c r="ASG338" s="104"/>
      <c r="ASH338" s="104"/>
      <c r="ASI338" s="104"/>
      <c r="ASJ338" s="104"/>
      <c r="ASK338" s="104"/>
      <c r="ASL338" s="104"/>
      <c r="ASM338" s="104"/>
      <c r="ASN338" s="104"/>
      <c r="ASO338" s="104"/>
      <c r="ASP338" s="104"/>
      <c r="ASQ338" s="104"/>
      <c r="ASR338" s="104"/>
      <c r="ASS338" s="104"/>
      <c r="AST338" s="104"/>
      <c r="ASU338" s="104"/>
      <c r="ASV338" s="104"/>
      <c r="ASW338" s="104"/>
      <c r="ASX338" s="104"/>
      <c r="ASY338" s="104"/>
      <c r="ASZ338" s="104"/>
      <c r="ATA338" s="104"/>
      <c r="ATB338" s="104"/>
      <c r="ATC338" s="104"/>
      <c r="ATD338" s="104"/>
      <c r="ATE338" s="104"/>
      <c r="ATF338" s="104"/>
      <c r="ATG338" s="104"/>
      <c r="ATH338" s="104"/>
      <c r="ATI338" s="104"/>
      <c r="ATJ338" s="104"/>
      <c r="ATK338" s="104"/>
      <c r="ATL338" s="104"/>
      <c r="ATM338" s="104"/>
      <c r="ATN338" s="104"/>
      <c r="ATO338" s="104"/>
      <c r="ATP338" s="104"/>
      <c r="ATQ338" s="104"/>
      <c r="ATR338" s="104"/>
      <c r="ATS338" s="104"/>
      <c r="ATT338" s="104"/>
      <c r="ATU338" s="104"/>
      <c r="ATV338" s="104"/>
      <c r="ATW338" s="104"/>
      <c r="ATX338" s="104"/>
      <c r="ATY338" s="104"/>
      <c r="ATZ338" s="104"/>
      <c r="AUA338" s="104"/>
      <c r="AUB338" s="104"/>
      <c r="AUC338" s="104"/>
      <c r="AUD338" s="104"/>
      <c r="AUE338" s="104"/>
      <c r="AUF338" s="104"/>
      <c r="AUG338" s="104"/>
      <c r="AUH338" s="104"/>
      <c r="AUI338" s="104"/>
      <c r="AUJ338" s="104"/>
      <c r="AUK338" s="104"/>
      <c r="AUL338" s="104"/>
      <c r="AUM338" s="104"/>
      <c r="AUN338" s="104"/>
      <c r="AUO338" s="104"/>
      <c r="AUP338" s="104"/>
      <c r="AUQ338" s="104"/>
      <c r="AUR338" s="104"/>
      <c r="AUS338" s="104"/>
      <c r="AUT338" s="104"/>
      <c r="AUU338" s="104"/>
      <c r="AUV338" s="104"/>
      <c r="AUW338" s="104"/>
      <c r="AUX338" s="104"/>
      <c r="AUY338" s="104"/>
      <c r="AUZ338" s="104"/>
      <c r="AVA338" s="104"/>
      <c r="AVB338" s="104"/>
      <c r="AVC338" s="104"/>
      <c r="AVD338" s="104"/>
      <c r="AVE338" s="104"/>
      <c r="AVF338" s="104"/>
      <c r="AVG338" s="104"/>
      <c r="AVH338" s="104"/>
      <c r="AVI338" s="104"/>
      <c r="AVJ338" s="104"/>
      <c r="AVK338" s="104"/>
      <c r="AVL338" s="104"/>
      <c r="AVM338" s="104"/>
      <c r="AVN338" s="104"/>
      <c r="AVO338" s="104"/>
      <c r="AVP338" s="104"/>
      <c r="AVQ338" s="104"/>
      <c r="AVR338" s="104"/>
      <c r="AVS338" s="104"/>
      <c r="AVT338" s="104"/>
      <c r="AVU338" s="104"/>
      <c r="AVV338" s="104"/>
      <c r="AVW338" s="104"/>
      <c r="AVX338" s="104"/>
      <c r="AVY338" s="104"/>
      <c r="AVZ338" s="104"/>
      <c r="AWA338" s="104"/>
      <c r="AWB338" s="104"/>
      <c r="AWC338" s="104"/>
      <c r="AWD338" s="104"/>
      <c r="AWE338" s="104"/>
      <c r="AWF338" s="104"/>
      <c r="AWG338" s="104"/>
      <c r="AWH338" s="104"/>
      <c r="AWI338" s="104"/>
      <c r="AWJ338" s="104"/>
      <c r="AWK338" s="104"/>
      <c r="AWL338" s="104"/>
      <c r="AWM338" s="104"/>
      <c r="AWN338" s="104"/>
      <c r="AWO338" s="104"/>
      <c r="AWP338" s="104"/>
      <c r="AWQ338" s="104"/>
      <c r="AWR338" s="104"/>
      <c r="AWS338" s="104"/>
      <c r="AWT338" s="104"/>
      <c r="AWU338" s="104"/>
      <c r="AWV338" s="104"/>
      <c r="AWW338" s="104"/>
      <c r="AWX338" s="104"/>
      <c r="AWY338" s="104"/>
      <c r="AWZ338" s="104"/>
      <c r="AXA338" s="104"/>
      <c r="AXB338" s="104"/>
      <c r="AXC338" s="104"/>
      <c r="AXD338" s="104"/>
      <c r="AXE338" s="104"/>
      <c r="AXF338" s="104"/>
      <c r="AXG338" s="104"/>
      <c r="AXH338" s="104"/>
      <c r="AXI338" s="104"/>
      <c r="AXJ338" s="104"/>
      <c r="AXK338" s="104"/>
      <c r="AXL338" s="104"/>
      <c r="AXM338" s="104"/>
      <c r="AXN338" s="104"/>
      <c r="AXO338" s="104"/>
      <c r="AXP338" s="104"/>
      <c r="AXQ338" s="104"/>
      <c r="AXR338" s="104"/>
      <c r="AXS338" s="104"/>
      <c r="AXT338" s="104"/>
      <c r="AXU338" s="104"/>
      <c r="AXV338" s="104"/>
      <c r="AXW338" s="104"/>
      <c r="AXX338" s="104"/>
      <c r="AXY338" s="104"/>
      <c r="AXZ338" s="104"/>
      <c r="AYA338" s="104"/>
      <c r="AYB338" s="104"/>
      <c r="AYC338" s="104"/>
      <c r="AYD338" s="104"/>
      <c r="AYE338" s="104"/>
      <c r="AYF338" s="104"/>
      <c r="AYG338" s="104"/>
      <c r="AYH338" s="104"/>
      <c r="AYI338" s="104"/>
      <c r="AYJ338" s="104"/>
      <c r="AYK338" s="104"/>
      <c r="AYL338" s="104"/>
      <c r="AYM338" s="104"/>
      <c r="AYN338" s="104"/>
      <c r="AYO338" s="104"/>
      <c r="AYP338" s="104"/>
      <c r="AYQ338" s="104"/>
      <c r="AYR338" s="104"/>
      <c r="AYS338" s="104"/>
      <c r="AYT338" s="104"/>
      <c r="AYU338" s="104"/>
      <c r="AYV338" s="104"/>
      <c r="AYW338" s="104"/>
      <c r="AYX338" s="104"/>
      <c r="AYY338" s="104"/>
      <c r="AYZ338" s="104"/>
      <c r="AZA338" s="104"/>
      <c r="AZB338" s="104"/>
      <c r="AZC338" s="104"/>
      <c r="AZD338" s="104"/>
      <c r="AZE338" s="104"/>
      <c r="AZF338" s="104"/>
      <c r="AZG338" s="104"/>
      <c r="AZH338" s="104"/>
      <c r="AZI338" s="104"/>
      <c r="AZJ338" s="104"/>
      <c r="AZK338" s="104"/>
      <c r="AZL338" s="104"/>
      <c r="AZM338" s="104"/>
      <c r="AZN338" s="104"/>
      <c r="AZO338" s="104"/>
      <c r="AZP338" s="104"/>
      <c r="AZQ338" s="104"/>
      <c r="AZR338" s="104"/>
      <c r="AZS338" s="104"/>
      <c r="AZT338" s="104"/>
      <c r="AZU338" s="104"/>
      <c r="AZV338" s="104"/>
      <c r="AZW338" s="104"/>
      <c r="AZX338" s="104"/>
      <c r="AZY338" s="104"/>
      <c r="AZZ338" s="104"/>
      <c r="BAA338" s="104"/>
      <c r="BAB338" s="104"/>
      <c r="BAC338" s="104"/>
      <c r="BAD338" s="104"/>
      <c r="BAE338" s="104"/>
      <c r="BAF338" s="104"/>
      <c r="BAG338" s="104"/>
      <c r="BAH338" s="104"/>
      <c r="BAI338" s="104"/>
      <c r="BAJ338" s="104"/>
      <c r="BAK338" s="104"/>
      <c r="BAL338" s="104"/>
      <c r="BAM338" s="104"/>
      <c r="BAN338" s="104"/>
      <c r="BAO338" s="104"/>
      <c r="BAP338" s="104"/>
      <c r="BAQ338" s="104"/>
      <c r="BAR338" s="104"/>
      <c r="BAS338" s="104"/>
      <c r="BAT338" s="104"/>
      <c r="BAU338" s="104"/>
      <c r="BAV338" s="104"/>
      <c r="BAW338" s="104"/>
      <c r="BAX338" s="104"/>
      <c r="BAY338" s="104"/>
      <c r="BAZ338" s="104"/>
      <c r="BBA338" s="104"/>
      <c r="BBB338" s="104"/>
      <c r="BBC338" s="104"/>
      <c r="BBD338" s="104"/>
      <c r="BBE338" s="104"/>
      <c r="BBF338" s="104"/>
      <c r="BBG338" s="104"/>
      <c r="BBH338" s="104"/>
      <c r="BBI338" s="104"/>
      <c r="BBJ338" s="104"/>
      <c r="BBK338" s="104"/>
      <c r="BBL338" s="104"/>
      <c r="BBM338" s="104"/>
      <c r="BBN338" s="104"/>
      <c r="BBO338" s="104"/>
      <c r="BBP338" s="104"/>
      <c r="BBQ338" s="104"/>
      <c r="BBR338" s="104"/>
      <c r="BBS338" s="104"/>
      <c r="BBT338" s="104"/>
      <c r="BBU338" s="104"/>
      <c r="BBV338" s="104"/>
      <c r="BBW338" s="104"/>
      <c r="BBX338" s="104"/>
      <c r="BBY338" s="104"/>
      <c r="BBZ338" s="104"/>
      <c r="BCA338" s="104"/>
      <c r="BCB338" s="104"/>
      <c r="BCC338" s="104"/>
      <c r="BCD338" s="104"/>
      <c r="BCE338" s="104"/>
      <c r="BCF338" s="104"/>
      <c r="BCG338" s="104"/>
      <c r="BCH338" s="104"/>
      <c r="BCI338" s="104"/>
      <c r="BCJ338" s="104"/>
      <c r="BCK338" s="104"/>
      <c r="BCL338" s="104"/>
      <c r="BCM338" s="104"/>
      <c r="BCN338" s="104"/>
      <c r="BCO338" s="104"/>
      <c r="BCP338" s="104"/>
      <c r="BCQ338" s="104"/>
      <c r="BCR338" s="104"/>
      <c r="BCS338" s="104"/>
      <c r="BCT338" s="104"/>
      <c r="BCU338" s="104"/>
      <c r="BCV338" s="104"/>
      <c r="BCW338" s="104"/>
      <c r="BCX338" s="104"/>
      <c r="BCY338" s="104"/>
      <c r="BCZ338" s="104"/>
      <c r="BDA338" s="104"/>
      <c r="BDB338" s="104"/>
      <c r="BDC338" s="104"/>
      <c r="BDD338" s="104"/>
      <c r="BDE338" s="104"/>
      <c r="BDF338" s="104"/>
      <c r="BDG338" s="104"/>
      <c r="BDH338" s="104"/>
      <c r="BDI338" s="104"/>
      <c r="BDJ338" s="104"/>
      <c r="BDK338" s="104"/>
      <c r="BDL338" s="104"/>
      <c r="BDM338" s="104"/>
      <c r="BDN338" s="104"/>
      <c r="BDO338" s="104"/>
      <c r="BDP338" s="104"/>
      <c r="BDQ338" s="104"/>
      <c r="BDR338" s="104"/>
      <c r="BDS338" s="104"/>
      <c r="BDT338" s="104"/>
      <c r="BDU338" s="104"/>
      <c r="BDV338" s="104"/>
      <c r="BDW338" s="104"/>
      <c r="BDX338" s="104"/>
      <c r="BDY338" s="104"/>
      <c r="BDZ338" s="104"/>
      <c r="BEA338" s="104"/>
      <c r="BEB338" s="104"/>
      <c r="BEC338" s="104"/>
      <c r="BED338" s="104"/>
      <c r="BEE338" s="104"/>
      <c r="BEF338" s="104"/>
      <c r="BEG338" s="104"/>
      <c r="BEH338" s="104"/>
      <c r="BEI338" s="104"/>
      <c r="BEJ338" s="104"/>
      <c r="BEK338" s="104"/>
      <c r="BEL338" s="104"/>
      <c r="BEM338" s="104"/>
      <c r="BEN338" s="104"/>
      <c r="BEO338" s="104"/>
      <c r="BEP338" s="104"/>
      <c r="BEQ338" s="104"/>
      <c r="BER338" s="104"/>
      <c r="BES338" s="104"/>
      <c r="BET338" s="104"/>
      <c r="BEU338" s="104"/>
      <c r="BEV338" s="104"/>
      <c r="BEW338" s="104"/>
      <c r="BEX338" s="104"/>
      <c r="BEY338" s="104"/>
      <c r="BEZ338" s="104"/>
      <c r="BFA338" s="104"/>
      <c r="BFB338" s="104"/>
      <c r="BFC338" s="104"/>
      <c r="BFD338" s="104"/>
      <c r="BFE338" s="104"/>
      <c r="BFF338" s="104"/>
      <c r="BFG338" s="104"/>
      <c r="BFH338" s="104"/>
      <c r="BFI338" s="104"/>
      <c r="BFJ338" s="104"/>
      <c r="BFK338" s="104"/>
      <c r="BFL338" s="104"/>
      <c r="BFM338" s="104"/>
      <c r="BFN338" s="104"/>
      <c r="BFO338" s="104"/>
      <c r="BFP338" s="104"/>
      <c r="BFQ338" s="104"/>
      <c r="BFR338" s="104"/>
      <c r="BFS338" s="104"/>
      <c r="BFT338" s="104"/>
      <c r="BFU338" s="104"/>
      <c r="BFV338" s="104"/>
      <c r="BFW338" s="104"/>
      <c r="BFX338" s="104"/>
      <c r="BFY338" s="104"/>
      <c r="BFZ338" s="104"/>
      <c r="BGA338" s="104"/>
      <c r="BGB338" s="104"/>
      <c r="BGC338" s="104"/>
      <c r="BGD338" s="104"/>
      <c r="BGE338" s="104"/>
      <c r="BGF338" s="104"/>
      <c r="BGG338" s="104"/>
      <c r="BGH338" s="104"/>
      <c r="BGI338" s="104"/>
      <c r="BGJ338" s="104"/>
      <c r="BGK338" s="104"/>
      <c r="BGL338" s="104"/>
      <c r="BGM338" s="104"/>
      <c r="BGN338" s="104"/>
      <c r="BGO338" s="104"/>
      <c r="BGP338" s="104"/>
      <c r="BGQ338" s="104"/>
      <c r="BGR338" s="104"/>
      <c r="BGS338" s="104"/>
      <c r="BGT338" s="104"/>
      <c r="BGU338" s="104"/>
      <c r="BGV338" s="104"/>
      <c r="BGW338" s="104"/>
      <c r="BGX338" s="104"/>
      <c r="BGY338" s="104"/>
      <c r="BGZ338" s="104"/>
      <c r="BHA338" s="104"/>
      <c r="BHB338" s="104"/>
      <c r="BHC338" s="104"/>
      <c r="BHD338" s="104"/>
      <c r="BHE338" s="104"/>
      <c r="BHF338" s="104"/>
      <c r="BHG338" s="104"/>
      <c r="BHH338" s="104"/>
      <c r="BHI338" s="104"/>
      <c r="BHJ338" s="104"/>
      <c r="BHK338" s="104"/>
      <c r="BHL338" s="104"/>
      <c r="BHM338" s="104"/>
      <c r="BHN338" s="104"/>
      <c r="BHO338" s="104"/>
      <c r="BHP338" s="104"/>
      <c r="BHQ338" s="104"/>
      <c r="BHR338" s="104"/>
      <c r="BHS338" s="104"/>
      <c r="BHT338" s="104"/>
      <c r="BHU338" s="104"/>
      <c r="BHV338" s="104"/>
      <c r="BHW338" s="104"/>
      <c r="BHX338" s="104"/>
      <c r="BHY338" s="104"/>
      <c r="BHZ338" s="104"/>
      <c r="BIA338" s="104"/>
      <c r="BIB338" s="104"/>
      <c r="BIC338" s="104"/>
      <c r="BID338" s="104"/>
      <c r="BIE338" s="104"/>
      <c r="BIF338" s="104"/>
      <c r="BIG338" s="104"/>
      <c r="BIH338" s="104"/>
      <c r="BII338" s="104"/>
      <c r="BIJ338" s="104"/>
      <c r="BIK338" s="104"/>
      <c r="BIL338" s="104"/>
      <c r="BIM338" s="104"/>
      <c r="BIN338" s="104"/>
      <c r="BIO338" s="104"/>
      <c r="BIP338" s="104"/>
      <c r="BIQ338" s="104"/>
      <c r="BIR338" s="104"/>
      <c r="BIS338" s="104"/>
      <c r="BIT338" s="104"/>
      <c r="BIU338" s="104"/>
      <c r="BIV338" s="104"/>
      <c r="BIW338" s="104"/>
      <c r="BIX338" s="104"/>
      <c r="BIY338" s="104"/>
      <c r="BIZ338" s="104"/>
      <c r="BJA338" s="104"/>
      <c r="BJB338" s="104"/>
      <c r="BJC338" s="104"/>
      <c r="BJD338" s="104"/>
      <c r="BJE338" s="104"/>
      <c r="BJF338" s="104"/>
      <c r="BJG338" s="104"/>
      <c r="BJH338" s="104"/>
      <c r="BJI338" s="104"/>
      <c r="BJJ338" s="104"/>
      <c r="BJK338" s="104"/>
      <c r="BJL338" s="104"/>
      <c r="BJM338" s="104"/>
      <c r="BJN338" s="104"/>
      <c r="BJO338" s="104"/>
      <c r="BJP338" s="104"/>
      <c r="BJQ338" s="104"/>
      <c r="BJR338" s="104"/>
      <c r="BJS338" s="104"/>
      <c r="BJT338" s="104"/>
      <c r="BJU338" s="104"/>
      <c r="BJV338" s="104"/>
      <c r="BJW338" s="104"/>
      <c r="BJX338" s="104"/>
      <c r="BJY338" s="104"/>
      <c r="BJZ338" s="104"/>
      <c r="BKA338" s="104"/>
      <c r="BKB338" s="104"/>
      <c r="BKC338" s="104"/>
      <c r="BKD338" s="104"/>
      <c r="BKE338" s="104"/>
      <c r="BKF338" s="104"/>
      <c r="BKG338" s="104"/>
      <c r="BKH338" s="104"/>
      <c r="BKI338" s="104"/>
      <c r="BKJ338" s="104"/>
      <c r="BKK338" s="104"/>
      <c r="BKL338" s="104"/>
      <c r="BKM338" s="104"/>
      <c r="BKN338" s="104"/>
      <c r="BKO338" s="104"/>
      <c r="BKP338" s="104"/>
      <c r="BKQ338" s="104"/>
      <c r="BKR338" s="104"/>
      <c r="BKS338" s="104"/>
      <c r="BKT338" s="104"/>
      <c r="BKU338" s="104"/>
      <c r="BKV338" s="104"/>
      <c r="BKW338" s="104"/>
      <c r="BKX338" s="104"/>
      <c r="BKY338" s="104"/>
      <c r="BKZ338" s="104"/>
      <c r="BLA338" s="104"/>
      <c r="BLB338" s="104"/>
      <c r="BLC338" s="104"/>
      <c r="BLD338" s="104"/>
      <c r="BLE338" s="104"/>
      <c r="BLF338" s="104"/>
      <c r="BLG338" s="104"/>
      <c r="BLH338" s="104"/>
      <c r="BLI338" s="104"/>
      <c r="BLJ338" s="104"/>
      <c r="BLK338" s="104"/>
      <c r="BLL338" s="104"/>
      <c r="BLM338" s="104"/>
      <c r="BLN338" s="104"/>
      <c r="BLO338" s="104"/>
      <c r="BLP338" s="104"/>
      <c r="BLQ338" s="104"/>
      <c r="BLR338" s="104"/>
      <c r="BLS338" s="104"/>
      <c r="BLT338" s="104"/>
      <c r="BLU338" s="104"/>
      <c r="BLV338" s="104"/>
      <c r="BLW338" s="104"/>
      <c r="BLX338" s="104"/>
      <c r="BLY338" s="104"/>
      <c r="BLZ338" s="104"/>
      <c r="BMA338" s="104"/>
      <c r="BMB338" s="104"/>
      <c r="BMC338" s="104"/>
      <c r="BMD338" s="104"/>
      <c r="BME338" s="104"/>
      <c r="BMF338" s="104"/>
      <c r="BMG338" s="104"/>
      <c r="BMH338" s="104"/>
      <c r="BMI338" s="104"/>
      <c r="BMJ338" s="104"/>
      <c r="BMK338" s="104"/>
      <c r="BML338" s="104"/>
      <c r="BMM338" s="104"/>
      <c r="BMN338" s="104"/>
      <c r="BMO338" s="104"/>
      <c r="BMP338" s="104"/>
      <c r="BMQ338" s="104"/>
      <c r="BMR338" s="104"/>
      <c r="BMS338" s="104"/>
      <c r="BMT338" s="104"/>
      <c r="BMU338" s="104"/>
      <c r="BMV338" s="104"/>
      <c r="BMW338" s="104"/>
      <c r="BMX338" s="104"/>
      <c r="BMY338" s="104"/>
      <c r="BMZ338" s="104"/>
      <c r="BNA338" s="104"/>
      <c r="BNB338" s="104"/>
      <c r="BNC338" s="104"/>
      <c r="BND338" s="104"/>
      <c r="BNE338" s="104"/>
      <c r="BNF338" s="104"/>
      <c r="BNG338" s="104"/>
      <c r="BNH338" s="104"/>
      <c r="BNI338" s="104"/>
      <c r="BNJ338" s="104"/>
      <c r="BNK338" s="104"/>
      <c r="BNL338" s="104"/>
      <c r="BNM338" s="104"/>
      <c r="BNN338" s="104"/>
      <c r="BNO338" s="104"/>
      <c r="BNP338" s="104"/>
      <c r="BNQ338" s="104"/>
      <c r="BNR338" s="104"/>
      <c r="BNS338" s="104"/>
      <c r="BNT338" s="104"/>
      <c r="BNU338" s="104"/>
      <c r="BNV338" s="104"/>
      <c r="BNW338" s="104"/>
      <c r="BNX338" s="104"/>
      <c r="BNY338" s="104"/>
      <c r="BNZ338" s="104"/>
      <c r="BOA338" s="104"/>
      <c r="BOB338" s="104"/>
      <c r="BOC338" s="104"/>
      <c r="BOD338" s="104"/>
      <c r="BOE338" s="104"/>
      <c r="BOF338" s="104"/>
      <c r="BOG338" s="104"/>
      <c r="BOH338" s="104"/>
      <c r="BOI338" s="104"/>
      <c r="BOJ338" s="104"/>
      <c r="BOK338" s="104"/>
      <c r="BOL338" s="104"/>
      <c r="BOM338" s="104"/>
      <c r="BON338" s="104"/>
      <c r="BOO338" s="104"/>
      <c r="BOP338" s="104"/>
      <c r="BOQ338" s="104"/>
      <c r="BOR338" s="104"/>
      <c r="BOS338" s="104"/>
      <c r="BOT338" s="104"/>
      <c r="BOU338" s="104"/>
      <c r="BOV338" s="104"/>
      <c r="BOW338" s="104"/>
      <c r="BOX338" s="104"/>
      <c r="BOY338" s="104"/>
      <c r="BOZ338" s="104"/>
      <c r="BPA338" s="104"/>
      <c r="BPB338" s="104"/>
      <c r="BPC338" s="104"/>
      <c r="BPD338" s="104"/>
      <c r="BPE338" s="104"/>
      <c r="BPF338" s="104"/>
      <c r="BPG338" s="104"/>
      <c r="BPH338" s="104"/>
      <c r="BPI338" s="104"/>
      <c r="BPJ338" s="104"/>
      <c r="BPK338" s="104"/>
      <c r="BPL338" s="104"/>
      <c r="BPM338" s="104"/>
      <c r="BPN338" s="104"/>
      <c r="BPO338" s="104"/>
      <c r="BPP338" s="104"/>
      <c r="BPQ338" s="104"/>
      <c r="BPR338" s="104"/>
      <c r="BPS338" s="104"/>
      <c r="BPT338" s="104"/>
      <c r="BPU338" s="104"/>
      <c r="BPV338" s="104"/>
      <c r="BPW338" s="104"/>
      <c r="BPX338" s="104"/>
      <c r="BPY338" s="104"/>
      <c r="BPZ338" s="104"/>
      <c r="BQA338" s="104"/>
      <c r="BQB338" s="104"/>
      <c r="BQC338" s="104"/>
      <c r="BQD338" s="104"/>
      <c r="BQE338" s="104"/>
      <c r="BQF338" s="104"/>
      <c r="BQG338" s="104"/>
      <c r="BQH338" s="104"/>
      <c r="BQI338" s="104"/>
      <c r="BQJ338" s="104"/>
      <c r="BQK338" s="104"/>
      <c r="BQL338" s="104"/>
      <c r="BQM338" s="104"/>
      <c r="BQN338" s="104"/>
      <c r="BQO338" s="104"/>
      <c r="BQP338" s="104"/>
      <c r="BQQ338" s="104"/>
      <c r="BQR338" s="104"/>
      <c r="BQS338" s="104"/>
      <c r="BQT338" s="104"/>
      <c r="BQU338" s="104"/>
      <c r="BQV338" s="104"/>
      <c r="BQW338" s="104"/>
      <c r="BQX338" s="104"/>
      <c r="BQY338" s="104"/>
      <c r="BQZ338" s="104"/>
      <c r="BRA338" s="104"/>
      <c r="BRB338" s="104"/>
      <c r="BRC338" s="104"/>
      <c r="BRD338" s="104"/>
      <c r="BRE338" s="104"/>
      <c r="BRF338" s="104"/>
      <c r="BRG338" s="104"/>
      <c r="BRH338" s="104"/>
      <c r="BRI338" s="104"/>
      <c r="BRJ338" s="104"/>
      <c r="BRK338" s="104"/>
      <c r="BRL338" s="104"/>
      <c r="BRM338" s="104"/>
      <c r="BRN338" s="104"/>
      <c r="BRO338" s="104"/>
      <c r="BRP338" s="104"/>
      <c r="BRQ338" s="104"/>
      <c r="BRR338" s="104"/>
      <c r="BRS338" s="104"/>
      <c r="BRT338" s="104"/>
      <c r="BRU338" s="104"/>
      <c r="BRV338" s="104"/>
      <c r="BRW338" s="104"/>
      <c r="BRX338" s="104"/>
      <c r="BRY338" s="104"/>
      <c r="BRZ338" s="104"/>
      <c r="BSA338" s="104"/>
      <c r="BSB338" s="104"/>
      <c r="BSC338" s="104"/>
      <c r="BSD338" s="104"/>
      <c r="BSE338" s="104"/>
      <c r="BSF338" s="104"/>
      <c r="BSG338" s="104"/>
      <c r="BSH338" s="104"/>
      <c r="BSI338" s="104"/>
      <c r="BSJ338" s="104"/>
      <c r="BSK338" s="104"/>
      <c r="BSL338" s="104"/>
      <c r="BSM338" s="104"/>
      <c r="BSN338" s="104"/>
      <c r="BSO338" s="104"/>
      <c r="BSP338" s="104"/>
      <c r="BSQ338" s="104"/>
      <c r="BSR338" s="104"/>
      <c r="BSS338" s="104"/>
      <c r="BST338" s="104"/>
      <c r="BSU338" s="104"/>
      <c r="BSV338" s="104"/>
      <c r="BSW338" s="104"/>
      <c r="BSX338" s="104"/>
      <c r="BSY338" s="104"/>
      <c r="BSZ338" s="104"/>
      <c r="BTA338" s="104"/>
      <c r="BTB338" s="104"/>
      <c r="BTC338" s="104"/>
      <c r="BTD338" s="104"/>
      <c r="BTE338" s="104"/>
      <c r="BTF338" s="104"/>
      <c r="BTG338" s="104"/>
      <c r="BTH338" s="104"/>
      <c r="BTI338" s="104"/>
      <c r="BTJ338" s="104"/>
      <c r="BTK338" s="104"/>
      <c r="BTL338" s="104"/>
      <c r="BTM338" s="104"/>
      <c r="BTN338" s="104"/>
      <c r="BTO338" s="104"/>
      <c r="BTP338" s="104"/>
      <c r="BTQ338" s="104"/>
      <c r="BTR338" s="104"/>
      <c r="BTS338" s="104"/>
      <c r="BTT338" s="104"/>
      <c r="BTU338" s="104"/>
      <c r="BTV338" s="104"/>
      <c r="BTW338" s="104"/>
      <c r="BTX338" s="104"/>
      <c r="BTY338" s="104"/>
      <c r="BTZ338" s="104"/>
      <c r="BUA338" s="104"/>
      <c r="BUB338" s="104"/>
      <c r="BUC338" s="104"/>
      <c r="BUD338" s="104"/>
      <c r="BUE338" s="104"/>
      <c r="BUF338" s="104"/>
      <c r="BUG338" s="104"/>
      <c r="BUH338" s="104"/>
      <c r="BUI338" s="104"/>
      <c r="BUJ338" s="104"/>
      <c r="BUK338" s="104"/>
      <c r="BUL338" s="104"/>
      <c r="BUM338" s="104"/>
      <c r="BUN338" s="104"/>
      <c r="BUO338" s="104"/>
      <c r="BUP338" s="104"/>
      <c r="BUQ338" s="104"/>
      <c r="BUR338" s="104"/>
      <c r="BUS338" s="104"/>
      <c r="BUT338" s="104"/>
      <c r="BUU338" s="104"/>
      <c r="BUV338" s="104"/>
      <c r="BUW338" s="104"/>
      <c r="BUX338" s="104"/>
      <c r="BUY338" s="104"/>
      <c r="BUZ338" s="104"/>
      <c r="BVA338" s="104"/>
      <c r="BVB338" s="104"/>
      <c r="BVC338" s="104"/>
      <c r="BVD338" s="104"/>
      <c r="BVE338" s="104"/>
      <c r="BVF338" s="104"/>
      <c r="BVG338" s="104"/>
      <c r="BVH338" s="104"/>
      <c r="BVI338" s="104"/>
      <c r="BVJ338" s="104"/>
      <c r="BVK338" s="104"/>
      <c r="BVL338" s="104"/>
      <c r="BVM338" s="104"/>
      <c r="BVN338" s="104"/>
      <c r="BVO338" s="104"/>
      <c r="BVP338" s="104"/>
      <c r="BVQ338" s="104"/>
      <c r="BVR338" s="104"/>
      <c r="BVS338" s="104"/>
      <c r="BVT338" s="104"/>
      <c r="BVU338" s="104"/>
      <c r="BVV338" s="104"/>
      <c r="BVW338" s="104"/>
      <c r="BVX338" s="104"/>
      <c r="BVY338" s="104"/>
      <c r="BVZ338" s="104"/>
      <c r="BWA338" s="104"/>
      <c r="BWB338" s="104"/>
      <c r="BWC338" s="104"/>
      <c r="BWD338" s="104"/>
      <c r="BWE338" s="104"/>
      <c r="BWF338" s="104"/>
      <c r="BWG338" s="104"/>
      <c r="BWH338" s="104"/>
      <c r="BWI338" s="104"/>
      <c r="BWJ338" s="104"/>
      <c r="BWK338" s="104"/>
      <c r="BWL338" s="104"/>
      <c r="BWM338" s="104"/>
      <c r="BWN338" s="104"/>
      <c r="BWO338" s="104"/>
      <c r="BWP338" s="104"/>
      <c r="BWQ338" s="104"/>
      <c r="BWR338" s="104"/>
      <c r="BWS338" s="104"/>
      <c r="BWT338" s="104"/>
      <c r="BWU338" s="104"/>
      <c r="BWV338" s="104"/>
      <c r="BWW338" s="104"/>
      <c r="BWX338" s="104"/>
      <c r="BWY338" s="104"/>
      <c r="BWZ338" s="104"/>
      <c r="BXA338" s="104"/>
      <c r="BXB338" s="104"/>
      <c r="BXC338" s="104"/>
      <c r="BXD338" s="104"/>
      <c r="BXE338" s="104"/>
      <c r="BXF338" s="104"/>
      <c r="BXG338" s="104"/>
      <c r="BXH338" s="104"/>
      <c r="BXI338" s="104"/>
      <c r="BXJ338" s="104"/>
      <c r="BXK338" s="104"/>
      <c r="BXL338" s="104"/>
      <c r="BXM338" s="104"/>
      <c r="BXN338" s="104"/>
      <c r="BXO338" s="104"/>
      <c r="BXP338" s="104"/>
      <c r="BXQ338" s="104"/>
      <c r="BXR338" s="104"/>
      <c r="BXS338" s="104"/>
      <c r="BXT338" s="104"/>
      <c r="BXU338" s="104"/>
      <c r="BXV338" s="104"/>
      <c r="BXW338" s="104"/>
      <c r="BXX338" s="104"/>
      <c r="BXY338" s="104"/>
      <c r="BXZ338" s="104"/>
      <c r="BYA338" s="104"/>
      <c r="BYB338" s="104"/>
      <c r="BYC338" s="104"/>
      <c r="BYD338" s="104"/>
      <c r="BYE338" s="104"/>
      <c r="BYF338" s="104"/>
      <c r="BYG338" s="104"/>
      <c r="BYH338" s="104"/>
      <c r="BYI338" s="104"/>
      <c r="BYJ338" s="104"/>
      <c r="BYK338" s="104"/>
      <c r="BYL338" s="104"/>
      <c r="BYM338" s="104"/>
      <c r="BYN338" s="104"/>
      <c r="BYO338" s="104"/>
      <c r="BYP338" s="104"/>
      <c r="BYQ338" s="104"/>
      <c r="BYR338" s="104"/>
      <c r="BYS338" s="104"/>
      <c r="BYT338" s="104"/>
      <c r="BYU338" s="104"/>
      <c r="BYV338" s="104"/>
      <c r="BYW338" s="104"/>
      <c r="BYX338" s="104"/>
      <c r="BYY338" s="104"/>
      <c r="BYZ338" s="104"/>
      <c r="BZA338" s="104"/>
      <c r="BZB338" s="104"/>
      <c r="BZC338" s="104"/>
      <c r="BZD338" s="104"/>
      <c r="BZE338" s="104"/>
      <c r="BZF338" s="104"/>
      <c r="BZG338" s="104"/>
      <c r="BZH338" s="104"/>
      <c r="BZI338" s="104"/>
      <c r="BZJ338" s="104"/>
      <c r="BZK338" s="104"/>
      <c r="BZL338" s="104"/>
      <c r="BZM338" s="104"/>
      <c r="BZN338" s="104"/>
      <c r="BZO338" s="104"/>
      <c r="BZP338" s="104"/>
      <c r="BZQ338" s="104"/>
      <c r="BZR338" s="104"/>
      <c r="BZS338" s="104"/>
      <c r="BZT338" s="104"/>
      <c r="BZU338" s="104"/>
      <c r="BZV338" s="104"/>
      <c r="BZW338" s="104"/>
      <c r="BZX338" s="104"/>
      <c r="BZY338" s="104"/>
      <c r="BZZ338" s="104"/>
      <c r="CAA338" s="104"/>
      <c r="CAB338" s="104"/>
      <c r="CAC338" s="104"/>
      <c r="CAD338" s="104"/>
      <c r="CAE338" s="104"/>
      <c r="CAF338" s="104"/>
      <c r="CAG338" s="104"/>
      <c r="CAH338" s="104"/>
      <c r="CAI338" s="104"/>
      <c r="CAJ338" s="104"/>
      <c r="CAK338" s="104"/>
      <c r="CAL338" s="104"/>
      <c r="CAM338" s="104"/>
      <c r="CAN338" s="104"/>
      <c r="CAO338" s="104"/>
      <c r="CAP338" s="104"/>
      <c r="CAQ338" s="104"/>
      <c r="CAR338" s="104"/>
      <c r="CAS338" s="104"/>
      <c r="CAT338" s="104"/>
      <c r="CAU338" s="104"/>
      <c r="CAV338" s="104"/>
      <c r="CAW338" s="104"/>
      <c r="CAX338" s="104"/>
      <c r="CAY338" s="104"/>
      <c r="CAZ338" s="104"/>
      <c r="CBA338" s="104"/>
      <c r="CBB338" s="104"/>
      <c r="CBC338" s="104"/>
      <c r="CBD338" s="104"/>
      <c r="CBE338" s="104"/>
      <c r="CBF338" s="104"/>
      <c r="CBG338" s="104"/>
      <c r="CBH338" s="104"/>
      <c r="CBI338" s="104"/>
      <c r="CBJ338" s="104"/>
      <c r="CBK338" s="104"/>
      <c r="CBL338" s="104"/>
      <c r="CBM338" s="104"/>
      <c r="CBN338" s="104"/>
      <c r="CBO338" s="104"/>
      <c r="CBP338" s="104"/>
      <c r="CBQ338" s="104"/>
      <c r="CBR338" s="104"/>
      <c r="CBS338" s="104"/>
      <c r="CBT338" s="104"/>
      <c r="CBU338" s="104"/>
      <c r="CBV338" s="104"/>
      <c r="CBW338" s="104"/>
      <c r="CBX338" s="104"/>
      <c r="CBY338" s="104"/>
      <c r="CBZ338" s="104"/>
      <c r="CCA338" s="104"/>
      <c r="CCB338" s="104"/>
      <c r="CCC338" s="104"/>
      <c r="CCD338" s="104"/>
      <c r="CCE338" s="104"/>
      <c r="CCF338" s="104"/>
      <c r="CCG338" s="104"/>
      <c r="CCH338" s="104"/>
      <c r="CCI338" s="104"/>
      <c r="CCJ338" s="104"/>
      <c r="CCK338" s="104"/>
      <c r="CCL338" s="104"/>
      <c r="CCM338" s="104"/>
      <c r="CCN338" s="104"/>
      <c r="CCO338" s="104"/>
      <c r="CCP338" s="104"/>
      <c r="CCQ338" s="104"/>
      <c r="CCR338" s="104"/>
      <c r="CCS338" s="104"/>
      <c r="CCT338" s="104"/>
      <c r="CCU338" s="104"/>
      <c r="CCV338" s="104"/>
      <c r="CCW338" s="104"/>
      <c r="CCX338" s="104"/>
      <c r="CCY338" s="104"/>
      <c r="CCZ338" s="104"/>
      <c r="CDA338" s="104"/>
      <c r="CDB338" s="104"/>
      <c r="CDC338" s="104"/>
      <c r="CDD338" s="104"/>
      <c r="CDE338" s="104"/>
      <c r="CDF338" s="104"/>
      <c r="CDG338" s="104"/>
      <c r="CDH338" s="104"/>
      <c r="CDI338" s="104"/>
      <c r="CDJ338" s="104"/>
      <c r="CDK338" s="104"/>
      <c r="CDL338" s="104"/>
      <c r="CDM338" s="104"/>
      <c r="CDN338" s="104"/>
      <c r="CDO338" s="104"/>
      <c r="CDP338" s="104"/>
      <c r="CDQ338" s="104"/>
      <c r="CDR338" s="104"/>
      <c r="CDS338" s="104"/>
      <c r="CDT338" s="104"/>
      <c r="CDU338" s="104"/>
      <c r="CDV338" s="104"/>
      <c r="CDW338" s="104"/>
      <c r="CDX338" s="104"/>
      <c r="CDY338" s="104"/>
      <c r="CDZ338" s="104"/>
      <c r="CEA338" s="104"/>
      <c r="CEB338" s="104"/>
      <c r="CEC338" s="104"/>
      <c r="CED338" s="104"/>
      <c r="CEE338" s="104"/>
      <c r="CEF338" s="104"/>
      <c r="CEG338" s="104"/>
      <c r="CEH338" s="104"/>
      <c r="CEI338" s="104"/>
      <c r="CEJ338" s="104"/>
      <c r="CEK338" s="104"/>
      <c r="CEL338" s="104"/>
      <c r="CEM338" s="104"/>
      <c r="CEN338" s="104"/>
      <c r="CEO338" s="104"/>
      <c r="CEP338" s="104"/>
      <c r="CEQ338" s="104"/>
      <c r="CER338" s="104"/>
      <c r="CES338" s="104"/>
      <c r="CET338" s="104"/>
      <c r="CEU338" s="104"/>
      <c r="CEV338" s="104"/>
      <c r="CEW338" s="104"/>
      <c r="CEX338" s="104"/>
      <c r="CEY338" s="104"/>
      <c r="CEZ338" s="104"/>
      <c r="CFA338" s="104"/>
      <c r="CFB338" s="104"/>
      <c r="CFC338" s="104"/>
      <c r="CFD338" s="104"/>
      <c r="CFE338" s="104"/>
      <c r="CFF338" s="104"/>
      <c r="CFG338" s="104"/>
      <c r="CFH338" s="104"/>
      <c r="CFI338" s="104"/>
      <c r="CFJ338" s="104"/>
      <c r="CFK338" s="104"/>
      <c r="CFL338" s="104"/>
      <c r="CFM338" s="104"/>
      <c r="CFN338" s="104"/>
      <c r="CFO338" s="104"/>
      <c r="CFP338" s="104"/>
      <c r="CFQ338" s="104"/>
      <c r="CFR338" s="104"/>
      <c r="CFS338" s="104"/>
      <c r="CFT338" s="104"/>
      <c r="CFU338" s="104"/>
      <c r="CFV338" s="104"/>
      <c r="CFW338" s="104"/>
      <c r="CFX338" s="104"/>
      <c r="CFY338" s="104"/>
      <c r="CFZ338" s="104"/>
      <c r="CGA338" s="104"/>
      <c r="CGB338" s="104"/>
      <c r="CGC338" s="104"/>
      <c r="CGD338" s="104"/>
      <c r="CGE338" s="104"/>
      <c r="CGF338" s="104"/>
      <c r="CGG338" s="104"/>
      <c r="CGH338" s="104"/>
      <c r="CGI338" s="104"/>
      <c r="CGJ338" s="104"/>
      <c r="CGK338" s="104"/>
      <c r="CGL338" s="104"/>
      <c r="CGM338" s="104"/>
      <c r="CGN338" s="104"/>
      <c r="CGO338" s="104"/>
      <c r="CGP338" s="104"/>
      <c r="CGQ338" s="104"/>
      <c r="CGR338" s="104"/>
      <c r="CGS338" s="104"/>
      <c r="CGT338" s="104"/>
      <c r="CGU338" s="104"/>
      <c r="CGV338" s="104"/>
      <c r="CGW338" s="104"/>
      <c r="CGX338" s="104"/>
      <c r="CGY338" s="104"/>
      <c r="CGZ338" s="104"/>
      <c r="CHA338" s="104"/>
      <c r="CHB338" s="104"/>
      <c r="CHC338" s="104"/>
      <c r="CHD338" s="104"/>
      <c r="CHE338" s="104"/>
      <c r="CHF338" s="104"/>
      <c r="CHG338" s="104"/>
      <c r="CHH338" s="104"/>
      <c r="CHI338" s="104"/>
      <c r="CHJ338" s="104"/>
      <c r="CHK338" s="104"/>
      <c r="CHL338" s="104"/>
      <c r="CHM338" s="104"/>
      <c r="CHN338" s="104"/>
      <c r="CHO338" s="104"/>
      <c r="CHP338" s="104"/>
      <c r="CHQ338" s="104"/>
      <c r="CHR338" s="104"/>
      <c r="CHS338" s="104"/>
      <c r="CHT338" s="104"/>
      <c r="CHU338" s="104"/>
      <c r="CHV338" s="104"/>
      <c r="CHW338" s="104"/>
      <c r="CHX338" s="104"/>
      <c r="CHY338" s="104"/>
      <c r="CHZ338" s="104"/>
      <c r="CIA338" s="104"/>
      <c r="CIB338" s="104"/>
      <c r="CIC338" s="104"/>
      <c r="CID338" s="104"/>
      <c r="CIE338" s="104"/>
      <c r="CIF338" s="104"/>
      <c r="CIG338" s="104"/>
      <c r="CIH338" s="104"/>
      <c r="CII338" s="104"/>
      <c r="CIJ338" s="104"/>
      <c r="CIK338" s="104"/>
      <c r="CIL338" s="104"/>
      <c r="CIM338" s="104"/>
      <c r="CIN338" s="104"/>
      <c r="CIO338" s="104"/>
      <c r="CIP338" s="104"/>
      <c r="CIQ338" s="104"/>
      <c r="CIR338" s="104"/>
      <c r="CIS338" s="104"/>
      <c r="CIT338" s="104"/>
      <c r="CIU338" s="104"/>
      <c r="CIV338" s="104"/>
      <c r="CIW338" s="104"/>
      <c r="CIX338" s="104"/>
      <c r="CIY338" s="104"/>
      <c r="CIZ338" s="104"/>
      <c r="CJA338" s="104"/>
      <c r="CJB338" s="104"/>
      <c r="CJC338" s="104"/>
      <c r="CJD338" s="104"/>
      <c r="CJE338" s="104"/>
      <c r="CJF338" s="104"/>
      <c r="CJG338" s="104"/>
      <c r="CJH338" s="104"/>
      <c r="CJI338" s="104"/>
      <c r="CJJ338" s="104"/>
      <c r="CJK338" s="104"/>
      <c r="CJL338" s="104"/>
      <c r="CJM338" s="104"/>
      <c r="CJN338" s="104"/>
      <c r="CJO338" s="104"/>
      <c r="CJP338" s="104"/>
      <c r="CJQ338" s="104"/>
      <c r="CJR338" s="104"/>
      <c r="CJS338" s="104"/>
      <c r="CJT338" s="104"/>
      <c r="CJU338" s="104"/>
      <c r="CJV338" s="104"/>
      <c r="CJW338" s="104"/>
      <c r="CJX338" s="104"/>
      <c r="CJY338" s="104"/>
      <c r="CJZ338" s="104"/>
      <c r="CKA338" s="104"/>
      <c r="CKB338" s="104"/>
      <c r="CKC338" s="104"/>
      <c r="CKD338" s="104"/>
      <c r="CKE338" s="104"/>
      <c r="CKF338" s="104"/>
      <c r="CKG338" s="104"/>
      <c r="CKH338" s="104"/>
      <c r="CKI338" s="104"/>
      <c r="CKJ338" s="104"/>
      <c r="CKK338" s="104"/>
      <c r="CKL338" s="104"/>
      <c r="CKM338" s="104"/>
      <c r="CKN338" s="104"/>
      <c r="CKO338" s="104"/>
      <c r="CKP338" s="104"/>
      <c r="CKQ338" s="104"/>
      <c r="CKR338" s="104"/>
      <c r="CKS338" s="104"/>
      <c r="CKT338" s="104"/>
      <c r="CKU338" s="104"/>
      <c r="CKV338" s="104"/>
      <c r="CKW338" s="104"/>
      <c r="CKX338" s="104"/>
      <c r="CKY338" s="104"/>
      <c r="CKZ338" s="104"/>
      <c r="CLA338" s="104"/>
      <c r="CLB338" s="104"/>
      <c r="CLC338" s="104"/>
      <c r="CLD338" s="104"/>
      <c r="CLE338" s="104"/>
      <c r="CLF338" s="104"/>
      <c r="CLG338" s="104"/>
      <c r="CLH338" s="104"/>
      <c r="CLI338" s="104"/>
      <c r="CLJ338" s="104"/>
      <c r="CLK338" s="104"/>
      <c r="CLL338" s="104"/>
      <c r="CLM338" s="104"/>
      <c r="CLN338" s="104"/>
      <c r="CLO338" s="104"/>
      <c r="CLP338" s="104"/>
      <c r="CLQ338" s="104"/>
      <c r="CLR338" s="104"/>
      <c r="CLS338" s="104"/>
      <c r="CLT338" s="104"/>
      <c r="CLU338" s="104"/>
      <c r="CLV338" s="104"/>
      <c r="CLW338" s="104"/>
      <c r="CLX338" s="104"/>
      <c r="CLY338" s="104"/>
      <c r="CLZ338" s="104"/>
      <c r="CMA338" s="104"/>
      <c r="CMB338" s="104"/>
      <c r="CMC338" s="104"/>
      <c r="CMD338" s="104"/>
      <c r="CME338" s="104"/>
      <c r="CMF338" s="104"/>
      <c r="CMG338" s="104"/>
      <c r="CMH338" s="104"/>
      <c r="CMI338" s="104"/>
      <c r="CMJ338" s="104"/>
      <c r="CMK338" s="104"/>
      <c r="CML338" s="104"/>
      <c r="CMM338" s="104"/>
      <c r="CMN338" s="104"/>
      <c r="CMO338" s="104"/>
      <c r="CMP338" s="104"/>
      <c r="CMQ338" s="104"/>
      <c r="CMR338" s="104"/>
      <c r="CMS338" s="104"/>
      <c r="CMT338" s="104"/>
      <c r="CMU338" s="104"/>
      <c r="CMV338" s="104"/>
      <c r="CMW338" s="104"/>
      <c r="CMX338" s="104"/>
      <c r="CMY338" s="104"/>
      <c r="CMZ338" s="104"/>
      <c r="CNA338" s="104"/>
      <c r="CNB338" s="104"/>
      <c r="CNC338" s="104"/>
      <c r="CND338" s="104"/>
      <c r="CNE338" s="104"/>
      <c r="CNF338" s="104"/>
      <c r="CNG338" s="104"/>
      <c r="CNH338" s="104"/>
      <c r="CNI338" s="104"/>
      <c r="CNJ338" s="104"/>
      <c r="CNK338" s="104"/>
      <c r="CNL338" s="104"/>
      <c r="CNM338" s="104"/>
      <c r="CNN338" s="104"/>
      <c r="CNO338" s="104"/>
      <c r="CNP338" s="104"/>
      <c r="CNQ338" s="104"/>
      <c r="CNR338" s="104"/>
      <c r="CNS338" s="104"/>
      <c r="CNT338" s="104"/>
      <c r="CNU338" s="104"/>
      <c r="CNV338" s="104"/>
      <c r="CNW338" s="104"/>
      <c r="CNX338" s="104"/>
      <c r="CNY338" s="104"/>
      <c r="CNZ338" s="104"/>
      <c r="COA338" s="104"/>
      <c r="COB338" s="104"/>
      <c r="COC338" s="104"/>
      <c r="COD338" s="104"/>
      <c r="COE338" s="104"/>
      <c r="COF338" s="104"/>
      <c r="COG338" s="104"/>
      <c r="COH338" s="104"/>
      <c r="COI338" s="104"/>
      <c r="COJ338" s="104"/>
      <c r="COK338" s="104"/>
      <c r="COL338" s="104"/>
      <c r="COM338" s="104"/>
      <c r="CON338" s="104"/>
      <c r="COO338" s="104"/>
      <c r="COP338" s="104"/>
      <c r="COQ338" s="104"/>
      <c r="COR338" s="104"/>
      <c r="COS338" s="104"/>
      <c r="COT338" s="104"/>
      <c r="COU338" s="104"/>
      <c r="COV338" s="104"/>
      <c r="COW338" s="104"/>
      <c r="COX338" s="104"/>
      <c r="COY338" s="104"/>
      <c r="COZ338" s="104"/>
      <c r="CPA338" s="104"/>
      <c r="CPB338" s="104"/>
      <c r="CPC338" s="104"/>
      <c r="CPD338" s="104"/>
      <c r="CPE338" s="104"/>
      <c r="CPF338" s="104"/>
      <c r="CPG338" s="104"/>
      <c r="CPH338" s="104"/>
      <c r="CPI338" s="104"/>
      <c r="CPJ338" s="104"/>
      <c r="CPK338" s="104"/>
      <c r="CPL338" s="104"/>
      <c r="CPM338" s="104"/>
      <c r="CPN338" s="104"/>
      <c r="CPO338" s="104"/>
      <c r="CPP338" s="104"/>
      <c r="CPQ338" s="104"/>
      <c r="CPR338" s="104"/>
      <c r="CPS338" s="104"/>
      <c r="CPT338" s="104"/>
      <c r="CPU338" s="104"/>
      <c r="CPV338" s="104"/>
      <c r="CPW338" s="104"/>
      <c r="CPX338" s="104"/>
      <c r="CPY338" s="104"/>
      <c r="CPZ338" s="104"/>
      <c r="CQA338" s="104"/>
      <c r="CQB338" s="104"/>
      <c r="CQC338" s="104"/>
      <c r="CQD338" s="104"/>
      <c r="CQE338" s="104"/>
      <c r="CQF338" s="104"/>
      <c r="CQG338" s="104"/>
      <c r="CQH338" s="104"/>
      <c r="CQI338" s="104"/>
      <c r="CQJ338" s="104"/>
      <c r="CQK338" s="104"/>
      <c r="CQL338" s="104"/>
      <c r="CQM338" s="104"/>
      <c r="CQN338" s="104"/>
      <c r="CQO338" s="104"/>
      <c r="CQP338" s="104"/>
      <c r="CQQ338" s="104"/>
      <c r="CQR338" s="104"/>
      <c r="CQS338" s="104"/>
      <c r="CQT338" s="104"/>
      <c r="CQU338" s="104"/>
      <c r="CQV338" s="104"/>
      <c r="CQW338" s="104"/>
      <c r="CQX338" s="104"/>
      <c r="CQY338" s="104"/>
      <c r="CQZ338" s="104"/>
      <c r="CRA338" s="104"/>
      <c r="CRB338" s="104"/>
      <c r="CRC338" s="104"/>
      <c r="CRD338" s="104"/>
      <c r="CRE338" s="104"/>
      <c r="CRF338" s="104"/>
      <c r="CRG338" s="104"/>
      <c r="CRH338" s="104"/>
      <c r="CRI338" s="104"/>
      <c r="CRJ338" s="104"/>
      <c r="CRK338" s="104"/>
      <c r="CRL338" s="104"/>
      <c r="CRM338" s="104"/>
      <c r="CRN338" s="104"/>
      <c r="CRO338" s="104"/>
      <c r="CRP338" s="104"/>
      <c r="CRQ338" s="104"/>
      <c r="CRR338" s="104"/>
      <c r="CRS338" s="104"/>
      <c r="CRT338" s="104"/>
      <c r="CRU338" s="104"/>
      <c r="CRV338" s="104"/>
      <c r="CRW338" s="104"/>
      <c r="CRX338" s="104"/>
      <c r="CRY338" s="104"/>
      <c r="CRZ338" s="104"/>
      <c r="CSA338" s="104"/>
      <c r="CSB338" s="104"/>
      <c r="CSC338" s="104"/>
      <c r="CSD338" s="104"/>
      <c r="CSE338" s="104"/>
      <c r="CSF338" s="104"/>
      <c r="CSG338" s="104"/>
      <c r="CSH338" s="104"/>
      <c r="CSI338" s="104"/>
      <c r="CSJ338" s="104"/>
      <c r="CSK338" s="104"/>
      <c r="CSL338" s="104"/>
      <c r="CSM338" s="104"/>
      <c r="CSN338" s="104"/>
      <c r="CSO338" s="104"/>
      <c r="CSP338" s="104"/>
      <c r="CSQ338" s="104"/>
      <c r="CSR338" s="104"/>
      <c r="CSS338" s="104"/>
      <c r="CST338" s="104"/>
      <c r="CSU338" s="104"/>
      <c r="CSV338" s="104"/>
      <c r="CSW338" s="104"/>
      <c r="CSX338" s="104"/>
      <c r="CSY338" s="104"/>
      <c r="CSZ338" s="104"/>
      <c r="CTA338" s="104"/>
      <c r="CTB338" s="104"/>
      <c r="CTC338" s="104"/>
      <c r="CTD338" s="104"/>
      <c r="CTE338" s="104"/>
      <c r="CTF338" s="104"/>
      <c r="CTG338" s="104"/>
      <c r="CTH338" s="104"/>
      <c r="CTI338" s="104"/>
      <c r="CTJ338" s="104"/>
      <c r="CTK338" s="104"/>
      <c r="CTL338" s="104"/>
      <c r="CTM338" s="104"/>
      <c r="CTN338" s="104"/>
      <c r="CTO338" s="104"/>
      <c r="CTP338" s="104"/>
      <c r="CTQ338" s="104"/>
      <c r="CTR338" s="104"/>
      <c r="CTS338" s="104"/>
      <c r="CTT338" s="104"/>
      <c r="CTU338" s="104"/>
      <c r="CTV338" s="104"/>
      <c r="CTW338" s="104"/>
      <c r="CTX338" s="104"/>
      <c r="CTY338" s="104"/>
      <c r="CTZ338" s="104"/>
      <c r="CUA338" s="104"/>
    </row>
    <row r="339" s="78" customFormat="1" spans="1:2575">
      <c r="A339" s="117"/>
      <c r="B339" s="116"/>
      <c r="C339" s="116"/>
      <c r="D339" s="116"/>
      <c r="E339" s="116"/>
      <c r="F339" s="116"/>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c r="BE339" s="104"/>
      <c r="BF339" s="104"/>
      <c r="BG339" s="104"/>
      <c r="BH339" s="104"/>
      <c r="BI339" s="104"/>
      <c r="BJ339" s="104"/>
      <c r="BK339" s="104"/>
      <c r="BL339" s="104"/>
      <c r="BM339" s="104"/>
      <c r="BN339" s="104"/>
      <c r="BO339" s="104"/>
      <c r="BP339" s="104"/>
      <c r="BQ339" s="104"/>
      <c r="BR339" s="104"/>
      <c r="BS339" s="104"/>
      <c r="BT339" s="104"/>
      <c r="BU339" s="104"/>
      <c r="BV339" s="104"/>
      <c r="BW339" s="104"/>
      <c r="BX339" s="104"/>
      <c r="BY339" s="104"/>
      <c r="BZ339" s="104"/>
      <c r="CA339" s="104"/>
      <c r="CB339" s="104"/>
      <c r="CC339" s="104"/>
      <c r="CD339" s="104"/>
      <c r="CE339" s="104"/>
      <c r="CF339" s="104"/>
      <c r="CG339" s="104"/>
      <c r="CH339" s="104"/>
      <c r="CI339" s="104"/>
      <c r="CJ339" s="104"/>
      <c r="CK339" s="104"/>
      <c r="CL339" s="104"/>
      <c r="CM339" s="104"/>
      <c r="CN339" s="104"/>
      <c r="CO339" s="104"/>
      <c r="CP339" s="104"/>
      <c r="CQ339" s="104"/>
      <c r="CR339" s="104"/>
      <c r="CS339" s="104"/>
      <c r="CT339" s="104"/>
      <c r="CU339" s="104"/>
      <c r="CV339" s="104"/>
      <c r="CW339" s="104"/>
      <c r="CX339" s="104"/>
      <c r="CY339" s="104"/>
      <c r="CZ339" s="104"/>
      <c r="DA339" s="104"/>
      <c r="DB339" s="104"/>
      <c r="DC339" s="104"/>
      <c r="DD339" s="104"/>
      <c r="DE339" s="104"/>
      <c r="DF339" s="104"/>
      <c r="DG339" s="104"/>
      <c r="DH339" s="104"/>
      <c r="DI339" s="104"/>
      <c r="DJ339" s="104"/>
      <c r="DK339" s="104"/>
      <c r="DL339" s="104"/>
      <c r="DM339" s="104"/>
      <c r="DN339" s="104"/>
      <c r="DO339" s="104"/>
      <c r="DP339" s="104"/>
      <c r="DQ339" s="104"/>
      <c r="DR339" s="104"/>
      <c r="DS339" s="104"/>
      <c r="DT339" s="104"/>
      <c r="DU339" s="104"/>
      <c r="DV339" s="104"/>
      <c r="DW339" s="104"/>
      <c r="DX339" s="104"/>
      <c r="DY339" s="104"/>
      <c r="DZ339" s="104"/>
      <c r="EA339" s="104"/>
      <c r="EB339" s="104"/>
      <c r="EC339" s="104"/>
      <c r="ED339" s="104"/>
      <c r="EE339" s="104"/>
      <c r="EF339" s="104"/>
      <c r="EG339" s="104"/>
      <c r="EH339" s="104"/>
      <c r="EI339" s="104"/>
      <c r="EJ339" s="104"/>
      <c r="EK339" s="104"/>
      <c r="EL339" s="104"/>
      <c r="EM339" s="104"/>
      <c r="EN339" s="104"/>
      <c r="EO339" s="104"/>
      <c r="EP339" s="104"/>
      <c r="EQ339" s="104"/>
      <c r="ER339" s="104"/>
      <c r="ES339" s="104"/>
      <c r="ET339" s="104"/>
      <c r="EU339" s="104"/>
      <c r="EV339" s="104"/>
      <c r="EW339" s="104"/>
      <c r="EX339" s="104"/>
      <c r="EY339" s="104"/>
      <c r="EZ339" s="104"/>
      <c r="FA339" s="104"/>
      <c r="FB339" s="104"/>
      <c r="FC339" s="104"/>
      <c r="FD339" s="104"/>
      <c r="FE339" s="104"/>
      <c r="FF339" s="104"/>
      <c r="FG339" s="104"/>
      <c r="FH339" s="104"/>
      <c r="FI339" s="104"/>
      <c r="FJ339" s="104"/>
      <c r="FK339" s="104"/>
      <c r="FL339" s="104"/>
      <c r="FM339" s="104"/>
      <c r="FN339" s="104"/>
      <c r="FO339" s="104"/>
      <c r="FP339" s="104"/>
      <c r="FQ339" s="104"/>
      <c r="FR339" s="104"/>
      <c r="FS339" s="104"/>
      <c r="FT339" s="104"/>
      <c r="FU339" s="104"/>
      <c r="FV339" s="104"/>
      <c r="FW339" s="104"/>
      <c r="FX339" s="104"/>
      <c r="FY339" s="104"/>
      <c r="FZ339" s="104"/>
      <c r="GA339" s="104"/>
      <c r="GB339" s="104"/>
      <c r="GC339" s="104"/>
      <c r="GD339" s="104"/>
      <c r="GE339" s="104"/>
      <c r="GF339" s="104"/>
      <c r="GG339" s="104"/>
      <c r="GH339" s="104"/>
      <c r="GI339" s="104"/>
      <c r="GJ339" s="104"/>
      <c r="GK339" s="104"/>
      <c r="GL339" s="104"/>
      <c r="GM339" s="104"/>
      <c r="GN339" s="104"/>
      <c r="GO339" s="104"/>
      <c r="GP339" s="104"/>
      <c r="GQ339" s="104"/>
      <c r="GR339" s="104"/>
      <c r="GS339" s="104"/>
      <c r="GT339" s="104"/>
      <c r="GU339" s="104"/>
      <c r="GV339" s="104"/>
      <c r="GW339" s="104"/>
      <c r="GX339" s="104"/>
      <c r="GY339" s="104"/>
      <c r="GZ339" s="104"/>
      <c r="HA339" s="104"/>
      <c r="HB339" s="104"/>
      <c r="HC339" s="104"/>
      <c r="HD339" s="104"/>
      <c r="HE339" s="104"/>
      <c r="HF339" s="104"/>
      <c r="HG339" s="104"/>
      <c r="HH339" s="104"/>
      <c r="HI339" s="104"/>
      <c r="HJ339" s="104"/>
      <c r="HK339" s="104"/>
      <c r="HL339" s="104"/>
      <c r="HM339" s="104"/>
      <c r="HN339" s="104"/>
      <c r="HO339" s="104"/>
      <c r="HP339" s="104"/>
      <c r="HQ339" s="104"/>
      <c r="HR339" s="104"/>
      <c r="HS339" s="104"/>
      <c r="HT339" s="104"/>
      <c r="HU339" s="104"/>
      <c r="HV339" s="104"/>
      <c r="HW339" s="104"/>
      <c r="HX339" s="104"/>
      <c r="HY339" s="104"/>
      <c r="HZ339" s="104"/>
      <c r="IA339" s="104"/>
      <c r="IB339" s="104"/>
      <c r="IC339" s="104"/>
      <c r="ID339" s="104"/>
      <c r="IE339" s="104"/>
      <c r="IF339" s="104"/>
      <c r="IG339" s="104"/>
      <c r="IH339" s="104"/>
      <c r="II339" s="104"/>
      <c r="IJ339" s="104"/>
      <c r="IK339" s="104"/>
      <c r="IL339" s="104"/>
      <c r="IM339" s="104"/>
      <c r="IN339" s="104"/>
      <c r="IO339" s="104"/>
      <c r="IP339" s="104"/>
      <c r="IQ339" s="104"/>
      <c r="IR339" s="104"/>
      <c r="IS339" s="104"/>
      <c r="IT339" s="104"/>
      <c r="IU339" s="104"/>
      <c r="IV339" s="104"/>
      <c r="IW339" s="104"/>
      <c r="IX339" s="104"/>
      <c r="IY339" s="104"/>
      <c r="IZ339" s="104"/>
      <c r="JA339" s="104"/>
      <c r="JB339" s="104"/>
      <c r="JC339" s="104"/>
      <c r="JD339" s="104"/>
      <c r="JE339" s="104"/>
      <c r="JF339" s="104"/>
      <c r="JG339" s="104"/>
      <c r="JH339" s="104"/>
      <c r="JI339" s="104"/>
      <c r="JJ339" s="104"/>
      <c r="JK339" s="104"/>
      <c r="JL339" s="104"/>
      <c r="JM339" s="104"/>
      <c r="JN339" s="104"/>
      <c r="JO339" s="104"/>
      <c r="JP339" s="104"/>
      <c r="JQ339" s="104"/>
      <c r="JR339" s="104"/>
      <c r="JS339" s="104"/>
      <c r="JT339" s="104"/>
      <c r="JU339" s="104"/>
      <c r="JV339" s="104"/>
      <c r="JW339" s="104"/>
      <c r="JX339" s="104"/>
      <c r="JY339" s="104"/>
      <c r="JZ339" s="104"/>
      <c r="KA339" s="104"/>
      <c r="KB339" s="104"/>
      <c r="KC339" s="104"/>
      <c r="KD339" s="104"/>
      <c r="KE339" s="104"/>
      <c r="KF339" s="104"/>
      <c r="KG339" s="104"/>
      <c r="KH339" s="104"/>
      <c r="KI339" s="104"/>
      <c r="KJ339" s="104"/>
      <c r="KK339" s="104"/>
      <c r="KL339" s="104"/>
      <c r="KM339" s="104"/>
      <c r="KN339" s="104"/>
      <c r="KO339" s="104"/>
      <c r="KP339" s="104"/>
      <c r="KQ339" s="104"/>
      <c r="KR339" s="104"/>
      <c r="KS339" s="104"/>
      <c r="KT339" s="104"/>
      <c r="KU339" s="104"/>
      <c r="KV339" s="104"/>
      <c r="KW339" s="104"/>
      <c r="KX339" s="104"/>
      <c r="KY339" s="104"/>
      <c r="KZ339" s="104"/>
      <c r="LA339" s="104"/>
      <c r="LB339" s="104"/>
      <c r="LC339" s="104"/>
      <c r="LD339" s="104"/>
      <c r="LE339" s="104"/>
      <c r="LF339" s="104"/>
      <c r="LG339" s="104"/>
      <c r="LH339" s="104"/>
      <c r="LI339" s="104"/>
      <c r="LJ339" s="104"/>
      <c r="LK339" s="104"/>
      <c r="LL339" s="104"/>
      <c r="LM339" s="104"/>
      <c r="LN339" s="104"/>
      <c r="LO339" s="104"/>
      <c r="LP339" s="104"/>
      <c r="LQ339" s="104"/>
      <c r="LR339" s="104"/>
      <c r="LS339" s="104"/>
      <c r="LT339" s="104"/>
      <c r="LU339" s="104"/>
      <c r="LV339" s="104"/>
      <c r="LW339" s="104"/>
      <c r="LX339" s="104"/>
      <c r="LY339" s="104"/>
      <c r="LZ339" s="104"/>
      <c r="MA339" s="104"/>
      <c r="MB339" s="104"/>
      <c r="MC339" s="104"/>
      <c r="MD339" s="104"/>
      <c r="ME339" s="104"/>
      <c r="MF339" s="104"/>
      <c r="MG339" s="104"/>
      <c r="MH339" s="104"/>
      <c r="MI339" s="104"/>
      <c r="MJ339" s="104"/>
      <c r="MK339" s="104"/>
      <c r="ML339" s="104"/>
      <c r="MM339" s="104"/>
      <c r="MN339" s="104"/>
      <c r="MO339" s="104"/>
      <c r="MP339" s="104"/>
      <c r="MQ339" s="104"/>
      <c r="MR339" s="104"/>
      <c r="MS339" s="104"/>
      <c r="MT339" s="104"/>
      <c r="MU339" s="104"/>
      <c r="MV339" s="104"/>
      <c r="MW339" s="104"/>
      <c r="MX339" s="104"/>
      <c r="MY339" s="104"/>
      <c r="MZ339" s="104"/>
      <c r="NA339" s="104"/>
      <c r="NB339" s="104"/>
      <c r="NC339" s="104"/>
      <c r="ND339" s="104"/>
      <c r="NE339" s="104"/>
      <c r="NF339" s="104"/>
      <c r="NG339" s="104"/>
      <c r="NH339" s="104"/>
      <c r="NI339" s="104"/>
      <c r="NJ339" s="104"/>
      <c r="NK339" s="104"/>
      <c r="NL339" s="104"/>
      <c r="NM339" s="104"/>
      <c r="NN339" s="104"/>
      <c r="NO339" s="104"/>
      <c r="NP339" s="104"/>
      <c r="NQ339" s="104"/>
      <c r="NR339" s="104"/>
      <c r="NS339" s="104"/>
      <c r="NT339" s="104"/>
      <c r="NU339" s="104"/>
      <c r="NV339" s="104"/>
      <c r="NW339" s="104"/>
      <c r="NX339" s="104"/>
      <c r="NY339" s="104"/>
      <c r="NZ339" s="104"/>
      <c r="OA339" s="104"/>
      <c r="OB339" s="104"/>
      <c r="OC339" s="104"/>
      <c r="OD339" s="104"/>
      <c r="OE339" s="104"/>
      <c r="OF339" s="104"/>
      <c r="OG339" s="104"/>
      <c r="OH339" s="104"/>
      <c r="OI339" s="104"/>
      <c r="OJ339" s="104"/>
      <c r="OK339" s="104"/>
      <c r="OL339" s="104"/>
      <c r="OM339" s="104"/>
      <c r="ON339" s="104"/>
      <c r="OO339" s="104"/>
      <c r="OP339" s="104"/>
      <c r="OQ339" s="104"/>
      <c r="OR339" s="104"/>
      <c r="OS339" s="104"/>
      <c r="OT339" s="104"/>
      <c r="OU339" s="104"/>
      <c r="OV339" s="104"/>
      <c r="OW339" s="104"/>
      <c r="OX339" s="104"/>
      <c r="OY339" s="104"/>
      <c r="OZ339" s="104"/>
      <c r="PA339" s="104"/>
      <c r="PB339" s="104"/>
      <c r="PC339" s="104"/>
      <c r="PD339" s="104"/>
      <c r="PE339" s="104"/>
      <c r="PF339" s="104"/>
      <c r="PG339" s="104"/>
      <c r="PH339" s="104"/>
      <c r="PI339" s="104"/>
      <c r="PJ339" s="104"/>
      <c r="PK339" s="104"/>
      <c r="PL339" s="104"/>
      <c r="PM339" s="104"/>
      <c r="PN339" s="104"/>
      <c r="PO339" s="104"/>
      <c r="PP339" s="104"/>
      <c r="PQ339" s="104"/>
      <c r="PR339" s="104"/>
      <c r="PS339" s="104"/>
      <c r="PT339" s="104"/>
      <c r="PU339" s="104"/>
      <c r="PV339" s="104"/>
      <c r="PW339" s="104"/>
      <c r="PX339" s="104"/>
      <c r="PY339" s="104"/>
      <c r="PZ339" s="104"/>
      <c r="QA339" s="104"/>
      <c r="QB339" s="104"/>
      <c r="QC339" s="104"/>
      <c r="QD339" s="104"/>
      <c r="QE339" s="104"/>
      <c r="QF339" s="104"/>
      <c r="QG339" s="104"/>
      <c r="QH339" s="104"/>
      <c r="QI339" s="104"/>
      <c r="QJ339" s="104"/>
      <c r="QK339" s="104"/>
      <c r="QL339" s="104"/>
      <c r="QM339" s="104"/>
      <c r="QN339" s="104"/>
      <c r="QO339" s="104"/>
      <c r="QP339" s="104"/>
      <c r="QQ339" s="104"/>
      <c r="QR339" s="104"/>
      <c r="QS339" s="104"/>
      <c r="QT339" s="104"/>
      <c r="QU339" s="104"/>
      <c r="QV339" s="104"/>
      <c r="QW339" s="104"/>
      <c r="QX339" s="104"/>
      <c r="QY339" s="104"/>
      <c r="QZ339" s="104"/>
      <c r="RA339" s="104"/>
      <c r="RB339" s="104"/>
      <c r="RC339" s="104"/>
      <c r="RD339" s="104"/>
      <c r="RE339" s="104"/>
      <c r="RF339" s="104"/>
      <c r="RG339" s="104"/>
      <c r="RH339" s="104"/>
      <c r="RI339" s="104"/>
      <c r="RJ339" s="104"/>
      <c r="RK339" s="104"/>
      <c r="RL339" s="104"/>
      <c r="RM339" s="104"/>
      <c r="RN339" s="104"/>
      <c r="RO339" s="104"/>
      <c r="RP339" s="104"/>
      <c r="RQ339" s="104"/>
      <c r="RR339" s="104"/>
      <c r="RS339" s="104"/>
      <c r="RT339" s="104"/>
      <c r="RU339" s="104"/>
      <c r="RV339" s="104"/>
      <c r="RW339" s="104"/>
      <c r="RX339" s="104"/>
      <c r="RY339" s="104"/>
      <c r="RZ339" s="104"/>
      <c r="SA339" s="104"/>
      <c r="SB339" s="104"/>
      <c r="SC339" s="104"/>
      <c r="SD339" s="104"/>
      <c r="SE339" s="104"/>
      <c r="SF339" s="104"/>
      <c r="SG339" s="104"/>
      <c r="SH339" s="104"/>
      <c r="SI339" s="104"/>
      <c r="SJ339" s="104"/>
      <c r="SK339" s="104"/>
      <c r="SL339" s="104"/>
      <c r="SM339" s="104"/>
      <c r="SN339" s="104"/>
      <c r="SO339" s="104"/>
      <c r="SP339" s="104"/>
      <c r="SQ339" s="104"/>
      <c r="SR339" s="104"/>
      <c r="SS339" s="104"/>
      <c r="ST339" s="104"/>
      <c r="SU339" s="104"/>
      <c r="SV339" s="104"/>
      <c r="SW339" s="104"/>
      <c r="SX339" s="104"/>
      <c r="SY339" s="104"/>
      <c r="SZ339" s="104"/>
      <c r="TA339" s="104"/>
      <c r="TB339" s="104"/>
      <c r="TC339" s="104"/>
      <c r="TD339" s="104"/>
      <c r="TE339" s="104"/>
      <c r="TF339" s="104"/>
      <c r="TG339" s="104"/>
      <c r="TH339" s="104"/>
      <c r="TI339" s="104"/>
      <c r="TJ339" s="104"/>
      <c r="TK339" s="104"/>
      <c r="TL339" s="104"/>
      <c r="TM339" s="104"/>
      <c r="TN339" s="104"/>
      <c r="TO339" s="104"/>
      <c r="TP339" s="104"/>
      <c r="TQ339" s="104"/>
      <c r="TR339" s="104"/>
      <c r="TS339" s="104"/>
      <c r="TT339" s="104"/>
      <c r="TU339" s="104"/>
      <c r="TV339" s="104"/>
      <c r="TW339" s="104"/>
      <c r="TX339" s="104"/>
      <c r="TY339" s="104"/>
      <c r="TZ339" s="104"/>
      <c r="UA339" s="104"/>
      <c r="UB339" s="104"/>
      <c r="UC339" s="104"/>
      <c r="UD339" s="104"/>
      <c r="UE339" s="104"/>
      <c r="UF339" s="104"/>
      <c r="UG339" s="104"/>
      <c r="UH339" s="104"/>
      <c r="UI339" s="104"/>
      <c r="UJ339" s="104"/>
      <c r="UK339" s="104"/>
      <c r="UL339" s="104"/>
      <c r="UM339" s="104"/>
      <c r="UN339" s="104"/>
      <c r="UO339" s="104"/>
      <c r="UP339" s="104"/>
      <c r="UQ339" s="104"/>
      <c r="UR339" s="104"/>
      <c r="US339" s="104"/>
      <c r="UT339" s="104"/>
      <c r="UU339" s="104"/>
      <c r="UV339" s="104"/>
      <c r="UW339" s="104"/>
      <c r="UX339" s="104"/>
      <c r="UY339" s="104"/>
      <c r="UZ339" s="104"/>
      <c r="VA339" s="104"/>
      <c r="VB339" s="104"/>
      <c r="VC339" s="104"/>
      <c r="VD339" s="104"/>
      <c r="VE339" s="104"/>
      <c r="VF339" s="104"/>
      <c r="VG339" s="104"/>
      <c r="VH339" s="104"/>
      <c r="VI339" s="104"/>
      <c r="VJ339" s="104"/>
      <c r="VK339" s="104"/>
      <c r="VL339" s="104"/>
      <c r="VM339" s="104"/>
      <c r="VN339" s="104"/>
      <c r="VO339" s="104"/>
      <c r="VP339" s="104"/>
      <c r="VQ339" s="104"/>
      <c r="VR339" s="104"/>
      <c r="VS339" s="104"/>
      <c r="VT339" s="104"/>
      <c r="VU339" s="104"/>
      <c r="VV339" s="104"/>
      <c r="VW339" s="104"/>
      <c r="VX339" s="104"/>
      <c r="VY339" s="104"/>
      <c r="VZ339" s="104"/>
      <c r="WA339" s="104"/>
      <c r="WB339" s="104"/>
      <c r="WC339" s="104"/>
      <c r="WD339" s="104"/>
      <c r="WE339" s="104"/>
      <c r="WF339" s="104"/>
      <c r="WG339" s="104"/>
      <c r="WH339" s="104"/>
      <c r="WI339" s="104"/>
      <c r="WJ339" s="104"/>
      <c r="WK339" s="104"/>
      <c r="WL339" s="104"/>
      <c r="WM339" s="104"/>
      <c r="WN339" s="104"/>
      <c r="WO339" s="104"/>
      <c r="WP339" s="104"/>
      <c r="WQ339" s="104"/>
      <c r="WR339" s="104"/>
      <c r="WS339" s="104"/>
      <c r="WT339" s="104"/>
      <c r="WU339" s="104"/>
      <c r="WV339" s="104"/>
      <c r="WW339" s="104"/>
      <c r="WX339" s="104"/>
      <c r="WY339" s="104"/>
      <c r="WZ339" s="104"/>
      <c r="XA339" s="104"/>
      <c r="XB339" s="104"/>
      <c r="XC339" s="104"/>
      <c r="XD339" s="104"/>
      <c r="XE339" s="104"/>
      <c r="XF339" s="104"/>
      <c r="XG339" s="104"/>
      <c r="XH339" s="104"/>
      <c r="XI339" s="104"/>
      <c r="XJ339" s="104"/>
      <c r="XK339" s="104"/>
      <c r="XL339" s="104"/>
      <c r="XM339" s="104"/>
      <c r="XN339" s="104"/>
      <c r="XO339" s="104"/>
      <c r="XP339" s="104"/>
      <c r="XQ339" s="104"/>
      <c r="XR339" s="104"/>
      <c r="XS339" s="104"/>
      <c r="XT339" s="104"/>
      <c r="XU339" s="104"/>
      <c r="XV339" s="104"/>
      <c r="XW339" s="104"/>
      <c r="XX339" s="104"/>
      <c r="XY339" s="104"/>
      <c r="XZ339" s="104"/>
      <c r="YA339" s="104"/>
      <c r="YB339" s="104"/>
      <c r="YC339" s="104"/>
      <c r="YD339" s="104"/>
      <c r="YE339" s="104"/>
      <c r="YF339" s="104"/>
      <c r="YG339" s="104"/>
      <c r="YH339" s="104"/>
      <c r="YI339" s="104"/>
      <c r="YJ339" s="104"/>
      <c r="YK339" s="104"/>
      <c r="YL339" s="104"/>
      <c r="YM339" s="104"/>
      <c r="YN339" s="104"/>
      <c r="YO339" s="104"/>
      <c r="YP339" s="104"/>
      <c r="YQ339" s="104"/>
      <c r="YR339" s="104"/>
      <c r="YS339" s="104"/>
      <c r="YT339" s="104"/>
      <c r="YU339" s="104"/>
      <c r="YV339" s="104"/>
      <c r="YW339" s="104"/>
      <c r="YX339" s="104"/>
      <c r="YY339" s="104"/>
      <c r="YZ339" s="104"/>
      <c r="ZA339" s="104"/>
      <c r="ZB339" s="104"/>
      <c r="ZC339" s="104"/>
      <c r="ZD339" s="104"/>
      <c r="ZE339" s="104"/>
      <c r="ZF339" s="104"/>
      <c r="ZG339" s="104"/>
      <c r="ZH339" s="104"/>
      <c r="ZI339" s="104"/>
      <c r="ZJ339" s="104"/>
      <c r="ZK339" s="104"/>
      <c r="ZL339" s="104"/>
      <c r="ZM339" s="104"/>
      <c r="ZN339" s="104"/>
      <c r="ZO339" s="104"/>
      <c r="ZP339" s="104"/>
      <c r="ZQ339" s="104"/>
      <c r="ZR339" s="104"/>
      <c r="ZS339" s="104"/>
      <c r="ZT339" s="104"/>
      <c r="ZU339" s="104"/>
      <c r="ZV339" s="104"/>
      <c r="ZW339" s="104"/>
      <c r="ZX339" s="104"/>
      <c r="ZY339" s="104"/>
      <c r="ZZ339" s="104"/>
      <c r="AAA339" s="104"/>
      <c r="AAB339" s="104"/>
      <c r="AAC339" s="104"/>
      <c r="AAD339" s="104"/>
      <c r="AAE339" s="104"/>
      <c r="AAF339" s="104"/>
      <c r="AAG339" s="104"/>
      <c r="AAH339" s="104"/>
      <c r="AAI339" s="104"/>
      <c r="AAJ339" s="104"/>
      <c r="AAK339" s="104"/>
      <c r="AAL339" s="104"/>
      <c r="AAM339" s="104"/>
      <c r="AAN339" s="104"/>
      <c r="AAO339" s="104"/>
      <c r="AAP339" s="104"/>
      <c r="AAQ339" s="104"/>
      <c r="AAR339" s="104"/>
      <c r="AAS339" s="104"/>
      <c r="AAT339" s="104"/>
      <c r="AAU339" s="104"/>
      <c r="AAV339" s="104"/>
      <c r="AAW339" s="104"/>
      <c r="AAX339" s="104"/>
      <c r="AAY339" s="104"/>
      <c r="AAZ339" s="104"/>
      <c r="ABA339" s="104"/>
      <c r="ABB339" s="104"/>
      <c r="ABC339" s="104"/>
      <c r="ABD339" s="104"/>
      <c r="ABE339" s="104"/>
      <c r="ABF339" s="104"/>
      <c r="ABG339" s="104"/>
      <c r="ABH339" s="104"/>
      <c r="ABI339" s="104"/>
      <c r="ABJ339" s="104"/>
      <c r="ABK339" s="104"/>
      <c r="ABL339" s="104"/>
      <c r="ABM339" s="104"/>
      <c r="ABN339" s="104"/>
      <c r="ABO339" s="104"/>
      <c r="ABP339" s="104"/>
      <c r="ABQ339" s="104"/>
      <c r="ABR339" s="104"/>
      <c r="ABS339" s="104"/>
      <c r="ABT339" s="104"/>
      <c r="ABU339" s="104"/>
      <c r="ABV339" s="104"/>
      <c r="ABW339" s="104"/>
      <c r="ABX339" s="104"/>
      <c r="ABY339" s="104"/>
      <c r="ABZ339" s="104"/>
      <c r="ACA339" s="104"/>
      <c r="ACB339" s="104"/>
      <c r="ACC339" s="104"/>
      <c r="ACD339" s="104"/>
      <c r="ACE339" s="104"/>
      <c r="ACF339" s="104"/>
      <c r="ACG339" s="104"/>
      <c r="ACH339" s="104"/>
      <c r="ACI339" s="104"/>
      <c r="ACJ339" s="104"/>
      <c r="ACK339" s="104"/>
      <c r="ACL339" s="104"/>
      <c r="ACM339" s="104"/>
      <c r="ACN339" s="104"/>
      <c r="ACO339" s="104"/>
      <c r="ACP339" s="104"/>
      <c r="ACQ339" s="104"/>
      <c r="ACR339" s="104"/>
      <c r="ACS339" s="104"/>
      <c r="ACT339" s="104"/>
      <c r="ACU339" s="104"/>
      <c r="ACV339" s="104"/>
      <c r="ACW339" s="104"/>
      <c r="ACX339" s="104"/>
      <c r="ACY339" s="104"/>
      <c r="ACZ339" s="104"/>
      <c r="ADA339" s="104"/>
      <c r="ADB339" s="104"/>
      <c r="ADC339" s="104"/>
      <c r="ADD339" s="104"/>
      <c r="ADE339" s="104"/>
      <c r="ADF339" s="104"/>
      <c r="ADG339" s="104"/>
      <c r="ADH339" s="104"/>
      <c r="ADI339" s="104"/>
      <c r="ADJ339" s="104"/>
      <c r="ADK339" s="104"/>
      <c r="ADL339" s="104"/>
      <c r="ADM339" s="104"/>
      <c r="ADN339" s="104"/>
      <c r="ADO339" s="104"/>
      <c r="ADP339" s="104"/>
      <c r="ADQ339" s="104"/>
      <c r="ADR339" s="104"/>
      <c r="ADS339" s="104"/>
      <c r="ADT339" s="104"/>
      <c r="ADU339" s="104"/>
      <c r="ADV339" s="104"/>
      <c r="ADW339" s="104"/>
      <c r="ADX339" s="104"/>
      <c r="ADY339" s="104"/>
      <c r="ADZ339" s="104"/>
      <c r="AEA339" s="104"/>
      <c r="AEB339" s="104"/>
      <c r="AEC339" s="104"/>
      <c r="AED339" s="104"/>
      <c r="AEE339" s="104"/>
      <c r="AEF339" s="104"/>
      <c r="AEG339" s="104"/>
      <c r="AEH339" s="104"/>
      <c r="AEI339" s="104"/>
      <c r="AEJ339" s="104"/>
      <c r="AEK339" s="104"/>
      <c r="AEL339" s="104"/>
      <c r="AEM339" s="104"/>
      <c r="AEN339" s="104"/>
      <c r="AEO339" s="104"/>
      <c r="AEP339" s="104"/>
      <c r="AEQ339" s="104"/>
      <c r="AER339" s="104"/>
      <c r="AES339" s="104"/>
      <c r="AET339" s="104"/>
      <c r="AEU339" s="104"/>
      <c r="AEV339" s="104"/>
      <c r="AEW339" s="104"/>
      <c r="AEX339" s="104"/>
      <c r="AEY339" s="104"/>
      <c r="AEZ339" s="104"/>
      <c r="AFA339" s="104"/>
      <c r="AFB339" s="104"/>
      <c r="AFC339" s="104"/>
      <c r="AFD339" s="104"/>
      <c r="AFE339" s="104"/>
      <c r="AFF339" s="104"/>
      <c r="AFG339" s="104"/>
      <c r="AFH339" s="104"/>
      <c r="AFI339" s="104"/>
      <c r="AFJ339" s="104"/>
      <c r="AFK339" s="104"/>
      <c r="AFL339" s="104"/>
      <c r="AFM339" s="104"/>
      <c r="AFN339" s="104"/>
      <c r="AFO339" s="104"/>
      <c r="AFP339" s="104"/>
      <c r="AFQ339" s="104"/>
      <c r="AFR339" s="104"/>
      <c r="AFS339" s="104"/>
      <c r="AFT339" s="104"/>
      <c r="AFU339" s="104"/>
      <c r="AFV339" s="104"/>
      <c r="AFW339" s="104"/>
      <c r="AFX339" s="104"/>
      <c r="AFY339" s="104"/>
      <c r="AFZ339" s="104"/>
      <c r="AGA339" s="104"/>
      <c r="AGB339" s="104"/>
      <c r="AGC339" s="104"/>
      <c r="AGD339" s="104"/>
      <c r="AGE339" s="104"/>
      <c r="AGF339" s="104"/>
      <c r="AGG339" s="104"/>
      <c r="AGH339" s="104"/>
      <c r="AGI339" s="104"/>
      <c r="AGJ339" s="104"/>
      <c r="AGK339" s="104"/>
      <c r="AGL339" s="104"/>
      <c r="AGM339" s="104"/>
      <c r="AGN339" s="104"/>
      <c r="AGO339" s="104"/>
      <c r="AGP339" s="104"/>
      <c r="AGQ339" s="104"/>
      <c r="AGR339" s="104"/>
      <c r="AGS339" s="104"/>
      <c r="AGT339" s="104"/>
      <c r="AGU339" s="104"/>
      <c r="AGV339" s="104"/>
      <c r="AGW339" s="104"/>
      <c r="AGX339" s="104"/>
      <c r="AGY339" s="104"/>
      <c r="AGZ339" s="104"/>
      <c r="AHA339" s="104"/>
      <c r="AHB339" s="104"/>
      <c r="AHC339" s="104"/>
      <c r="AHD339" s="104"/>
      <c r="AHE339" s="104"/>
      <c r="AHF339" s="104"/>
      <c r="AHG339" s="104"/>
      <c r="AHH339" s="104"/>
      <c r="AHI339" s="104"/>
      <c r="AHJ339" s="104"/>
      <c r="AHK339" s="104"/>
      <c r="AHL339" s="104"/>
      <c r="AHM339" s="104"/>
      <c r="AHN339" s="104"/>
      <c r="AHO339" s="104"/>
      <c r="AHP339" s="104"/>
      <c r="AHQ339" s="104"/>
      <c r="AHR339" s="104"/>
      <c r="AHS339" s="104"/>
      <c r="AHT339" s="104"/>
      <c r="AHU339" s="104"/>
      <c r="AHV339" s="104"/>
      <c r="AHW339" s="104"/>
      <c r="AHX339" s="104"/>
      <c r="AHY339" s="104"/>
      <c r="AHZ339" s="104"/>
      <c r="AIA339" s="104"/>
      <c r="AIB339" s="104"/>
      <c r="AIC339" s="104"/>
      <c r="AID339" s="104"/>
      <c r="AIE339" s="104"/>
      <c r="AIF339" s="104"/>
      <c r="AIG339" s="104"/>
      <c r="AIH339" s="104"/>
      <c r="AII339" s="104"/>
      <c r="AIJ339" s="104"/>
      <c r="AIK339" s="104"/>
      <c r="AIL339" s="104"/>
      <c r="AIM339" s="104"/>
      <c r="AIN339" s="104"/>
      <c r="AIO339" s="104"/>
      <c r="AIP339" s="104"/>
      <c r="AIQ339" s="104"/>
      <c r="AIR339" s="104"/>
      <c r="AIS339" s="104"/>
      <c r="AIT339" s="104"/>
      <c r="AIU339" s="104"/>
      <c r="AIV339" s="104"/>
      <c r="AIW339" s="104"/>
      <c r="AIX339" s="104"/>
      <c r="AIY339" s="104"/>
      <c r="AIZ339" s="104"/>
      <c r="AJA339" s="104"/>
      <c r="AJB339" s="104"/>
      <c r="AJC339" s="104"/>
      <c r="AJD339" s="104"/>
      <c r="AJE339" s="104"/>
      <c r="AJF339" s="104"/>
      <c r="AJG339" s="104"/>
      <c r="AJH339" s="104"/>
      <c r="AJI339" s="104"/>
      <c r="AJJ339" s="104"/>
      <c r="AJK339" s="104"/>
      <c r="AJL339" s="104"/>
      <c r="AJM339" s="104"/>
      <c r="AJN339" s="104"/>
      <c r="AJO339" s="104"/>
      <c r="AJP339" s="104"/>
      <c r="AJQ339" s="104"/>
      <c r="AJR339" s="104"/>
      <c r="AJS339" s="104"/>
      <c r="AJT339" s="104"/>
      <c r="AJU339" s="104"/>
      <c r="AJV339" s="104"/>
      <c r="AJW339" s="104"/>
      <c r="AJX339" s="104"/>
      <c r="AJY339" s="104"/>
      <c r="AJZ339" s="104"/>
      <c r="AKA339" s="104"/>
      <c r="AKB339" s="104"/>
      <c r="AKC339" s="104"/>
      <c r="AKD339" s="104"/>
      <c r="AKE339" s="104"/>
      <c r="AKF339" s="104"/>
      <c r="AKG339" s="104"/>
      <c r="AKH339" s="104"/>
      <c r="AKI339" s="104"/>
      <c r="AKJ339" s="104"/>
      <c r="AKK339" s="104"/>
      <c r="AKL339" s="104"/>
      <c r="AKM339" s="104"/>
      <c r="AKN339" s="104"/>
      <c r="AKO339" s="104"/>
      <c r="AKP339" s="104"/>
      <c r="AKQ339" s="104"/>
      <c r="AKR339" s="104"/>
      <c r="AKS339" s="104"/>
      <c r="AKT339" s="104"/>
      <c r="AKU339" s="104"/>
      <c r="AKV339" s="104"/>
      <c r="AKW339" s="104"/>
      <c r="AKX339" s="104"/>
      <c r="AKY339" s="104"/>
      <c r="AKZ339" s="104"/>
      <c r="ALA339" s="104"/>
      <c r="ALB339" s="104"/>
      <c r="ALC339" s="104"/>
      <c r="ALD339" s="104"/>
      <c r="ALE339" s="104"/>
      <c r="ALF339" s="104"/>
      <c r="ALG339" s="104"/>
      <c r="ALH339" s="104"/>
      <c r="ALI339" s="104"/>
      <c r="ALJ339" s="104"/>
      <c r="ALK339" s="104"/>
      <c r="ALL339" s="104"/>
      <c r="ALM339" s="104"/>
      <c r="ALN339" s="104"/>
      <c r="ALO339" s="104"/>
      <c r="ALP339" s="104"/>
      <c r="ALQ339" s="104"/>
      <c r="ALR339" s="104"/>
      <c r="ALS339" s="104"/>
      <c r="ALT339" s="104"/>
      <c r="ALU339" s="104"/>
      <c r="ALV339" s="104"/>
      <c r="ALW339" s="104"/>
      <c r="ALX339" s="104"/>
      <c r="ALY339" s="104"/>
      <c r="ALZ339" s="104"/>
      <c r="AMA339" s="104"/>
      <c r="AMB339" s="104"/>
      <c r="AMC339" s="104"/>
      <c r="AMD339" s="104"/>
      <c r="AME339" s="104"/>
      <c r="AMF339" s="104"/>
      <c r="AMG339" s="104"/>
      <c r="AMH339" s="104"/>
      <c r="AMI339" s="104"/>
      <c r="AMJ339" s="104"/>
      <c r="AMK339" s="104"/>
      <c r="AML339" s="104"/>
      <c r="AMM339" s="104"/>
      <c r="AMN339" s="104"/>
      <c r="AMO339" s="104"/>
      <c r="AMP339" s="104"/>
      <c r="AMQ339" s="104"/>
      <c r="AMR339" s="104"/>
      <c r="AMS339" s="104"/>
      <c r="AMT339" s="104"/>
      <c r="AMU339" s="104"/>
      <c r="AMV339" s="104"/>
      <c r="AMW339" s="104"/>
      <c r="AMX339" s="104"/>
      <c r="AMY339" s="104"/>
      <c r="AMZ339" s="104"/>
      <c r="ANA339" s="104"/>
      <c r="ANB339" s="104"/>
      <c r="ANC339" s="104"/>
      <c r="AND339" s="104"/>
      <c r="ANE339" s="104"/>
      <c r="ANF339" s="104"/>
      <c r="ANG339" s="104"/>
      <c r="ANH339" s="104"/>
      <c r="ANI339" s="104"/>
      <c r="ANJ339" s="104"/>
      <c r="ANK339" s="104"/>
      <c r="ANL339" s="104"/>
      <c r="ANM339" s="104"/>
      <c r="ANN339" s="104"/>
      <c r="ANO339" s="104"/>
      <c r="ANP339" s="104"/>
      <c r="ANQ339" s="104"/>
      <c r="ANR339" s="104"/>
      <c r="ANS339" s="104"/>
      <c r="ANT339" s="104"/>
      <c r="ANU339" s="104"/>
      <c r="ANV339" s="104"/>
      <c r="ANW339" s="104"/>
      <c r="ANX339" s="104"/>
      <c r="ANY339" s="104"/>
      <c r="ANZ339" s="104"/>
      <c r="AOA339" s="104"/>
      <c r="AOB339" s="104"/>
      <c r="AOC339" s="104"/>
      <c r="AOD339" s="104"/>
      <c r="AOE339" s="104"/>
      <c r="AOF339" s="104"/>
      <c r="AOG339" s="104"/>
      <c r="AOH339" s="104"/>
      <c r="AOI339" s="104"/>
      <c r="AOJ339" s="104"/>
      <c r="AOK339" s="104"/>
      <c r="AOL339" s="104"/>
      <c r="AOM339" s="104"/>
      <c r="AON339" s="104"/>
      <c r="AOO339" s="104"/>
      <c r="AOP339" s="104"/>
      <c r="AOQ339" s="104"/>
      <c r="AOR339" s="104"/>
      <c r="AOS339" s="104"/>
      <c r="AOT339" s="104"/>
      <c r="AOU339" s="104"/>
      <c r="AOV339" s="104"/>
      <c r="AOW339" s="104"/>
      <c r="AOX339" s="104"/>
      <c r="AOY339" s="104"/>
      <c r="AOZ339" s="104"/>
      <c r="APA339" s="104"/>
      <c r="APB339" s="104"/>
      <c r="APC339" s="104"/>
      <c r="APD339" s="104"/>
      <c r="APE339" s="104"/>
      <c r="APF339" s="104"/>
      <c r="APG339" s="104"/>
      <c r="APH339" s="104"/>
      <c r="API339" s="104"/>
      <c r="APJ339" s="104"/>
      <c r="APK339" s="104"/>
      <c r="APL339" s="104"/>
      <c r="APM339" s="104"/>
      <c r="APN339" s="104"/>
      <c r="APO339" s="104"/>
      <c r="APP339" s="104"/>
      <c r="APQ339" s="104"/>
      <c r="APR339" s="104"/>
      <c r="APS339" s="104"/>
      <c r="APT339" s="104"/>
      <c r="APU339" s="104"/>
      <c r="APV339" s="104"/>
      <c r="APW339" s="104"/>
      <c r="APX339" s="104"/>
      <c r="APY339" s="104"/>
      <c r="APZ339" s="104"/>
      <c r="AQA339" s="104"/>
      <c r="AQB339" s="104"/>
      <c r="AQC339" s="104"/>
      <c r="AQD339" s="104"/>
      <c r="AQE339" s="104"/>
      <c r="AQF339" s="104"/>
      <c r="AQG339" s="104"/>
      <c r="AQH339" s="104"/>
      <c r="AQI339" s="104"/>
      <c r="AQJ339" s="104"/>
      <c r="AQK339" s="104"/>
      <c r="AQL339" s="104"/>
      <c r="AQM339" s="104"/>
      <c r="AQN339" s="104"/>
      <c r="AQO339" s="104"/>
      <c r="AQP339" s="104"/>
      <c r="AQQ339" s="104"/>
      <c r="AQR339" s="104"/>
      <c r="AQS339" s="104"/>
      <c r="AQT339" s="104"/>
      <c r="AQU339" s="104"/>
      <c r="AQV339" s="104"/>
      <c r="AQW339" s="104"/>
      <c r="AQX339" s="104"/>
      <c r="AQY339" s="104"/>
      <c r="AQZ339" s="104"/>
      <c r="ARA339" s="104"/>
      <c r="ARB339" s="104"/>
      <c r="ARC339" s="104"/>
      <c r="ARD339" s="104"/>
      <c r="ARE339" s="104"/>
      <c r="ARF339" s="104"/>
      <c r="ARG339" s="104"/>
      <c r="ARH339" s="104"/>
      <c r="ARI339" s="104"/>
      <c r="ARJ339" s="104"/>
      <c r="ARK339" s="104"/>
      <c r="ARL339" s="104"/>
      <c r="ARM339" s="104"/>
      <c r="ARN339" s="104"/>
      <c r="ARO339" s="104"/>
      <c r="ARP339" s="104"/>
      <c r="ARQ339" s="104"/>
      <c r="ARR339" s="104"/>
      <c r="ARS339" s="104"/>
      <c r="ART339" s="104"/>
      <c r="ARU339" s="104"/>
      <c r="ARV339" s="104"/>
      <c r="ARW339" s="104"/>
      <c r="ARX339" s="104"/>
      <c r="ARY339" s="104"/>
      <c r="ARZ339" s="104"/>
      <c r="ASA339" s="104"/>
      <c r="ASB339" s="104"/>
      <c r="ASC339" s="104"/>
      <c r="ASD339" s="104"/>
      <c r="ASE339" s="104"/>
      <c r="ASF339" s="104"/>
      <c r="ASG339" s="104"/>
      <c r="ASH339" s="104"/>
      <c r="ASI339" s="104"/>
      <c r="ASJ339" s="104"/>
      <c r="ASK339" s="104"/>
      <c r="ASL339" s="104"/>
      <c r="ASM339" s="104"/>
      <c r="ASN339" s="104"/>
      <c r="ASO339" s="104"/>
      <c r="ASP339" s="104"/>
      <c r="ASQ339" s="104"/>
      <c r="ASR339" s="104"/>
      <c r="ASS339" s="104"/>
      <c r="AST339" s="104"/>
      <c r="ASU339" s="104"/>
      <c r="ASV339" s="104"/>
      <c r="ASW339" s="104"/>
      <c r="ASX339" s="104"/>
      <c r="ASY339" s="104"/>
      <c r="ASZ339" s="104"/>
      <c r="ATA339" s="104"/>
      <c r="ATB339" s="104"/>
      <c r="ATC339" s="104"/>
      <c r="ATD339" s="104"/>
      <c r="ATE339" s="104"/>
      <c r="ATF339" s="104"/>
      <c r="ATG339" s="104"/>
      <c r="ATH339" s="104"/>
      <c r="ATI339" s="104"/>
      <c r="ATJ339" s="104"/>
      <c r="ATK339" s="104"/>
      <c r="ATL339" s="104"/>
      <c r="ATM339" s="104"/>
      <c r="ATN339" s="104"/>
      <c r="ATO339" s="104"/>
      <c r="ATP339" s="104"/>
      <c r="ATQ339" s="104"/>
      <c r="ATR339" s="104"/>
      <c r="ATS339" s="104"/>
      <c r="ATT339" s="104"/>
      <c r="ATU339" s="104"/>
      <c r="ATV339" s="104"/>
      <c r="ATW339" s="104"/>
      <c r="ATX339" s="104"/>
      <c r="ATY339" s="104"/>
      <c r="ATZ339" s="104"/>
      <c r="AUA339" s="104"/>
      <c r="AUB339" s="104"/>
      <c r="AUC339" s="104"/>
      <c r="AUD339" s="104"/>
      <c r="AUE339" s="104"/>
      <c r="AUF339" s="104"/>
      <c r="AUG339" s="104"/>
      <c r="AUH339" s="104"/>
      <c r="AUI339" s="104"/>
      <c r="AUJ339" s="104"/>
      <c r="AUK339" s="104"/>
      <c r="AUL339" s="104"/>
      <c r="AUM339" s="104"/>
      <c r="AUN339" s="104"/>
      <c r="AUO339" s="104"/>
      <c r="AUP339" s="104"/>
      <c r="AUQ339" s="104"/>
      <c r="AUR339" s="104"/>
      <c r="AUS339" s="104"/>
      <c r="AUT339" s="104"/>
      <c r="AUU339" s="104"/>
      <c r="AUV339" s="104"/>
      <c r="AUW339" s="104"/>
      <c r="AUX339" s="104"/>
      <c r="AUY339" s="104"/>
      <c r="AUZ339" s="104"/>
      <c r="AVA339" s="104"/>
      <c r="AVB339" s="104"/>
      <c r="AVC339" s="104"/>
      <c r="AVD339" s="104"/>
      <c r="AVE339" s="104"/>
      <c r="AVF339" s="104"/>
      <c r="AVG339" s="104"/>
      <c r="AVH339" s="104"/>
      <c r="AVI339" s="104"/>
      <c r="AVJ339" s="104"/>
      <c r="AVK339" s="104"/>
      <c r="AVL339" s="104"/>
      <c r="AVM339" s="104"/>
      <c r="AVN339" s="104"/>
      <c r="AVO339" s="104"/>
      <c r="AVP339" s="104"/>
      <c r="AVQ339" s="104"/>
      <c r="AVR339" s="104"/>
      <c r="AVS339" s="104"/>
      <c r="AVT339" s="104"/>
      <c r="AVU339" s="104"/>
      <c r="AVV339" s="104"/>
      <c r="AVW339" s="104"/>
      <c r="AVX339" s="104"/>
      <c r="AVY339" s="104"/>
      <c r="AVZ339" s="104"/>
      <c r="AWA339" s="104"/>
      <c r="AWB339" s="104"/>
      <c r="AWC339" s="104"/>
      <c r="AWD339" s="104"/>
      <c r="AWE339" s="104"/>
      <c r="AWF339" s="104"/>
      <c r="AWG339" s="104"/>
      <c r="AWH339" s="104"/>
      <c r="AWI339" s="104"/>
      <c r="AWJ339" s="104"/>
      <c r="AWK339" s="104"/>
      <c r="AWL339" s="104"/>
      <c r="AWM339" s="104"/>
      <c r="AWN339" s="104"/>
      <c r="AWO339" s="104"/>
      <c r="AWP339" s="104"/>
      <c r="AWQ339" s="104"/>
      <c r="AWR339" s="104"/>
      <c r="AWS339" s="104"/>
      <c r="AWT339" s="104"/>
      <c r="AWU339" s="104"/>
      <c r="AWV339" s="104"/>
      <c r="AWW339" s="104"/>
      <c r="AWX339" s="104"/>
      <c r="AWY339" s="104"/>
      <c r="AWZ339" s="104"/>
      <c r="AXA339" s="104"/>
      <c r="AXB339" s="104"/>
      <c r="AXC339" s="104"/>
      <c r="AXD339" s="104"/>
      <c r="AXE339" s="104"/>
      <c r="AXF339" s="104"/>
      <c r="AXG339" s="104"/>
      <c r="AXH339" s="104"/>
      <c r="AXI339" s="104"/>
      <c r="AXJ339" s="104"/>
      <c r="AXK339" s="104"/>
      <c r="AXL339" s="104"/>
      <c r="AXM339" s="104"/>
      <c r="AXN339" s="104"/>
      <c r="AXO339" s="104"/>
      <c r="AXP339" s="104"/>
      <c r="AXQ339" s="104"/>
      <c r="AXR339" s="104"/>
      <c r="AXS339" s="104"/>
      <c r="AXT339" s="104"/>
      <c r="AXU339" s="104"/>
      <c r="AXV339" s="104"/>
      <c r="AXW339" s="104"/>
      <c r="AXX339" s="104"/>
      <c r="AXY339" s="104"/>
      <c r="AXZ339" s="104"/>
      <c r="AYA339" s="104"/>
      <c r="AYB339" s="104"/>
      <c r="AYC339" s="104"/>
      <c r="AYD339" s="104"/>
      <c r="AYE339" s="104"/>
      <c r="AYF339" s="104"/>
      <c r="AYG339" s="104"/>
      <c r="AYH339" s="104"/>
      <c r="AYI339" s="104"/>
      <c r="AYJ339" s="104"/>
      <c r="AYK339" s="104"/>
      <c r="AYL339" s="104"/>
      <c r="AYM339" s="104"/>
      <c r="AYN339" s="104"/>
      <c r="AYO339" s="104"/>
      <c r="AYP339" s="104"/>
      <c r="AYQ339" s="104"/>
      <c r="AYR339" s="104"/>
      <c r="AYS339" s="104"/>
      <c r="AYT339" s="104"/>
      <c r="AYU339" s="104"/>
      <c r="AYV339" s="104"/>
      <c r="AYW339" s="104"/>
      <c r="AYX339" s="104"/>
      <c r="AYY339" s="104"/>
      <c r="AYZ339" s="104"/>
      <c r="AZA339" s="104"/>
      <c r="AZB339" s="104"/>
      <c r="AZC339" s="104"/>
      <c r="AZD339" s="104"/>
      <c r="AZE339" s="104"/>
      <c r="AZF339" s="104"/>
      <c r="AZG339" s="104"/>
      <c r="AZH339" s="104"/>
      <c r="AZI339" s="104"/>
      <c r="AZJ339" s="104"/>
      <c r="AZK339" s="104"/>
      <c r="AZL339" s="104"/>
      <c r="AZM339" s="104"/>
      <c r="AZN339" s="104"/>
      <c r="AZO339" s="104"/>
      <c r="AZP339" s="104"/>
      <c r="AZQ339" s="104"/>
      <c r="AZR339" s="104"/>
      <c r="AZS339" s="104"/>
      <c r="AZT339" s="104"/>
      <c r="AZU339" s="104"/>
      <c r="AZV339" s="104"/>
      <c r="AZW339" s="104"/>
      <c r="AZX339" s="104"/>
      <c r="AZY339" s="104"/>
      <c r="AZZ339" s="104"/>
      <c r="BAA339" s="104"/>
      <c r="BAB339" s="104"/>
      <c r="BAC339" s="104"/>
      <c r="BAD339" s="104"/>
      <c r="BAE339" s="104"/>
      <c r="BAF339" s="104"/>
      <c r="BAG339" s="104"/>
      <c r="BAH339" s="104"/>
      <c r="BAI339" s="104"/>
      <c r="BAJ339" s="104"/>
      <c r="BAK339" s="104"/>
      <c r="BAL339" s="104"/>
      <c r="BAM339" s="104"/>
      <c r="BAN339" s="104"/>
      <c r="BAO339" s="104"/>
      <c r="BAP339" s="104"/>
      <c r="BAQ339" s="104"/>
      <c r="BAR339" s="104"/>
      <c r="BAS339" s="104"/>
      <c r="BAT339" s="104"/>
      <c r="BAU339" s="104"/>
      <c r="BAV339" s="104"/>
      <c r="BAW339" s="104"/>
      <c r="BAX339" s="104"/>
      <c r="BAY339" s="104"/>
      <c r="BAZ339" s="104"/>
      <c r="BBA339" s="104"/>
      <c r="BBB339" s="104"/>
      <c r="BBC339" s="104"/>
      <c r="BBD339" s="104"/>
      <c r="BBE339" s="104"/>
      <c r="BBF339" s="104"/>
      <c r="BBG339" s="104"/>
      <c r="BBH339" s="104"/>
      <c r="BBI339" s="104"/>
      <c r="BBJ339" s="104"/>
      <c r="BBK339" s="104"/>
      <c r="BBL339" s="104"/>
      <c r="BBM339" s="104"/>
      <c r="BBN339" s="104"/>
      <c r="BBO339" s="104"/>
      <c r="BBP339" s="104"/>
      <c r="BBQ339" s="104"/>
      <c r="BBR339" s="104"/>
      <c r="BBS339" s="104"/>
      <c r="BBT339" s="104"/>
      <c r="BBU339" s="104"/>
      <c r="BBV339" s="104"/>
      <c r="BBW339" s="104"/>
      <c r="BBX339" s="104"/>
      <c r="BBY339" s="104"/>
      <c r="BBZ339" s="104"/>
      <c r="BCA339" s="104"/>
      <c r="BCB339" s="104"/>
      <c r="BCC339" s="104"/>
      <c r="BCD339" s="104"/>
      <c r="BCE339" s="104"/>
      <c r="BCF339" s="104"/>
      <c r="BCG339" s="104"/>
      <c r="BCH339" s="104"/>
      <c r="BCI339" s="104"/>
      <c r="BCJ339" s="104"/>
      <c r="BCK339" s="104"/>
      <c r="BCL339" s="104"/>
      <c r="BCM339" s="104"/>
      <c r="BCN339" s="104"/>
      <c r="BCO339" s="104"/>
      <c r="BCP339" s="104"/>
      <c r="BCQ339" s="104"/>
      <c r="BCR339" s="104"/>
      <c r="BCS339" s="104"/>
      <c r="BCT339" s="104"/>
      <c r="BCU339" s="104"/>
      <c r="BCV339" s="104"/>
      <c r="BCW339" s="104"/>
      <c r="BCX339" s="104"/>
      <c r="BCY339" s="104"/>
      <c r="BCZ339" s="104"/>
      <c r="BDA339" s="104"/>
      <c r="BDB339" s="104"/>
      <c r="BDC339" s="104"/>
      <c r="BDD339" s="104"/>
      <c r="BDE339" s="104"/>
      <c r="BDF339" s="104"/>
      <c r="BDG339" s="104"/>
      <c r="BDH339" s="104"/>
      <c r="BDI339" s="104"/>
      <c r="BDJ339" s="104"/>
      <c r="BDK339" s="104"/>
      <c r="BDL339" s="104"/>
      <c r="BDM339" s="104"/>
      <c r="BDN339" s="104"/>
      <c r="BDO339" s="104"/>
      <c r="BDP339" s="104"/>
      <c r="BDQ339" s="104"/>
      <c r="BDR339" s="104"/>
      <c r="BDS339" s="104"/>
      <c r="BDT339" s="104"/>
      <c r="BDU339" s="104"/>
      <c r="BDV339" s="104"/>
      <c r="BDW339" s="104"/>
      <c r="BDX339" s="104"/>
      <c r="BDY339" s="104"/>
      <c r="BDZ339" s="104"/>
      <c r="BEA339" s="104"/>
      <c r="BEB339" s="104"/>
      <c r="BEC339" s="104"/>
      <c r="BED339" s="104"/>
      <c r="BEE339" s="104"/>
      <c r="BEF339" s="104"/>
      <c r="BEG339" s="104"/>
      <c r="BEH339" s="104"/>
      <c r="BEI339" s="104"/>
      <c r="BEJ339" s="104"/>
      <c r="BEK339" s="104"/>
      <c r="BEL339" s="104"/>
      <c r="BEM339" s="104"/>
      <c r="BEN339" s="104"/>
      <c r="BEO339" s="104"/>
      <c r="BEP339" s="104"/>
      <c r="BEQ339" s="104"/>
      <c r="BER339" s="104"/>
      <c r="BES339" s="104"/>
      <c r="BET339" s="104"/>
      <c r="BEU339" s="104"/>
      <c r="BEV339" s="104"/>
      <c r="BEW339" s="104"/>
      <c r="BEX339" s="104"/>
      <c r="BEY339" s="104"/>
      <c r="BEZ339" s="104"/>
      <c r="BFA339" s="104"/>
      <c r="BFB339" s="104"/>
      <c r="BFC339" s="104"/>
      <c r="BFD339" s="104"/>
      <c r="BFE339" s="104"/>
      <c r="BFF339" s="104"/>
      <c r="BFG339" s="104"/>
      <c r="BFH339" s="104"/>
      <c r="BFI339" s="104"/>
      <c r="BFJ339" s="104"/>
      <c r="BFK339" s="104"/>
      <c r="BFL339" s="104"/>
      <c r="BFM339" s="104"/>
      <c r="BFN339" s="104"/>
      <c r="BFO339" s="104"/>
      <c r="BFP339" s="104"/>
      <c r="BFQ339" s="104"/>
      <c r="BFR339" s="104"/>
      <c r="BFS339" s="104"/>
      <c r="BFT339" s="104"/>
      <c r="BFU339" s="104"/>
      <c r="BFV339" s="104"/>
      <c r="BFW339" s="104"/>
      <c r="BFX339" s="104"/>
      <c r="BFY339" s="104"/>
      <c r="BFZ339" s="104"/>
      <c r="BGA339" s="104"/>
      <c r="BGB339" s="104"/>
      <c r="BGC339" s="104"/>
      <c r="BGD339" s="104"/>
      <c r="BGE339" s="104"/>
      <c r="BGF339" s="104"/>
      <c r="BGG339" s="104"/>
      <c r="BGH339" s="104"/>
      <c r="BGI339" s="104"/>
      <c r="BGJ339" s="104"/>
      <c r="BGK339" s="104"/>
      <c r="BGL339" s="104"/>
      <c r="BGM339" s="104"/>
      <c r="BGN339" s="104"/>
      <c r="BGO339" s="104"/>
      <c r="BGP339" s="104"/>
      <c r="BGQ339" s="104"/>
      <c r="BGR339" s="104"/>
      <c r="BGS339" s="104"/>
      <c r="BGT339" s="104"/>
      <c r="BGU339" s="104"/>
      <c r="BGV339" s="104"/>
      <c r="BGW339" s="104"/>
      <c r="BGX339" s="104"/>
      <c r="BGY339" s="104"/>
      <c r="BGZ339" s="104"/>
      <c r="BHA339" s="104"/>
      <c r="BHB339" s="104"/>
      <c r="BHC339" s="104"/>
      <c r="BHD339" s="104"/>
      <c r="BHE339" s="104"/>
      <c r="BHF339" s="104"/>
      <c r="BHG339" s="104"/>
      <c r="BHH339" s="104"/>
      <c r="BHI339" s="104"/>
      <c r="BHJ339" s="104"/>
      <c r="BHK339" s="104"/>
      <c r="BHL339" s="104"/>
      <c r="BHM339" s="104"/>
      <c r="BHN339" s="104"/>
      <c r="BHO339" s="104"/>
      <c r="BHP339" s="104"/>
      <c r="BHQ339" s="104"/>
      <c r="BHR339" s="104"/>
      <c r="BHS339" s="104"/>
      <c r="BHT339" s="104"/>
      <c r="BHU339" s="104"/>
      <c r="BHV339" s="104"/>
      <c r="BHW339" s="104"/>
      <c r="BHX339" s="104"/>
      <c r="BHY339" s="104"/>
      <c r="BHZ339" s="104"/>
      <c r="BIA339" s="104"/>
      <c r="BIB339" s="104"/>
      <c r="BIC339" s="104"/>
      <c r="BID339" s="104"/>
      <c r="BIE339" s="104"/>
      <c r="BIF339" s="104"/>
      <c r="BIG339" s="104"/>
      <c r="BIH339" s="104"/>
      <c r="BII339" s="104"/>
      <c r="BIJ339" s="104"/>
      <c r="BIK339" s="104"/>
      <c r="BIL339" s="104"/>
      <c r="BIM339" s="104"/>
      <c r="BIN339" s="104"/>
      <c r="BIO339" s="104"/>
      <c r="BIP339" s="104"/>
      <c r="BIQ339" s="104"/>
      <c r="BIR339" s="104"/>
      <c r="BIS339" s="104"/>
      <c r="BIT339" s="104"/>
      <c r="BIU339" s="104"/>
      <c r="BIV339" s="104"/>
      <c r="BIW339" s="104"/>
      <c r="BIX339" s="104"/>
      <c r="BIY339" s="104"/>
      <c r="BIZ339" s="104"/>
      <c r="BJA339" s="104"/>
      <c r="BJB339" s="104"/>
      <c r="BJC339" s="104"/>
      <c r="BJD339" s="104"/>
      <c r="BJE339" s="104"/>
      <c r="BJF339" s="104"/>
      <c r="BJG339" s="104"/>
      <c r="BJH339" s="104"/>
      <c r="BJI339" s="104"/>
      <c r="BJJ339" s="104"/>
      <c r="BJK339" s="104"/>
      <c r="BJL339" s="104"/>
      <c r="BJM339" s="104"/>
      <c r="BJN339" s="104"/>
      <c r="BJO339" s="104"/>
      <c r="BJP339" s="104"/>
      <c r="BJQ339" s="104"/>
      <c r="BJR339" s="104"/>
      <c r="BJS339" s="104"/>
      <c r="BJT339" s="104"/>
      <c r="BJU339" s="104"/>
      <c r="BJV339" s="104"/>
      <c r="BJW339" s="104"/>
      <c r="BJX339" s="104"/>
      <c r="BJY339" s="104"/>
      <c r="BJZ339" s="104"/>
      <c r="BKA339" s="104"/>
      <c r="BKB339" s="104"/>
      <c r="BKC339" s="104"/>
      <c r="BKD339" s="104"/>
      <c r="BKE339" s="104"/>
      <c r="BKF339" s="104"/>
      <c r="BKG339" s="104"/>
      <c r="BKH339" s="104"/>
      <c r="BKI339" s="104"/>
      <c r="BKJ339" s="104"/>
      <c r="BKK339" s="104"/>
      <c r="BKL339" s="104"/>
      <c r="BKM339" s="104"/>
      <c r="BKN339" s="104"/>
      <c r="BKO339" s="104"/>
      <c r="BKP339" s="104"/>
      <c r="BKQ339" s="104"/>
      <c r="BKR339" s="104"/>
      <c r="BKS339" s="104"/>
      <c r="BKT339" s="104"/>
      <c r="BKU339" s="104"/>
      <c r="BKV339" s="104"/>
      <c r="BKW339" s="104"/>
      <c r="BKX339" s="104"/>
      <c r="BKY339" s="104"/>
      <c r="BKZ339" s="104"/>
      <c r="BLA339" s="104"/>
      <c r="BLB339" s="104"/>
      <c r="BLC339" s="104"/>
      <c r="BLD339" s="104"/>
      <c r="BLE339" s="104"/>
      <c r="BLF339" s="104"/>
      <c r="BLG339" s="104"/>
      <c r="BLH339" s="104"/>
      <c r="BLI339" s="104"/>
      <c r="BLJ339" s="104"/>
      <c r="BLK339" s="104"/>
      <c r="BLL339" s="104"/>
      <c r="BLM339" s="104"/>
      <c r="BLN339" s="104"/>
      <c r="BLO339" s="104"/>
      <c r="BLP339" s="104"/>
      <c r="BLQ339" s="104"/>
      <c r="BLR339" s="104"/>
      <c r="BLS339" s="104"/>
      <c r="BLT339" s="104"/>
      <c r="BLU339" s="104"/>
      <c r="BLV339" s="104"/>
      <c r="BLW339" s="104"/>
      <c r="BLX339" s="104"/>
      <c r="BLY339" s="104"/>
      <c r="BLZ339" s="104"/>
      <c r="BMA339" s="104"/>
      <c r="BMB339" s="104"/>
      <c r="BMC339" s="104"/>
      <c r="BMD339" s="104"/>
      <c r="BME339" s="104"/>
      <c r="BMF339" s="104"/>
      <c r="BMG339" s="104"/>
      <c r="BMH339" s="104"/>
      <c r="BMI339" s="104"/>
      <c r="BMJ339" s="104"/>
      <c r="BMK339" s="104"/>
      <c r="BML339" s="104"/>
      <c r="BMM339" s="104"/>
      <c r="BMN339" s="104"/>
      <c r="BMO339" s="104"/>
      <c r="BMP339" s="104"/>
      <c r="BMQ339" s="104"/>
      <c r="BMR339" s="104"/>
      <c r="BMS339" s="104"/>
      <c r="BMT339" s="104"/>
      <c r="BMU339" s="104"/>
      <c r="BMV339" s="104"/>
      <c r="BMW339" s="104"/>
      <c r="BMX339" s="104"/>
      <c r="BMY339" s="104"/>
      <c r="BMZ339" s="104"/>
      <c r="BNA339" s="104"/>
      <c r="BNB339" s="104"/>
      <c r="BNC339" s="104"/>
      <c r="BND339" s="104"/>
      <c r="BNE339" s="104"/>
      <c r="BNF339" s="104"/>
      <c r="BNG339" s="104"/>
      <c r="BNH339" s="104"/>
      <c r="BNI339" s="104"/>
      <c r="BNJ339" s="104"/>
      <c r="BNK339" s="104"/>
      <c r="BNL339" s="104"/>
      <c r="BNM339" s="104"/>
      <c r="BNN339" s="104"/>
      <c r="BNO339" s="104"/>
      <c r="BNP339" s="104"/>
      <c r="BNQ339" s="104"/>
      <c r="BNR339" s="104"/>
      <c r="BNS339" s="104"/>
      <c r="BNT339" s="104"/>
      <c r="BNU339" s="104"/>
      <c r="BNV339" s="104"/>
      <c r="BNW339" s="104"/>
      <c r="BNX339" s="104"/>
      <c r="BNY339" s="104"/>
      <c r="BNZ339" s="104"/>
      <c r="BOA339" s="104"/>
      <c r="BOB339" s="104"/>
      <c r="BOC339" s="104"/>
      <c r="BOD339" s="104"/>
      <c r="BOE339" s="104"/>
      <c r="BOF339" s="104"/>
      <c r="BOG339" s="104"/>
      <c r="BOH339" s="104"/>
      <c r="BOI339" s="104"/>
      <c r="BOJ339" s="104"/>
      <c r="BOK339" s="104"/>
      <c r="BOL339" s="104"/>
      <c r="BOM339" s="104"/>
      <c r="BON339" s="104"/>
      <c r="BOO339" s="104"/>
      <c r="BOP339" s="104"/>
      <c r="BOQ339" s="104"/>
      <c r="BOR339" s="104"/>
      <c r="BOS339" s="104"/>
      <c r="BOT339" s="104"/>
      <c r="BOU339" s="104"/>
      <c r="BOV339" s="104"/>
      <c r="BOW339" s="104"/>
      <c r="BOX339" s="104"/>
      <c r="BOY339" s="104"/>
      <c r="BOZ339" s="104"/>
      <c r="BPA339" s="104"/>
      <c r="BPB339" s="104"/>
      <c r="BPC339" s="104"/>
      <c r="BPD339" s="104"/>
      <c r="BPE339" s="104"/>
      <c r="BPF339" s="104"/>
      <c r="BPG339" s="104"/>
      <c r="BPH339" s="104"/>
      <c r="BPI339" s="104"/>
      <c r="BPJ339" s="104"/>
      <c r="BPK339" s="104"/>
      <c r="BPL339" s="104"/>
      <c r="BPM339" s="104"/>
      <c r="BPN339" s="104"/>
      <c r="BPO339" s="104"/>
      <c r="BPP339" s="104"/>
      <c r="BPQ339" s="104"/>
      <c r="BPR339" s="104"/>
      <c r="BPS339" s="104"/>
      <c r="BPT339" s="104"/>
      <c r="BPU339" s="104"/>
      <c r="BPV339" s="104"/>
      <c r="BPW339" s="104"/>
      <c r="BPX339" s="104"/>
      <c r="BPY339" s="104"/>
      <c r="BPZ339" s="104"/>
      <c r="BQA339" s="104"/>
      <c r="BQB339" s="104"/>
      <c r="BQC339" s="104"/>
      <c r="BQD339" s="104"/>
      <c r="BQE339" s="104"/>
      <c r="BQF339" s="104"/>
      <c r="BQG339" s="104"/>
      <c r="BQH339" s="104"/>
      <c r="BQI339" s="104"/>
      <c r="BQJ339" s="104"/>
      <c r="BQK339" s="104"/>
      <c r="BQL339" s="104"/>
      <c r="BQM339" s="104"/>
      <c r="BQN339" s="104"/>
      <c r="BQO339" s="104"/>
      <c r="BQP339" s="104"/>
      <c r="BQQ339" s="104"/>
      <c r="BQR339" s="104"/>
      <c r="BQS339" s="104"/>
      <c r="BQT339" s="104"/>
      <c r="BQU339" s="104"/>
      <c r="BQV339" s="104"/>
      <c r="BQW339" s="104"/>
      <c r="BQX339" s="104"/>
      <c r="BQY339" s="104"/>
      <c r="BQZ339" s="104"/>
      <c r="BRA339" s="104"/>
      <c r="BRB339" s="104"/>
      <c r="BRC339" s="104"/>
      <c r="BRD339" s="104"/>
      <c r="BRE339" s="104"/>
      <c r="BRF339" s="104"/>
      <c r="BRG339" s="104"/>
      <c r="BRH339" s="104"/>
      <c r="BRI339" s="104"/>
      <c r="BRJ339" s="104"/>
      <c r="BRK339" s="104"/>
      <c r="BRL339" s="104"/>
      <c r="BRM339" s="104"/>
      <c r="BRN339" s="104"/>
      <c r="BRO339" s="104"/>
      <c r="BRP339" s="104"/>
      <c r="BRQ339" s="104"/>
      <c r="BRR339" s="104"/>
      <c r="BRS339" s="104"/>
      <c r="BRT339" s="104"/>
      <c r="BRU339" s="104"/>
      <c r="BRV339" s="104"/>
      <c r="BRW339" s="104"/>
      <c r="BRX339" s="104"/>
      <c r="BRY339" s="104"/>
      <c r="BRZ339" s="104"/>
      <c r="BSA339" s="104"/>
      <c r="BSB339" s="104"/>
      <c r="BSC339" s="104"/>
      <c r="BSD339" s="104"/>
      <c r="BSE339" s="104"/>
      <c r="BSF339" s="104"/>
      <c r="BSG339" s="104"/>
      <c r="BSH339" s="104"/>
      <c r="BSI339" s="104"/>
      <c r="BSJ339" s="104"/>
      <c r="BSK339" s="104"/>
      <c r="BSL339" s="104"/>
      <c r="BSM339" s="104"/>
      <c r="BSN339" s="104"/>
      <c r="BSO339" s="104"/>
      <c r="BSP339" s="104"/>
      <c r="BSQ339" s="104"/>
      <c r="BSR339" s="104"/>
      <c r="BSS339" s="104"/>
      <c r="BST339" s="104"/>
      <c r="BSU339" s="104"/>
      <c r="BSV339" s="104"/>
      <c r="BSW339" s="104"/>
      <c r="BSX339" s="104"/>
      <c r="BSY339" s="104"/>
      <c r="BSZ339" s="104"/>
      <c r="BTA339" s="104"/>
      <c r="BTB339" s="104"/>
      <c r="BTC339" s="104"/>
      <c r="BTD339" s="104"/>
      <c r="BTE339" s="104"/>
      <c r="BTF339" s="104"/>
      <c r="BTG339" s="104"/>
      <c r="BTH339" s="104"/>
      <c r="BTI339" s="104"/>
      <c r="BTJ339" s="104"/>
      <c r="BTK339" s="104"/>
      <c r="BTL339" s="104"/>
      <c r="BTM339" s="104"/>
      <c r="BTN339" s="104"/>
      <c r="BTO339" s="104"/>
      <c r="BTP339" s="104"/>
      <c r="BTQ339" s="104"/>
      <c r="BTR339" s="104"/>
      <c r="BTS339" s="104"/>
      <c r="BTT339" s="104"/>
      <c r="BTU339" s="104"/>
      <c r="BTV339" s="104"/>
      <c r="BTW339" s="104"/>
      <c r="BTX339" s="104"/>
      <c r="BTY339" s="104"/>
      <c r="BTZ339" s="104"/>
      <c r="BUA339" s="104"/>
      <c r="BUB339" s="104"/>
      <c r="BUC339" s="104"/>
      <c r="BUD339" s="104"/>
      <c r="BUE339" s="104"/>
      <c r="BUF339" s="104"/>
      <c r="BUG339" s="104"/>
      <c r="BUH339" s="104"/>
      <c r="BUI339" s="104"/>
      <c r="BUJ339" s="104"/>
      <c r="BUK339" s="104"/>
      <c r="BUL339" s="104"/>
      <c r="BUM339" s="104"/>
      <c r="BUN339" s="104"/>
      <c r="BUO339" s="104"/>
      <c r="BUP339" s="104"/>
      <c r="BUQ339" s="104"/>
      <c r="BUR339" s="104"/>
      <c r="BUS339" s="104"/>
      <c r="BUT339" s="104"/>
      <c r="BUU339" s="104"/>
      <c r="BUV339" s="104"/>
      <c r="BUW339" s="104"/>
      <c r="BUX339" s="104"/>
      <c r="BUY339" s="104"/>
      <c r="BUZ339" s="104"/>
      <c r="BVA339" s="104"/>
      <c r="BVB339" s="104"/>
      <c r="BVC339" s="104"/>
      <c r="BVD339" s="104"/>
      <c r="BVE339" s="104"/>
      <c r="BVF339" s="104"/>
      <c r="BVG339" s="104"/>
      <c r="BVH339" s="104"/>
      <c r="BVI339" s="104"/>
      <c r="BVJ339" s="104"/>
      <c r="BVK339" s="104"/>
      <c r="BVL339" s="104"/>
      <c r="BVM339" s="104"/>
      <c r="BVN339" s="104"/>
      <c r="BVO339" s="104"/>
      <c r="BVP339" s="104"/>
      <c r="BVQ339" s="104"/>
      <c r="BVR339" s="104"/>
      <c r="BVS339" s="104"/>
      <c r="BVT339" s="104"/>
      <c r="BVU339" s="104"/>
      <c r="BVV339" s="104"/>
      <c r="BVW339" s="104"/>
      <c r="BVX339" s="104"/>
      <c r="BVY339" s="104"/>
      <c r="BVZ339" s="104"/>
      <c r="BWA339" s="104"/>
      <c r="BWB339" s="104"/>
      <c r="BWC339" s="104"/>
      <c r="BWD339" s="104"/>
      <c r="BWE339" s="104"/>
      <c r="BWF339" s="104"/>
      <c r="BWG339" s="104"/>
      <c r="BWH339" s="104"/>
      <c r="BWI339" s="104"/>
      <c r="BWJ339" s="104"/>
      <c r="BWK339" s="104"/>
      <c r="BWL339" s="104"/>
      <c r="BWM339" s="104"/>
      <c r="BWN339" s="104"/>
      <c r="BWO339" s="104"/>
      <c r="BWP339" s="104"/>
      <c r="BWQ339" s="104"/>
      <c r="BWR339" s="104"/>
      <c r="BWS339" s="104"/>
      <c r="BWT339" s="104"/>
      <c r="BWU339" s="104"/>
      <c r="BWV339" s="104"/>
      <c r="BWW339" s="104"/>
      <c r="BWX339" s="104"/>
      <c r="BWY339" s="104"/>
      <c r="BWZ339" s="104"/>
      <c r="BXA339" s="104"/>
      <c r="BXB339" s="104"/>
      <c r="BXC339" s="104"/>
      <c r="BXD339" s="104"/>
      <c r="BXE339" s="104"/>
      <c r="BXF339" s="104"/>
      <c r="BXG339" s="104"/>
      <c r="BXH339" s="104"/>
      <c r="BXI339" s="104"/>
      <c r="BXJ339" s="104"/>
      <c r="BXK339" s="104"/>
      <c r="BXL339" s="104"/>
      <c r="BXM339" s="104"/>
      <c r="BXN339" s="104"/>
      <c r="BXO339" s="104"/>
      <c r="BXP339" s="104"/>
      <c r="BXQ339" s="104"/>
      <c r="BXR339" s="104"/>
      <c r="BXS339" s="104"/>
      <c r="BXT339" s="104"/>
      <c r="BXU339" s="104"/>
      <c r="BXV339" s="104"/>
      <c r="BXW339" s="104"/>
      <c r="BXX339" s="104"/>
      <c r="BXY339" s="104"/>
      <c r="BXZ339" s="104"/>
      <c r="BYA339" s="104"/>
      <c r="BYB339" s="104"/>
      <c r="BYC339" s="104"/>
      <c r="BYD339" s="104"/>
      <c r="BYE339" s="104"/>
      <c r="BYF339" s="104"/>
      <c r="BYG339" s="104"/>
      <c r="BYH339" s="104"/>
      <c r="BYI339" s="104"/>
      <c r="BYJ339" s="104"/>
      <c r="BYK339" s="104"/>
      <c r="BYL339" s="104"/>
      <c r="BYM339" s="104"/>
      <c r="BYN339" s="104"/>
      <c r="BYO339" s="104"/>
      <c r="BYP339" s="104"/>
      <c r="BYQ339" s="104"/>
      <c r="BYR339" s="104"/>
      <c r="BYS339" s="104"/>
      <c r="BYT339" s="104"/>
      <c r="BYU339" s="104"/>
      <c r="BYV339" s="104"/>
      <c r="BYW339" s="104"/>
      <c r="BYX339" s="104"/>
      <c r="BYY339" s="104"/>
      <c r="BYZ339" s="104"/>
      <c r="BZA339" s="104"/>
      <c r="BZB339" s="104"/>
      <c r="BZC339" s="104"/>
      <c r="BZD339" s="104"/>
      <c r="BZE339" s="104"/>
      <c r="BZF339" s="104"/>
      <c r="BZG339" s="104"/>
      <c r="BZH339" s="104"/>
      <c r="BZI339" s="104"/>
      <c r="BZJ339" s="104"/>
      <c r="BZK339" s="104"/>
      <c r="BZL339" s="104"/>
      <c r="BZM339" s="104"/>
      <c r="BZN339" s="104"/>
      <c r="BZO339" s="104"/>
      <c r="BZP339" s="104"/>
      <c r="BZQ339" s="104"/>
      <c r="BZR339" s="104"/>
      <c r="BZS339" s="104"/>
      <c r="BZT339" s="104"/>
      <c r="BZU339" s="104"/>
      <c r="BZV339" s="104"/>
      <c r="BZW339" s="104"/>
      <c r="BZX339" s="104"/>
      <c r="BZY339" s="104"/>
      <c r="BZZ339" s="104"/>
      <c r="CAA339" s="104"/>
      <c r="CAB339" s="104"/>
      <c r="CAC339" s="104"/>
      <c r="CAD339" s="104"/>
      <c r="CAE339" s="104"/>
      <c r="CAF339" s="104"/>
      <c r="CAG339" s="104"/>
      <c r="CAH339" s="104"/>
      <c r="CAI339" s="104"/>
      <c r="CAJ339" s="104"/>
      <c r="CAK339" s="104"/>
      <c r="CAL339" s="104"/>
      <c r="CAM339" s="104"/>
      <c r="CAN339" s="104"/>
      <c r="CAO339" s="104"/>
      <c r="CAP339" s="104"/>
      <c r="CAQ339" s="104"/>
      <c r="CAR339" s="104"/>
      <c r="CAS339" s="104"/>
      <c r="CAT339" s="104"/>
      <c r="CAU339" s="104"/>
      <c r="CAV339" s="104"/>
      <c r="CAW339" s="104"/>
      <c r="CAX339" s="104"/>
      <c r="CAY339" s="104"/>
      <c r="CAZ339" s="104"/>
      <c r="CBA339" s="104"/>
      <c r="CBB339" s="104"/>
      <c r="CBC339" s="104"/>
      <c r="CBD339" s="104"/>
      <c r="CBE339" s="104"/>
      <c r="CBF339" s="104"/>
      <c r="CBG339" s="104"/>
      <c r="CBH339" s="104"/>
      <c r="CBI339" s="104"/>
      <c r="CBJ339" s="104"/>
      <c r="CBK339" s="104"/>
      <c r="CBL339" s="104"/>
      <c r="CBM339" s="104"/>
      <c r="CBN339" s="104"/>
      <c r="CBO339" s="104"/>
      <c r="CBP339" s="104"/>
      <c r="CBQ339" s="104"/>
      <c r="CBR339" s="104"/>
      <c r="CBS339" s="104"/>
      <c r="CBT339" s="104"/>
      <c r="CBU339" s="104"/>
      <c r="CBV339" s="104"/>
      <c r="CBW339" s="104"/>
      <c r="CBX339" s="104"/>
      <c r="CBY339" s="104"/>
      <c r="CBZ339" s="104"/>
      <c r="CCA339" s="104"/>
      <c r="CCB339" s="104"/>
      <c r="CCC339" s="104"/>
      <c r="CCD339" s="104"/>
      <c r="CCE339" s="104"/>
      <c r="CCF339" s="104"/>
      <c r="CCG339" s="104"/>
      <c r="CCH339" s="104"/>
      <c r="CCI339" s="104"/>
      <c r="CCJ339" s="104"/>
      <c r="CCK339" s="104"/>
      <c r="CCL339" s="104"/>
      <c r="CCM339" s="104"/>
      <c r="CCN339" s="104"/>
      <c r="CCO339" s="104"/>
      <c r="CCP339" s="104"/>
      <c r="CCQ339" s="104"/>
      <c r="CCR339" s="104"/>
      <c r="CCS339" s="104"/>
      <c r="CCT339" s="104"/>
      <c r="CCU339" s="104"/>
      <c r="CCV339" s="104"/>
      <c r="CCW339" s="104"/>
      <c r="CCX339" s="104"/>
      <c r="CCY339" s="104"/>
      <c r="CCZ339" s="104"/>
      <c r="CDA339" s="104"/>
      <c r="CDB339" s="104"/>
      <c r="CDC339" s="104"/>
      <c r="CDD339" s="104"/>
      <c r="CDE339" s="104"/>
      <c r="CDF339" s="104"/>
      <c r="CDG339" s="104"/>
      <c r="CDH339" s="104"/>
      <c r="CDI339" s="104"/>
      <c r="CDJ339" s="104"/>
      <c r="CDK339" s="104"/>
      <c r="CDL339" s="104"/>
      <c r="CDM339" s="104"/>
      <c r="CDN339" s="104"/>
      <c r="CDO339" s="104"/>
      <c r="CDP339" s="104"/>
      <c r="CDQ339" s="104"/>
      <c r="CDR339" s="104"/>
      <c r="CDS339" s="104"/>
      <c r="CDT339" s="104"/>
      <c r="CDU339" s="104"/>
      <c r="CDV339" s="104"/>
      <c r="CDW339" s="104"/>
      <c r="CDX339" s="104"/>
      <c r="CDY339" s="104"/>
      <c r="CDZ339" s="104"/>
      <c r="CEA339" s="104"/>
      <c r="CEB339" s="104"/>
      <c r="CEC339" s="104"/>
      <c r="CED339" s="104"/>
      <c r="CEE339" s="104"/>
      <c r="CEF339" s="104"/>
      <c r="CEG339" s="104"/>
      <c r="CEH339" s="104"/>
      <c r="CEI339" s="104"/>
      <c r="CEJ339" s="104"/>
      <c r="CEK339" s="104"/>
      <c r="CEL339" s="104"/>
      <c r="CEM339" s="104"/>
      <c r="CEN339" s="104"/>
      <c r="CEO339" s="104"/>
      <c r="CEP339" s="104"/>
      <c r="CEQ339" s="104"/>
      <c r="CER339" s="104"/>
      <c r="CES339" s="104"/>
      <c r="CET339" s="104"/>
      <c r="CEU339" s="104"/>
      <c r="CEV339" s="104"/>
      <c r="CEW339" s="104"/>
      <c r="CEX339" s="104"/>
      <c r="CEY339" s="104"/>
      <c r="CEZ339" s="104"/>
      <c r="CFA339" s="104"/>
      <c r="CFB339" s="104"/>
      <c r="CFC339" s="104"/>
      <c r="CFD339" s="104"/>
      <c r="CFE339" s="104"/>
      <c r="CFF339" s="104"/>
      <c r="CFG339" s="104"/>
      <c r="CFH339" s="104"/>
      <c r="CFI339" s="104"/>
      <c r="CFJ339" s="104"/>
      <c r="CFK339" s="104"/>
      <c r="CFL339" s="104"/>
      <c r="CFM339" s="104"/>
      <c r="CFN339" s="104"/>
      <c r="CFO339" s="104"/>
      <c r="CFP339" s="104"/>
      <c r="CFQ339" s="104"/>
      <c r="CFR339" s="104"/>
      <c r="CFS339" s="104"/>
      <c r="CFT339" s="104"/>
      <c r="CFU339" s="104"/>
      <c r="CFV339" s="104"/>
      <c r="CFW339" s="104"/>
      <c r="CFX339" s="104"/>
      <c r="CFY339" s="104"/>
      <c r="CFZ339" s="104"/>
      <c r="CGA339" s="104"/>
      <c r="CGB339" s="104"/>
      <c r="CGC339" s="104"/>
      <c r="CGD339" s="104"/>
      <c r="CGE339" s="104"/>
      <c r="CGF339" s="104"/>
      <c r="CGG339" s="104"/>
      <c r="CGH339" s="104"/>
      <c r="CGI339" s="104"/>
      <c r="CGJ339" s="104"/>
      <c r="CGK339" s="104"/>
      <c r="CGL339" s="104"/>
      <c r="CGM339" s="104"/>
      <c r="CGN339" s="104"/>
      <c r="CGO339" s="104"/>
      <c r="CGP339" s="104"/>
      <c r="CGQ339" s="104"/>
      <c r="CGR339" s="104"/>
      <c r="CGS339" s="104"/>
      <c r="CGT339" s="104"/>
      <c r="CGU339" s="104"/>
      <c r="CGV339" s="104"/>
      <c r="CGW339" s="104"/>
      <c r="CGX339" s="104"/>
      <c r="CGY339" s="104"/>
      <c r="CGZ339" s="104"/>
      <c r="CHA339" s="104"/>
      <c r="CHB339" s="104"/>
      <c r="CHC339" s="104"/>
      <c r="CHD339" s="104"/>
      <c r="CHE339" s="104"/>
      <c r="CHF339" s="104"/>
      <c r="CHG339" s="104"/>
      <c r="CHH339" s="104"/>
      <c r="CHI339" s="104"/>
      <c r="CHJ339" s="104"/>
      <c r="CHK339" s="104"/>
      <c r="CHL339" s="104"/>
      <c r="CHM339" s="104"/>
      <c r="CHN339" s="104"/>
      <c r="CHO339" s="104"/>
      <c r="CHP339" s="104"/>
      <c r="CHQ339" s="104"/>
      <c r="CHR339" s="104"/>
      <c r="CHS339" s="104"/>
      <c r="CHT339" s="104"/>
      <c r="CHU339" s="104"/>
      <c r="CHV339" s="104"/>
      <c r="CHW339" s="104"/>
      <c r="CHX339" s="104"/>
      <c r="CHY339" s="104"/>
      <c r="CHZ339" s="104"/>
      <c r="CIA339" s="104"/>
      <c r="CIB339" s="104"/>
      <c r="CIC339" s="104"/>
      <c r="CID339" s="104"/>
      <c r="CIE339" s="104"/>
      <c r="CIF339" s="104"/>
      <c r="CIG339" s="104"/>
      <c r="CIH339" s="104"/>
      <c r="CII339" s="104"/>
      <c r="CIJ339" s="104"/>
      <c r="CIK339" s="104"/>
      <c r="CIL339" s="104"/>
      <c r="CIM339" s="104"/>
      <c r="CIN339" s="104"/>
      <c r="CIO339" s="104"/>
      <c r="CIP339" s="104"/>
      <c r="CIQ339" s="104"/>
      <c r="CIR339" s="104"/>
      <c r="CIS339" s="104"/>
      <c r="CIT339" s="104"/>
      <c r="CIU339" s="104"/>
      <c r="CIV339" s="104"/>
      <c r="CIW339" s="104"/>
      <c r="CIX339" s="104"/>
      <c r="CIY339" s="104"/>
      <c r="CIZ339" s="104"/>
      <c r="CJA339" s="104"/>
      <c r="CJB339" s="104"/>
      <c r="CJC339" s="104"/>
      <c r="CJD339" s="104"/>
      <c r="CJE339" s="104"/>
      <c r="CJF339" s="104"/>
      <c r="CJG339" s="104"/>
      <c r="CJH339" s="104"/>
      <c r="CJI339" s="104"/>
      <c r="CJJ339" s="104"/>
      <c r="CJK339" s="104"/>
      <c r="CJL339" s="104"/>
      <c r="CJM339" s="104"/>
      <c r="CJN339" s="104"/>
      <c r="CJO339" s="104"/>
      <c r="CJP339" s="104"/>
      <c r="CJQ339" s="104"/>
      <c r="CJR339" s="104"/>
      <c r="CJS339" s="104"/>
      <c r="CJT339" s="104"/>
      <c r="CJU339" s="104"/>
      <c r="CJV339" s="104"/>
      <c r="CJW339" s="104"/>
      <c r="CJX339" s="104"/>
      <c r="CJY339" s="104"/>
      <c r="CJZ339" s="104"/>
      <c r="CKA339" s="104"/>
      <c r="CKB339" s="104"/>
      <c r="CKC339" s="104"/>
      <c r="CKD339" s="104"/>
      <c r="CKE339" s="104"/>
      <c r="CKF339" s="104"/>
      <c r="CKG339" s="104"/>
      <c r="CKH339" s="104"/>
      <c r="CKI339" s="104"/>
      <c r="CKJ339" s="104"/>
      <c r="CKK339" s="104"/>
      <c r="CKL339" s="104"/>
      <c r="CKM339" s="104"/>
      <c r="CKN339" s="104"/>
      <c r="CKO339" s="104"/>
      <c r="CKP339" s="104"/>
      <c r="CKQ339" s="104"/>
      <c r="CKR339" s="104"/>
      <c r="CKS339" s="104"/>
      <c r="CKT339" s="104"/>
      <c r="CKU339" s="104"/>
      <c r="CKV339" s="104"/>
      <c r="CKW339" s="104"/>
      <c r="CKX339" s="104"/>
      <c r="CKY339" s="104"/>
      <c r="CKZ339" s="104"/>
      <c r="CLA339" s="104"/>
      <c r="CLB339" s="104"/>
      <c r="CLC339" s="104"/>
      <c r="CLD339" s="104"/>
      <c r="CLE339" s="104"/>
      <c r="CLF339" s="104"/>
      <c r="CLG339" s="104"/>
      <c r="CLH339" s="104"/>
      <c r="CLI339" s="104"/>
      <c r="CLJ339" s="104"/>
      <c r="CLK339" s="104"/>
      <c r="CLL339" s="104"/>
      <c r="CLM339" s="104"/>
      <c r="CLN339" s="104"/>
      <c r="CLO339" s="104"/>
      <c r="CLP339" s="104"/>
      <c r="CLQ339" s="104"/>
      <c r="CLR339" s="104"/>
      <c r="CLS339" s="104"/>
      <c r="CLT339" s="104"/>
      <c r="CLU339" s="104"/>
      <c r="CLV339" s="104"/>
      <c r="CLW339" s="104"/>
      <c r="CLX339" s="104"/>
      <c r="CLY339" s="104"/>
      <c r="CLZ339" s="104"/>
      <c r="CMA339" s="104"/>
      <c r="CMB339" s="104"/>
      <c r="CMC339" s="104"/>
      <c r="CMD339" s="104"/>
      <c r="CME339" s="104"/>
      <c r="CMF339" s="104"/>
      <c r="CMG339" s="104"/>
      <c r="CMH339" s="104"/>
      <c r="CMI339" s="104"/>
      <c r="CMJ339" s="104"/>
      <c r="CMK339" s="104"/>
      <c r="CML339" s="104"/>
      <c r="CMM339" s="104"/>
      <c r="CMN339" s="104"/>
      <c r="CMO339" s="104"/>
      <c r="CMP339" s="104"/>
      <c r="CMQ339" s="104"/>
      <c r="CMR339" s="104"/>
      <c r="CMS339" s="104"/>
      <c r="CMT339" s="104"/>
      <c r="CMU339" s="104"/>
      <c r="CMV339" s="104"/>
      <c r="CMW339" s="104"/>
      <c r="CMX339" s="104"/>
      <c r="CMY339" s="104"/>
      <c r="CMZ339" s="104"/>
      <c r="CNA339" s="104"/>
      <c r="CNB339" s="104"/>
      <c r="CNC339" s="104"/>
      <c r="CND339" s="104"/>
      <c r="CNE339" s="104"/>
      <c r="CNF339" s="104"/>
      <c r="CNG339" s="104"/>
      <c r="CNH339" s="104"/>
      <c r="CNI339" s="104"/>
      <c r="CNJ339" s="104"/>
      <c r="CNK339" s="104"/>
      <c r="CNL339" s="104"/>
      <c r="CNM339" s="104"/>
      <c r="CNN339" s="104"/>
      <c r="CNO339" s="104"/>
      <c r="CNP339" s="104"/>
      <c r="CNQ339" s="104"/>
      <c r="CNR339" s="104"/>
      <c r="CNS339" s="104"/>
      <c r="CNT339" s="104"/>
      <c r="CNU339" s="104"/>
      <c r="CNV339" s="104"/>
      <c r="CNW339" s="104"/>
      <c r="CNX339" s="104"/>
      <c r="CNY339" s="104"/>
      <c r="CNZ339" s="104"/>
      <c r="COA339" s="104"/>
      <c r="COB339" s="104"/>
      <c r="COC339" s="104"/>
      <c r="COD339" s="104"/>
      <c r="COE339" s="104"/>
      <c r="COF339" s="104"/>
      <c r="COG339" s="104"/>
      <c r="COH339" s="104"/>
      <c r="COI339" s="104"/>
      <c r="COJ339" s="104"/>
      <c r="COK339" s="104"/>
      <c r="COL339" s="104"/>
      <c r="COM339" s="104"/>
      <c r="CON339" s="104"/>
      <c r="COO339" s="104"/>
      <c r="COP339" s="104"/>
      <c r="COQ339" s="104"/>
      <c r="COR339" s="104"/>
      <c r="COS339" s="104"/>
      <c r="COT339" s="104"/>
      <c r="COU339" s="104"/>
      <c r="COV339" s="104"/>
      <c r="COW339" s="104"/>
      <c r="COX339" s="104"/>
      <c r="COY339" s="104"/>
      <c r="COZ339" s="104"/>
      <c r="CPA339" s="104"/>
      <c r="CPB339" s="104"/>
      <c r="CPC339" s="104"/>
      <c r="CPD339" s="104"/>
      <c r="CPE339" s="104"/>
      <c r="CPF339" s="104"/>
      <c r="CPG339" s="104"/>
      <c r="CPH339" s="104"/>
      <c r="CPI339" s="104"/>
      <c r="CPJ339" s="104"/>
      <c r="CPK339" s="104"/>
      <c r="CPL339" s="104"/>
      <c r="CPM339" s="104"/>
      <c r="CPN339" s="104"/>
      <c r="CPO339" s="104"/>
      <c r="CPP339" s="104"/>
      <c r="CPQ339" s="104"/>
      <c r="CPR339" s="104"/>
      <c r="CPS339" s="104"/>
      <c r="CPT339" s="104"/>
      <c r="CPU339" s="104"/>
      <c r="CPV339" s="104"/>
      <c r="CPW339" s="104"/>
      <c r="CPX339" s="104"/>
      <c r="CPY339" s="104"/>
      <c r="CPZ339" s="104"/>
      <c r="CQA339" s="104"/>
      <c r="CQB339" s="104"/>
      <c r="CQC339" s="104"/>
      <c r="CQD339" s="104"/>
      <c r="CQE339" s="104"/>
      <c r="CQF339" s="104"/>
      <c r="CQG339" s="104"/>
      <c r="CQH339" s="104"/>
      <c r="CQI339" s="104"/>
      <c r="CQJ339" s="104"/>
      <c r="CQK339" s="104"/>
      <c r="CQL339" s="104"/>
      <c r="CQM339" s="104"/>
      <c r="CQN339" s="104"/>
      <c r="CQO339" s="104"/>
      <c r="CQP339" s="104"/>
      <c r="CQQ339" s="104"/>
      <c r="CQR339" s="104"/>
      <c r="CQS339" s="104"/>
      <c r="CQT339" s="104"/>
      <c r="CQU339" s="104"/>
      <c r="CQV339" s="104"/>
      <c r="CQW339" s="104"/>
      <c r="CQX339" s="104"/>
      <c r="CQY339" s="104"/>
      <c r="CQZ339" s="104"/>
      <c r="CRA339" s="104"/>
      <c r="CRB339" s="104"/>
      <c r="CRC339" s="104"/>
      <c r="CRD339" s="104"/>
      <c r="CRE339" s="104"/>
      <c r="CRF339" s="104"/>
      <c r="CRG339" s="104"/>
      <c r="CRH339" s="104"/>
      <c r="CRI339" s="104"/>
      <c r="CRJ339" s="104"/>
      <c r="CRK339" s="104"/>
      <c r="CRL339" s="104"/>
      <c r="CRM339" s="104"/>
      <c r="CRN339" s="104"/>
      <c r="CRO339" s="104"/>
      <c r="CRP339" s="104"/>
      <c r="CRQ339" s="104"/>
      <c r="CRR339" s="104"/>
      <c r="CRS339" s="104"/>
      <c r="CRT339" s="104"/>
      <c r="CRU339" s="104"/>
      <c r="CRV339" s="104"/>
      <c r="CRW339" s="104"/>
      <c r="CRX339" s="104"/>
      <c r="CRY339" s="104"/>
      <c r="CRZ339" s="104"/>
      <c r="CSA339" s="104"/>
      <c r="CSB339" s="104"/>
      <c r="CSC339" s="104"/>
      <c r="CSD339" s="104"/>
      <c r="CSE339" s="104"/>
      <c r="CSF339" s="104"/>
      <c r="CSG339" s="104"/>
      <c r="CSH339" s="104"/>
      <c r="CSI339" s="104"/>
      <c r="CSJ339" s="104"/>
      <c r="CSK339" s="104"/>
      <c r="CSL339" s="104"/>
      <c r="CSM339" s="104"/>
      <c r="CSN339" s="104"/>
      <c r="CSO339" s="104"/>
      <c r="CSP339" s="104"/>
      <c r="CSQ339" s="104"/>
      <c r="CSR339" s="104"/>
      <c r="CSS339" s="104"/>
      <c r="CST339" s="104"/>
      <c r="CSU339" s="104"/>
      <c r="CSV339" s="104"/>
      <c r="CSW339" s="104"/>
      <c r="CSX339" s="104"/>
      <c r="CSY339" s="104"/>
      <c r="CSZ339" s="104"/>
      <c r="CTA339" s="104"/>
      <c r="CTB339" s="104"/>
      <c r="CTC339" s="104"/>
      <c r="CTD339" s="104"/>
      <c r="CTE339" s="104"/>
      <c r="CTF339" s="104"/>
      <c r="CTG339" s="104"/>
      <c r="CTH339" s="104"/>
      <c r="CTI339" s="104"/>
      <c r="CTJ339" s="104"/>
      <c r="CTK339" s="104"/>
      <c r="CTL339" s="104"/>
      <c r="CTM339" s="104"/>
      <c r="CTN339" s="104"/>
      <c r="CTO339" s="104"/>
      <c r="CTP339" s="104"/>
      <c r="CTQ339" s="104"/>
      <c r="CTR339" s="104"/>
      <c r="CTS339" s="104"/>
      <c r="CTT339" s="104"/>
      <c r="CTU339" s="104"/>
      <c r="CTV339" s="104"/>
      <c r="CTW339" s="104"/>
      <c r="CTX339" s="104"/>
      <c r="CTY339" s="104"/>
      <c r="CTZ339" s="104"/>
      <c r="CUA339" s="104"/>
    </row>
    <row r="340" s="78" customFormat="1" spans="1:2575">
      <c r="A340" s="117"/>
      <c r="B340" s="116"/>
      <c r="C340" s="116"/>
      <c r="D340" s="116"/>
      <c r="E340" s="116"/>
      <c r="F340" s="116"/>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c r="BE340" s="104"/>
      <c r="BF340" s="104"/>
      <c r="BG340" s="104"/>
      <c r="BH340" s="104"/>
      <c r="BI340" s="104"/>
      <c r="BJ340" s="104"/>
      <c r="BK340" s="104"/>
      <c r="BL340" s="104"/>
      <c r="BM340" s="104"/>
      <c r="BN340" s="104"/>
      <c r="BO340" s="104"/>
      <c r="BP340" s="104"/>
      <c r="BQ340" s="104"/>
      <c r="BR340" s="104"/>
      <c r="BS340" s="104"/>
      <c r="BT340" s="104"/>
      <c r="BU340" s="104"/>
      <c r="BV340" s="104"/>
      <c r="BW340" s="104"/>
      <c r="BX340" s="104"/>
      <c r="BY340" s="104"/>
      <c r="BZ340" s="104"/>
      <c r="CA340" s="104"/>
      <c r="CB340" s="104"/>
      <c r="CC340" s="104"/>
      <c r="CD340" s="104"/>
      <c r="CE340" s="104"/>
      <c r="CF340" s="104"/>
      <c r="CG340" s="104"/>
      <c r="CH340" s="104"/>
      <c r="CI340" s="104"/>
      <c r="CJ340" s="104"/>
      <c r="CK340" s="104"/>
      <c r="CL340" s="104"/>
      <c r="CM340" s="104"/>
      <c r="CN340" s="104"/>
      <c r="CO340" s="104"/>
      <c r="CP340" s="104"/>
      <c r="CQ340" s="104"/>
      <c r="CR340" s="104"/>
      <c r="CS340" s="104"/>
      <c r="CT340" s="104"/>
      <c r="CU340" s="104"/>
      <c r="CV340" s="104"/>
      <c r="CW340" s="104"/>
      <c r="CX340" s="104"/>
      <c r="CY340" s="104"/>
      <c r="CZ340" s="104"/>
      <c r="DA340" s="104"/>
      <c r="DB340" s="104"/>
      <c r="DC340" s="104"/>
      <c r="DD340" s="104"/>
      <c r="DE340" s="104"/>
      <c r="DF340" s="104"/>
      <c r="DG340" s="104"/>
      <c r="DH340" s="104"/>
      <c r="DI340" s="104"/>
      <c r="DJ340" s="104"/>
      <c r="DK340" s="104"/>
      <c r="DL340" s="104"/>
      <c r="DM340" s="104"/>
      <c r="DN340" s="104"/>
      <c r="DO340" s="104"/>
      <c r="DP340" s="104"/>
      <c r="DQ340" s="104"/>
      <c r="DR340" s="104"/>
      <c r="DS340" s="104"/>
      <c r="DT340" s="104"/>
      <c r="DU340" s="104"/>
      <c r="DV340" s="104"/>
      <c r="DW340" s="104"/>
      <c r="DX340" s="104"/>
      <c r="DY340" s="104"/>
      <c r="DZ340" s="104"/>
      <c r="EA340" s="104"/>
      <c r="EB340" s="104"/>
      <c r="EC340" s="104"/>
      <c r="ED340" s="104"/>
      <c r="EE340" s="104"/>
      <c r="EF340" s="104"/>
      <c r="EG340" s="104"/>
      <c r="EH340" s="104"/>
      <c r="EI340" s="104"/>
      <c r="EJ340" s="104"/>
      <c r="EK340" s="104"/>
      <c r="EL340" s="104"/>
      <c r="EM340" s="104"/>
      <c r="EN340" s="104"/>
      <c r="EO340" s="104"/>
      <c r="EP340" s="104"/>
      <c r="EQ340" s="104"/>
      <c r="ER340" s="104"/>
      <c r="ES340" s="104"/>
      <c r="ET340" s="104"/>
      <c r="EU340" s="104"/>
      <c r="EV340" s="104"/>
      <c r="EW340" s="104"/>
      <c r="EX340" s="104"/>
      <c r="EY340" s="104"/>
      <c r="EZ340" s="104"/>
      <c r="FA340" s="104"/>
      <c r="FB340" s="104"/>
      <c r="FC340" s="104"/>
      <c r="FD340" s="104"/>
      <c r="FE340" s="104"/>
      <c r="FF340" s="104"/>
      <c r="FG340" s="104"/>
      <c r="FH340" s="104"/>
      <c r="FI340" s="104"/>
      <c r="FJ340" s="104"/>
      <c r="FK340" s="104"/>
      <c r="FL340" s="104"/>
      <c r="FM340" s="104"/>
      <c r="FN340" s="104"/>
      <c r="FO340" s="104"/>
      <c r="FP340" s="104"/>
      <c r="FQ340" s="104"/>
      <c r="FR340" s="104"/>
      <c r="FS340" s="104"/>
      <c r="FT340" s="104"/>
      <c r="FU340" s="104"/>
      <c r="FV340" s="104"/>
      <c r="FW340" s="104"/>
      <c r="FX340" s="104"/>
      <c r="FY340" s="104"/>
      <c r="FZ340" s="104"/>
      <c r="GA340" s="104"/>
      <c r="GB340" s="104"/>
      <c r="GC340" s="104"/>
      <c r="GD340" s="104"/>
      <c r="GE340" s="104"/>
      <c r="GF340" s="104"/>
      <c r="GG340" s="104"/>
      <c r="GH340" s="104"/>
      <c r="GI340" s="104"/>
      <c r="GJ340" s="104"/>
      <c r="GK340" s="104"/>
      <c r="GL340" s="104"/>
      <c r="GM340" s="104"/>
      <c r="GN340" s="104"/>
      <c r="GO340" s="104"/>
      <c r="GP340" s="104"/>
      <c r="GQ340" s="104"/>
      <c r="GR340" s="104"/>
      <c r="GS340" s="104"/>
      <c r="GT340" s="104"/>
      <c r="GU340" s="104"/>
      <c r="GV340" s="104"/>
      <c r="GW340" s="104"/>
      <c r="GX340" s="104"/>
      <c r="GY340" s="104"/>
      <c r="GZ340" s="104"/>
      <c r="HA340" s="104"/>
      <c r="HB340" s="104"/>
      <c r="HC340" s="104"/>
      <c r="HD340" s="104"/>
      <c r="HE340" s="104"/>
      <c r="HF340" s="104"/>
      <c r="HG340" s="104"/>
      <c r="HH340" s="104"/>
      <c r="HI340" s="104"/>
      <c r="HJ340" s="104"/>
      <c r="HK340" s="104"/>
      <c r="HL340" s="104"/>
      <c r="HM340" s="104"/>
      <c r="HN340" s="104"/>
      <c r="HO340" s="104"/>
      <c r="HP340" s="104"/>
      <c r="HQ340" s="104"/>
      <c r="HR340" s="104"/>
      <c r="HS340" s="104"/>
      <c r="HT340" s="104"/>
      <c r="HU340" s="104"/>
      <c r="HV340" s="104"/>
      <c r="HW340" s="104"/>
      <c r="HX340" s="104"/>
      <c r="HY340" s="104"/>
      <c r="HZ340" s="104"/>
      <c r="IA340" s="104"/>
      <c r="IB340" s="104"/>
      <c r="IC340" s="104"/>
      <c r="ID340" s="104"/>
      <c r="IE340" s="104"/>
      <c r="IF340" s="104"/>
      <c r="IG340" s="104"/>
      <c r="IH340" s="104"/>
      <c r="II340" s="104"/>
      <c r="IJ340" s="104"/>
      <c r="IK340" s="104"/>
      <c r="IL340" s="104"/>
      <c r="IM340" s="104"/>
      <c r="IN340" s="104"/>
      <c r="IO340" s="104"/>
      <c r="IP340" s="104"/>
      <c r="IQ340" s="104"/>
      <c r="IR340" s="104"/>
      <c r="IS340" s="104"/>
      <c r="IT340" s="104"/>
      <c r="IU340" s="104"/>
      <c r="IV340" s="104"/>
      <c r="IW340" s="104"/>
      <c r="IX340" s="104"/>
      <c r="IY340" s="104"/>
      <c r="IZ340" s="104"/>
      <c r="JA340" s="104"/>
      <c r="JB340" s="104"/>
      <c r="JC340" s="104"/>
      <c r="JD340" s="104"/>
      <c r="JE340" s="104"/>
      <c r="JF340" s="104"/>
      <c r="JG340" s="104"/>
      <c r="JH340" s="104"/>
      <c r="JI340" s="104"/>
      <c r="JJ340" s="104"/>
      <c r="JK340" s="104"/>
      <c r="JL340" s="104"/>
      <c r="JM340" s="104"/>
      <c r="JN340" s="104"/>
      <c r="JO340" s="104"/>
      <c r="JP340" s="104"/>
      <c r="JQ340" s="104"/>
      <c r="JR340" s="104"/>
      <c r="JS340" s="104"/>
      <c r="JT340" s="104"/>
      <c r="JU340" s="104"/>
      <c r="JV340" s="104"/>
      <c r="JW340" s="104"/>
      <c r="JX340" s="104"/>
      <c r="JY340" s="104"/>
      <c r="JZ340" s="104"/>
      <c r="KA340" s="104"/>
      <c r="KB340" s="104"/>
      <c r="KC340" s="104"/>
      <c r="KD340" s="104"/>
      <c r="KE340" s="104"/>
      <c r="KF340" s="104"/>
      <c r="KG340" s="104"/>
      <c r="KH340" s="104"/>
      <c r="KI340" s="104"/>
      <c r="KJ340" s="104"/>
      <c r="KK340" s="104"/>
      <c r="KL340" s="104"/>
      <c r="KM340" s="104"/>
      <c r="KN340" s="104"/>
      <c r="KO340" s="104"/>
      <c r="KP340" s="104"/>
      <c r="KQ340" s="104"/>
      <c r="KR340" s="104"/>
      <c r="KS340" s="104"/>
      <c r="KT340" s="104"/>
      <c r="KU340" s="104"/>
      <c r="KV340" s="104"/>
      <c r="KW340" s="104"/>
      <c r="KX340" s="104"/>
      <c r="KY340" s="104"/>
      <c r="KZ340" s="104"/>
      <c r="LA340" s="104"/>
      <c r="LB340" s="104"/>
      <c r="LC340" s="104"/>
      <c r="LD340" s="104"/>
      <c r="LE340" s="104"/>
      <c r="LF340" s="104"/>
      <c r="LG340" s="104"/>
      <c r="LH340" s="104"/>
      <c r="LI340" s="104"/>
      <c r="LJ340" s="104"/>
      <c r="LK340" s="104"/>
      <c r="LL340" s="104"/>
      <c r="LM340" s="104"/>
      <c r="LN340" s="104"/>
      <c r="LO340" s="104"/>
      <c r="LP340" s="104"/>
      <c r="LQ340" s="104"/>
      <c r="LR340" s="104"/>
      <c r="LS340" s="104"/>
      <c r="LT340" s="104"/>
      <c r="LU340" s="104"/>
      <c r="LV340" s="104"/>
      <c r="LW340" s="104"/>
      <c r="LX340" s="104"/>
      <c r="LY340" s="104"/>
      <c r="LZ340" s="104"/>
      <c r="MA340" s="104"/>
      <c r="MB340" s="104"/>
      <c r="MC340" s="104"/>
      <c r="MD340" s="104"/>
      <c r="ME340" s="104"/>
      <c r="MF340" s="104"/>
      <c r="MG340" s="104"/>
      <c r="MH340" s="104"/>
      <c r="MI340" s="104"/>
      <c r="MJ340" s="104"/>
      <c r="MK340" s="104"/>
      <c r="ML340" s="104"/>
      <c r="MM340" s="104"/>
      <c r="MN340" s="104"/>
      <c r="MO340" s="104"/>
      <c r="MP340" s="104"/>
      <c r="MQ340" s="104"/>
      <c r="MR340" s="104"/>
      <c r="MS340" s="104"/>
      <c r="MT340" s="104"/>
      <c r="MU340" s="104"/>
      <c r="MV340" s="104"/>
      <c r="MW340" s="104"/>
      <c r="MX340" s="104"/>
      <c r="MY340" s="104"/>
      <c r="MZ340" s="104"/>
      <c r="NA340" s="104"/>
      <c r="NB340" s="104"/>
      <c r="NC340" s="104"/>
      <c r="ND340" s="104"/>
      <c r="NE340" s="104"/>
      <c r="NF340" s="104"/>
      <c r="NG340" s="104"/>
      <c r="NH340" s="104"/>
      <c r="NI340" s="104"/>
      <c r="NJ340" s="104"/>
      <c r="NK340" s="104"/>
      <c r="NL340" s="104"/>
      <c r="NM340" s="104"/>
      <c r="NN340" s="104"/>
      <c r="NO340" s="104"/>
      <c r="NP340" s="104"/>
      <c r="NQ340" s="104"/>
      <c r="NR340" s="104"/>
      <c r="NS340" s="104"/>
      <c r="NT340" s="104"/>
      <c r="NU340" s="104"/>
      <c r="NV340" s="104"/>
      <c r="NW340" s="104"/>
      <c r="NX340" s="104"/>
      <c r="NY340" s="104"/>
      <c r="NZ340" s="104"/>
      <c r="OA340" s="104"/>
      <c r="OB340" s="104"/>
      <c r="OC340" s="104"/>
      <c r="OD340" s="104"/>
      <c r="OE340" s="104"/>
      <c r="OF340" s="104"/>
      <c r="OG340" s="104"/>
      <c r="OH340" s="104"/>
      <c r="OI340" s="104"/>
      <c r="OJ340" s="104"/>
      <c r="OK340" s="104"/>
      <c r="OL340" s="104"/>
      <c r="OM340" s="104"/>
      <c r="ON340" s="104"/>
      <c r="OO340" s="104"/>
      <c r="OP340" s="104"/>
      <c r="OQ340" s="104"/>
      <c r="OR340" s="104"/>
      <c r="OS340" s="104"/>
      <c r="OT340" s="104"/>
      <c r="OU340" s="104"/>
      <c r="OV340" s="104"/>
      <c r="OW340" s="104"/>
      <c r="OX340" s="104"/>
      <c r="OY340" s="104"/>
      <c r="OZ340" s="104"/>
      <c r="PA340" s="104"/>
      <c r="PB340" s="104"/>
      <c r="PC340" s="104"/>
      <c r="PD340" s="104"/>
      <c r="PE340" s="104"/>
      <c r="PF340" s="104"/>
      <c r="PG340" s="104"/>
      <c r="PH340" s="104"/>
      <c r="PI340" s="104"/>
      <c r="PJ340" s="104"/>
      <c r="PK340" s="104"/>
      <c r="PL340" s="104"/>
      <c r="PM340" s="104"/>
      <c r="PN340" s="104"/>
      <c r="PO340" s="104"/>
      <c r="PP340" s="104"/>
      <c r="PQ340" s="104"/>
      <c r="PR340" s="104"/>
      <c r="PS340" s="104"/>
      <c r="PT340" s="104"/>
      <c r="PU340" s="104"/>
      <c r="PV340" s="104"/>
      <c r="PW340" s="104"/>
      <c r="PX340" s="104"/>
      <c r="PY340" s="104"/>
      <c r="PZ340" s="104"/>
      <c r="QA340" s="104"/>
      <c r="QB340" s="104"/>
      <c r="QC340" s="104"/>
      <c r="QD340" s="104"/>
      <c r="QE340" s="104"/>
      <c r="QF340" s="104"/>
      <c r="QG340" s="104"/>
      <c r="QH340" s="104"/>
      <c r="QI340" s="104"/>
      <c r="QJ340" s="104"/>
      <c r="QK340" s="104"/>
      <c r="QL340" s="104"/>
      <c r="QM340" s="104"/>
      <c r="QN340" s="104"/>
      <c r="QO340" s="104"/>
      <c r="QP340" s="104"/>
      <c r="QQ340" s="104"/>
      <c r="QR340" s="104"/>
      <c r="QS340" s="104"/>
      <c r="QT340" s="104"/>
      <c r="QU340" s="104"/>
      <c r="QV340" s="104"/>
      <c r="QW340" s="104"/>
      <c r="QX340" s="104"/>
      <c r="QY340" s="104"/>
      <c r="QZ340" s="104"/>
      <c r="RA340" s="104"/>
      <c r="RB340" s="104"/>
      <c r="RC340" s="104"/>
      <c r="RD340" s="104"/>
      <c r="RE340" s="104"/>
      <c r="RF340" s="104"/>
      <c r="RG340" s="104"/>
      <c r="RH340" s="104"/>
      <c r="RI340" s="104"/>
      <c r="RJ340" s="104"/>
      <c r="RK340" s="104"/>
      <c r="RL340" s="104"/>
      <c r="RM340" s="104"/>
      <c r="RN340" s="104"/>
      <c r="RO340" s="104"/>
      <c r="RP340" s="104"/>
      <c r="RQ340" s="104"/>
      <c r="RR340" s="104"/>
      <c r="RS340" s="104"/>
      <c r="RT340" s="104"/>
      <c r="RU340" s="104"/>
      <c r="RV340" s="104"/>
      <c r="RW340" s="104"/>
      <c r="RX340" s="104"/>
      <c r="RY340" s="104"/>
      <c r="RZ340" s="104"/>
      <c r="SA340" s="104"/>
      <c r="SB340" s="104"/>
      <c r="SC340" s="104"/>
      <c r="SD340" s="104"/>
      <c r="SE340" s="104"/>
      <c r="SF340" s="104"/>
      <c r="SG340" s="104"/>
      <c r="SH340" s="104"/>
      <c r="SI340" s="104"/>
      <c r="SJ340" s="104"/>
      <c r="SK340" s="104"/>
      <c r="SL340" s="104"/>
      <c r="SM340" s="104"/>
      <c r="SN340" s="104"/>
      <c r="SO340" s="104"/>
      <c r="SP340" s="104"/>
      <c r="SQ340" s="104"/>
      <c r="SR340" s="104"/>
      <c r="SS340" s="104"/>
      <c r="ST340" s="104"/>
      <c r="SU340" s="104"/>
      <c r="SV340" s="104"/>
      <c r="SW340" s="104"/>
      <c r="SX340" s="104"/>
      <c r="SY340" s="104"/>
      <c r="SZ340" s="104"/>
      <c r="TA340" s="104"/>
      <c r="TB340" s="104"/>
      <c r="TC340" s="104"/>
      <c r="TD340" s="104"/>
      <c r="TE340" s="104"/>
      <c r="TF340" s="104"/>
      <c r="TG340" s="104"/>
      <c r="TH340" s="104"/>
      <c r="TI340" s="104"/>
      <c r="TJ340" s="104"/>
      <c r="TK340" s="104"/>
      <c r="TL340" s="104"/>
      <c r="TM340" s="104"/>
      <c r="TN340" s="104"/>
      <c r="TO340" s="104"/>
      <c r="TP340" s="104"/>
      <c r="TQ340" s="104"/>
      <c r="TR340" s="104"/>
      <c r="TS340" s="104"/>
      <c r="TT340" s="104"/>
      <c r="TU340" s="104"/>
      <c r="TV340" s="104"/>
      <c r="TW340" s="104"/>
      <c r="TX340" s="104"/>
      <c r="TY340" s="104"/>
      <c r="TZ340" s="104"/>
      <c r="UA340" s="104"/>
      <c r="UB340" s="104"/>
      <c r="UC340" s="104"/>
      <c r="UD340" s="104"/>
      <c r="UE340" s="104"/>
      <c r="UF340" s="104"/>
      <c r="UG340" s="104"/>
      <c r="UH340" s="104"/>
      <c r="UI340" s="104"/>
      <c r="UJ340" s="104"/>
      <c r="UK340" s="104"/>
      <c r="UL340" s="104"/>
      <c r="UM340" s="104"/>
      <c r="UN340" s="104"/>
      <c r="UO340" s="104"/>
      <c r="UP340" s="104"/>
      <c r="UQ340" s="104"/>
      <c r="UR340" s="104"/>
      <c r="US340" s="104"/>
      <c r="UT340" s="104"/>
      <c r="UU340" s="104"/>
      <c r="UV340" s="104"/>
      <c r="UW340" s="104"/>
      <c r="UX340" s="104"/>
      <c r="UY340" s="104"/>
      <c r="UZ340" s="104"/>
      <c r="VA340" s="104"/>
      <c r="VB340" s="104"/>
      <c r="VC340" s="104"/>
      <c r="VD340" s="104"/>
      <c r="VE340" s="104"/>
      <c r="VF340" s="104"/>
      <c r="VG340" s="104"/>
      <c r="VH340" s="104"/>
      <c r="VI340" s="104"/>
      <c r="VJ340" s="104"/>
      <c r="VK340" s="104"/>
      <c r="VL340" s="104"/>
      <c r="VM340" s="104"/>
      <c r="VN340" s="104"/>
      <c r="VO340" s="104"/>
      <c r="VP340" s="104"/>
      <c r="VQ340" s="104"/>
      <c r="VR340" s="104"/>
      <c r="VS340" s="104"/>
      <c r="VT340" s="104"/>
      <c r="VU340" s="104"/>
      <c r="VV340" s="104"/>
      <c r="VW340" s="104"/>
      <c r="VX340" s="104"/>
      <c r="VY340" s="104"/>
      <c r="VZ340" s="104"/>
      <c r="WA340" s="104"/>
      <c r="WB340" s="104"/>
      <c r="WC340" s="104"/>
      <c r="WD340" s="104"/>
      <c r="WE340" s="104"/>
      <c r="WF340" s="104"/>
      <c r="WG340" s="104"/>
      <c r="WH340" s="104"/>
      <c r="WI340" s="104"/>
      <c r="WJ340" s="104"/>
      <c r="WK340" s="104"/>
      <c r="WL340" s="104"/>
      <c r="WM340" s="104"/>
      <c r="WN340" s="104"/>
      <c r="WO340" s="104"/>
      <c r="WP340" s="104"/>
      <c r="WQ340" s="104"/>
      <c r="WR340" s="104"/>
      <c r="WS340" s="104"/>
      <c r="WT340" s="104"/>
      <c r="WU340" s="104"/>
      <c r="WV340" s="104"/>
      <c r="WW340" s="104"/>
      <c r="WX340" s="104"/>
      <c r="WY340" s="104"/>
      <c r="WZ340" s="104"/>
      <c r="XA340" s="104"/>
      <c r="XB340" s="104"/>
      <c r="XC340" s="104"/>
      <c r="XD340" s="104"/>
      <c r="XE340" s="104"/>
      <c r="XF340" s="104"/>
      <c r="XG340" s="104"/>
      <c r="XH340" s="104"/>
      <c r="XI340" s="104"/>
      <c r="XJ340" s="104"/>
      <c r="XK340" s="104"/>
      <c r="XL340" s="104"/>
      <c r="XM340" s="104"/>
      <c r="XN340" s="104"/>
      <c r="XO340" s="104"/>
      <c r="XP340" s="104"/>
      <c r="XQ340" s="104"/>
      <c r="XR340" s="104"/>
      <c r="XS340" s="104"/>
      <c r="XT340" s="104"/>
      <c r="XU340" s="104"/>
      <c r="XV340" s="104"/>
      <c r="XW340" s="104"/>
      <c r="XX340" s="104"/>
      <c r="XY340" s="104"/>
      <c r="XZ340" s="104"/>
      <c r="YA340" s="104"/>
      <c r="YB340" s="104"/>
      <c r="YC340" s="104"/>
      <c r="YD340" s="104"/>
      <c r="YE340" s="104"/>
      <c r="YF340" s="104"/>
      <c r="YG340" s="104"/>
      <c r="YH340" s="104"/>
      <c r="YI340" s="104"/>
      <c r="YJ340" s="104"/>
      <c r="YK340" s="104"/>
      <c r="YL340" s="104"/>
      <c r="YM340" s="104"/>
      <c r="YN340" s="104"/>
      <c r="YO340" s="104"/>
      <c r="YP340" s="104"/>
      <c r="YQ340" s="104"/>
      <c r="YR340" s="104"/>
      <c r="YS340" s="104"/>
      <c r="YT340" s="104"/>
      <c r="YU340" s="104"/>
      <c r="YV340" s="104"/>
      <c r="YW340" s="104"/>
      <c r="YX340" s="104"/>
      <c r="YY340" s="104"/>
      <c r="YZ340" s="104"/>
      <c r="ZA340" s="104"/>
      <c r="ZB340" s="104"/>
      <c r="ZC340" s="104"/>
      <c r="ZD340" s="104"/>
      <c r="ZE340" s="104"/>
      <c r="ZF340" s="104"/>
      <c r="ZG340" s="104"/>
      <c r="ZH340" s="104"/>
      <c r="ZI340" s="104"/>
      <c r="ZJ340" s="104"/>
      <c r="ZK340" s="104"/>
      <c r="ZL340" s="104"/>
      <c r="ZM340" s="104"/>
      <c r="ZN340" s="104"/>
      <c r="ZO340" s="104"/>
      <c r="ZP340" s="104"/>
      <c r="ZQ340" s="104"/>
      <c r="ZR340" s="104"/>
      <c r="ZS340" s="104"/>
      <c r="ZT340" s="104"/>
      <c r="ZU340" s="104"/>
      <c r="ZV340" s="104"/>
      <c r="ZW340" s="104"/>
      <c r="ZX340" s="104"/>
      <c r="ZY340" s="104"/>
      <c r="ZZ340" s="104"/>
      <c r="AAA340" s="104"/>
      <c r="AAB340" s="104"/>
      <c r="AAC340" s="104"/>
      <c r="AAD340" s="104"/>
      <c r="AAE340" s="104"/>
      <c r="AAF340" s="104"/>
      <c r="AAG340" s="104"/>
      <c r="AAH340" s="104"/>
      <c r="AAI340" s="104"/>
      <c r="AAJ340" s="104"/>
      <c r="AAK340" s="104"/>
      <c r="AAL340" s="104"/>
      <c r="AAM340" s="104"/>
      <c r="AAN340" s="104"/>
      <c r="AAO340" s="104"/>
      <c r="AAP340" s="104"/>
      <c r="AAQ340" s="104"/>
      <c r="AAR340" s="104"/>
      <c r="AAS340" s="104"/>
      <c r="AAT340" s="104"/>
      <c r="AAU340" s="104"/>
      <c r="AAV340" s="104"/>
      <c r="AAW340" s="104"/>
      <c r="AAX340" s="104"/>
      <c r="AAY340" s="104"/>
      <c r="AAZ340" s="104"/>
      <c r="ABA340" s="104"/>
      <c r="ABB340" s="104"/>
      <c r="ABC340" s="104"/>
      <c r="ABD340" s="104"/>
      <c r="ABE340" s="104"/>
      <c r="ABF340" s="104"/>
      <c r="ABG340" s="104"/>
      <c r="ABH340" s="104"/>
      <c r="ABI340" s="104"/>
      <c r="ABJ340" s="104"/>
      <c r="ABK340" s="104"/>
      <c r="ABL340" s="104"/>
      <c r="ABM340" s="104"/>
      <c r="ABN340" s="104"/>
      <c r="ABO340" s="104"/>
      <c r="ABP340" s="104"/>
      <c r="ABQ340" s="104"/>
      <c r="ABR340" s="104"/>
      <c r="ABS340" s="104"/>
      <c r="ABT340" s="104"/>
      <c r="ABU340" s="104"/>
      <c r="ABV340" s="104"/>
      <c r="ABW340" s="104"/>
      <c r="ABX340" s="104"/>
      <c r="ABY340" s="104"/>
      <c r="ABZ340" s="104"/>
      <c r="ACA340" s="104"/>
      <c r="ACB340" s="104"/>
      <c r="ACC340" s="104"/>
      <c r="ACD340" s="104"/>
      <c r="ACE340" s="104"/>
      <c r="ACF340" s="104"/>
      <c r="ACG340" s="104"/>
      <c r="ACH340" s="104"/>
      <c r="ACI340" s="104"/>
      <c r="ACJ340" s="104"/>
      <c r="ACK340" s="104"/>
      <c r="ACL340" s="104"/>
      <c r="ACM340" s="104"/>
      <c r="ACN340" s="104"/>
      <c r="ACO340" s="104"/>
      <c r="ACP340" s="104"/>
      <c r="ACQ340" s="104"/>
      <c r="ACR340" s="104"/>
      <c r="ACS340" s="104"/>
      <c r="ACT340" s="104"/>
      <c r="ACU340" s="104"/>
      <c r="ACV340" s="104"/>
      <c r="ACW340" s="104"/>
      <c r="ACX340" s="104"/>
      <c r="ACY340" s="104"/>
      <c r="ACZ340" s="104"/>
      <c r="ADA340" s="104"/>
      <c r="ADB340" s="104"/>
      <c r="ADC340" s="104"/>
      <c r="ADD340" s="104"/>
      <c r="ADE340" s="104"/>
      <c r="ADF340" s="104"/>
      <c r="ADG340" s="104"/>
      <c r="ADH340" s="104"/>
      <c r="ADI340" s="104"/>
      <c r="ADJ340" s="104"/>
      <c r="ADK340" s="104"/>
      <c r="ADL340" s="104"/>
      <c r="ADM340" s="104"/>
      <c r="ADN340" s="104"/>
      <c r="ADO340" s="104"/>
      <c r="ADP340" s="104"/>
      <c r="ADQ340" s="104"/>
      <c r="ADR340" s="104"/>
      <c r="ADS340" s="104"/>
      <c r="ADT340" s="104"/>
      <c r="ADU340" s="104"/>
      <c r="ADV340" s="104"/>
      <c r="ADW340" s="104"/>
      <c r="ADX340" s="104"/>
      <c r="ADY340" s="104"/>
      <c r="ADZ340" s="104"/>
      <c r="AEA340" s="104"/>
      <c r="AEB340" s="104"/>
      <c r="AEC340" s="104"/>
      <c r="AED340" s="104"/>
      <c r="AEE340" s="104"/>
      <c r="AEF340" s="104"/>
      <c r="AEG340" s="104"/>
      <c r="AEH340" s="104"/>
      <c r="AEI340" s="104"/>
      <c r="AEJ340" s="104"/>
      <c r="AEK340" s="104"/>
      <c r="AEL340" s="104"/>
      <c r="AEM340" s="104"/>
      <c r="AEN340" s="104"/>
      <c r="AEO340" s="104"/>
      <c r="AEP340" s="104"/>
      <c r="AEQ340" s="104"/>
      <c r="AER340" s="104"/>
      <c r="AES340" s="104"/>
      <c r="AET340" s="104"/>
      <c r="AEU340" s="104"/>
      <c r="AEV340" s="104"/>
      <c r="AEW340" s="104"/>
      <c r="AEX340" s="104"/>
      <c r="AEY340" s="104"/>
      <c r="AEZ340" s="104"/>
      <c r="AFA340" s="104"/>
      <c r="AFB340" s="104"/>
      <c r="AFC340" s="104"/>
      <c r="AFD340" s="104"/>
      <c r="AFE340" s="104"/>
      <c r="AFF340" s="104"/>
      <c r="AFG340" s="104"/>
      <c r="AFH340" s="104"/>
      <c r="AFI340" s="104"/>
      <c r="AFJ340" s="104"/>
      <c r="AFK340" s="104"/>
      <c r="AFL340" s="104"/>
      <c r="AFM340" s="104"/>
      <c r="AFN340" s="104"/>
      <c r="AFO340" s="104"/>
      <c r="AFP340" s="104"/>
      <c r="AFQ340" s="104"/>
      <c r="AFR340" s="104"/>
      <c r="AFS340" s="104"/>
      <c r="AFT340" s="104"/>
      <c r="AFU340" s="104"/>
      <c r="AFV340" s="104"/>
      <c r="AFW340" s="104"/>
      <c r="AFX340" s="104"/>
      <c r="AFY340" s="104"/>
      <c r="AFZ340" s="104"/>
      <c r="AGA340" s="104"/>
      <c r="AGB340" s="104"/>
      <c r="AGC340" s="104"/>
      <c r="AGD340" s="104"/>
      <c r="AGE340" s="104"/>
      <c r="AGF340" s="104"/>
      <c r="AGG340" s="104"/>
      <c r="AGH340" s="104"/>
      <c r="AGI340" s="104"/>
      <c r="AGJ340" s="104"/>
      <c r="AGK340" s="104"/>
      <c r="AGL340" s="104"/>
      <c r="AGM340" s="104"/>
      <c r="AGN340" s="104"/>
      <c r="AGO340" s="104"/>
      <c r="AGP340" s="104"/>
      <c r="AGQ340" s="104"/>
      <c r="AGR340" s="104"/>
      <c r="AGS340" s="104"/>
      <c r="AGT340" s="104"/>
      <c r="AGU340" s="104"/>
      <c r="AGV340" s="104"/>
      <c r="AGW340" s="104"/>
      <c r="AGX340" s="104"/>
      <c r="AGY340" s="104"/>
      <c r="AGZ340" s="104"/>
      <c r="AHA340" s="104"/>
      <c r="AHB340" s="104"/>
      <c r="AHC340" s="104"/>
      <c r="AHD340" s="104"/>
      <c r="AHE340" s="104"/>
      <c r="AHF340" s="104"/>
      <c r="AHG340" s="104"/>
      <c r="AHH340" s="104"/>
      <c r="AHI340" s="104"/>
      <c r="AHJ340" s="104"/>
      <c r="AHK340" s="104"/>
      <c r="AHL340" s="104"/>
      <c r="AHM340" s="104"/>
      <c r="AHN340" s="104"/>
      <c r="AHO340" s="104"/>
      <c r="AHP340" s="104"/>
      <c r="AHQ340" s="104"/>
      <c r="AHR340" s="104"/>
      <c r="AHS340" s="104"/>
      <c r="AHT340" s="104"/>
      <c r="AHU340" s="104"/>
      <c r="AHV340" s="104"/>
      <c r="AHW340" s="104"/>
      <c r="AHX340" s="104"/>
      <c r="AHY340" s="104"/>
      <c r="AHZ340" s="104"/>
      <c r="AIA340" s="104"/>
      <c r="AIB340" s="104"/>
      <c r="AIC340" s="104"/>
      <c r="AID340" s="104"/>
      <c r="AIE340" s="104"/>
      <c r="AIF340" s="104"/>
      <c r="AIG340" s="104"/>
      <c r="AIH340" s="104"/>
      <c r="AII340" s="104"/>
      <c r="AIJ340" s="104"/>
      <c r="AIK340" s="104"/>
      <c r="AIL340" s="104"/>
      <c r="AIM340" s="104"/>
      <c r="AIN340" s="104"/>
      <c r="AIO340" s="104"/>
      <c r="AIP340" s="104"/>
      <c r="AIQ340" s="104"/>
      <c r="AIR340" s="104"/>
      <c r="AIS340" s="104"/>
      <c r="AIT340" s="104"/>
      <c r="AIU340" s="104"/>
      <c r="AIV340" s="104"/>
      <c r="AIW340" s="104"/>
      <c r="AIX340" s="104"/>
      <c r="AIY340" s="104"/>
      <c r="AIZ340" s="104"/>
      <c r="AJA340" s="104"/>
      <c r="AJB340" s="104"/>
      <c r="AJC340" s="104"/>
      <c r="AJD340" s="104"/>
      <c r="AJE340" s="104"/>
      <c r="AJF340" s="104"/>
      <c r="AJG340" s="104"/>
      <c r="AJH340" s="104"/>
      <c r="AJI340" s="104"/>
      <c r="AJJ340" s="104"/>
      <c r="AJK340" s="104"/>
      <c r="AJL340" s="104"/>
      <c r="AJM340" s="104"/>
      <c r="AJN340" s="104"/>
      <c r="AJO340" s="104"/>
      <c r="AJP340" s="104"/>
      <c r="AJQ340" s="104"/>
      <c r="AJR340" s="104"/>
      <c r="AJS340" s="104"/>
      <c r="AJT340" s="104"/>
      <c r="AJU340" s="104"/>
      <c r="AJV340" s="104"/>
      <c r="AJW340" s="104"/>
      <c r="AJX340" s="104"/>
      <c r="AJY340" s="104"/>
      <c r="AJZ340" s="104"/>
      <c r="AKA340" s="104"/>
      <c r="AKB340" s="104"/>
      <c r="AKC340" s="104"/>
      <c r="AKD340" s="104"/>
      <c r="AKE340" s="104"/>
      <c r="AKF340" s="104"/>
      <c r="AKG340" s="104"/>
      <c r="AKH340" s="104"/>
      <c r="AKI340" s="104"/>
      <c r="AKJ340" s="104"/>
      <c r="AKK340" s="104"/>
      <c r="AKL340" s="104"/>
      <c r="AKM340" s="104"/>
      <c r="AKN340" s="104"/>
      <c r="AKO340" s="104"/>
      <c r="AKP340" s="104"/>
      <c r="AKQ340" s="104"/>
      <c r="AKR340" s="104"/>
      <c r="AKS340" s="104"/>
      <c r="AKT340" s="104"/>
      <c r="AKU340" s="104"/>
      <c r="AKV340" s="104"/>
      <c r="AKW340" s="104"/>
      <c r="AKX340" s="104"/>
      <c r="AKY340" s="104"/>
      <c r="AKZ340" s="104"/>
      <c r="ALA340" s="104"/>
      <c r="ALB340" s="104"/>
      <c r="ALC340" s="104"/>
      <c r="ALD340" s="104"/>
      <c r="ALE340" s="104"/>
      <c r="ALF340" s="104"/>
      <c r="ALG340" s="104"/>
      <c r="ALH340" s="104"/>
      <c r="ALI340" s="104"/>
      <c r="ALJ340" s="104"/>
      <c r="ALK340" s="104"/>
      <c r="ALL340" s="104"/>
      <c r="ALM340" s="104"/>
      <c r="ALN340" s="104"/>
      <c r="ALO340" s="104"/>
      <c r="ALP340" s="104"/>
      <c r="ALQ340" s="104"/>
      <c r="ALR340" s="104"/>
      <c r="ALS340" s="104"/>
      <c r="ALT340" s="104"/>
      <c r="ALU340" s="104"/>
      <c r="ALV340" s="104"/>
      <c r="ALW340" s="104"/>
      <c r="ALX340" s="104"/>
      <c r="ALY340" s="104"/>
      <c r="ALZ340" s="104"/>
      <c r="AMA340" s="104"/>
      <c r="AMB340" s="104"/>
      <c r="AMC340" s="104"/>
      <c r="AMD340" s="104"/>
      <c r="AME340" s="104"/>
      <c r="AMF340" s="104"/>
      <c r="AMG340" s="104"/>
      <c r="AMH340" s="104"/>
      <c r="AMI340" s="104"/>
      <c r="AMJ340" s="104"/>
      <c r="AMK340" s="104"/>
      <c r="AML340" s="104"/>
      <c r="AMM340" s="104"/>
      <c r="AMN340" s="104"/>
      <c r="AMO340" s="104"/>
      <c r="AMP340" s="104"/>
      <c r="AMQ340" s="104"/>
      <c r="AMR340" s="104"/>
      <c r="AMS340" s="104"/>
      <c r="AMT340" s="104"/>
      <c r="AMU340" s="104"/>
      <c r="AMV340" s="104"/>
      <c r="AMW340" s="104"/>
      <c r="AMX340" s="104"/>
      <c r="AMY340" s="104"/>
      <c r="AMZ340" s="104"/>
      <c r="ANA340" s="104"/>
      <c r="ANB340" s="104"/>
      <c r="ANC340" s="104"/>
      <c r="AND340" s="104"/>
      <c r="ANE340" s="104"/>
      <c r="ANF340" s="104"/>
      <c r="ANG340" s="104"/>
      <c r="ANH340" s="104"/>
      <c r="ANI340" s="104"/>
      <c r="ANJ340" s="104"/>
      <c r="ANK340" s="104"/>
      <c r="ANL340" s="104"/>
      <c r="ANM340" s="104"/>
      <c r="ANN340" s="104"/>
      <c r="ANO340" s="104"/>
      <c r="ANP340" s="104"/>
      <c r="ANQ340" s="104"/>
      <c r="ANR340" s="104"/>
      <c r="ANS340" s="104"/>
      <c r="ANT340" s="104"/>
      <c r="ANU340" s="104"/>
      <c r="ANV340" s="104"/>
      <c r="ANW340" s="104"/>
      <c r="ANX340" s="104"/>
      <c r="ANY340" s="104"/>
      <c r="ANZ340" s="104"/>
      <c r="AOA340" s="104"/>
      <c r="AOB340" s="104"/>
      <c r="AOC340" s="104"/>
      <c r="AOD340" s="104"/>
      <c r="AOE340" s="104"/>
      <c r="AOF340" s="104"/>
      <c r="AOG340" s="104"/>
      <c r="AOH340" s="104"/>
      <c r="AOI340" s="104"/>
      <c r="AOJ340" s="104"/>
      <c r="AOK340" s="104"/>
      <c r="AOL340" s="104"/>
      <c r="AOM340" s="104"/>
      <c r="AON340" s="104"/>
      <c r="AOO340" s="104"/>
      <c r="AOP340" s="104"/>
      <c r="AOQ340" s="104"/>
      <c r="AOR340" s="104"/>
      <c r="AOS340" s="104"/>
      <c r="AOT340" s="104"/>
      <c r="AOU340" s="104"/>
      <c r="AOV340" s="104"/>
      <c r="AOW340" s="104"/>
      <c r="AOX340" s="104"/>
      <c r="AOY340" s="104"/>
      <c r="AOZ340" s="104"/>
      <c r="APA340" s="104"/>
      <c r="APB340" s="104"/>
      <c r="APC340" s="104"/>
      <c r="APD340" s="104"/>
      <c r="APE340" s="104"/>
      <c r="APF340" s="104"/>
      <c r="APG340" s="104"/>
      <c r="APH340" s="104"/>
      <c r="API340" s="104"/>
      <c r="APJ340" s="104"/>
      <c r="APK340" s="104"/>
      <c r="APL340" s="104"/>
      <c r="APM340" s="104"/>
      <c r="APN340" s="104"/>
      <c r="APO340" s="104"/>
      <c r="APP340" s="104"/>
      <c r="APQ340" s="104"/>
      <c r="APR340" s="104"/>
      <c r="APS340" s="104"/>
      <c r="APT340" s="104"/>
      <c r="APU340" s="104"/>
      <c r="APV340" s="104"/>
      <c r="APW340" s="104"/>
      <c r="APX340" s="104"/>
      <c r="APY340" s="104"/>
      <c r="APZ340" s="104"/>
      <c r="AQA340" s="104"/>
      <c r="AQB340" s="104"/>
      <c r="AQC340" s="104"/>
      <c r="AQD340" s="104"/>
      <c r="AQE340" s="104"/>
      <c r="AQF340" s="104"/>
      <c r="AQG340" s="104"/>
      <c r="AQH340" s="104"/>
      <c r="AQI340" s="104"/>
      <c r="AQJ340" s="104"/>
      <c r="AQK340" s="104"/>
      <c r="AQL340" s="104"/>
      <c r="AQM340" s="104"/>
      <c r="AQN340" s="104"/>
      <c r="AQO340" s="104"/>
      <c r="AQP340" s="104"/>
      <c r="AQQ340" s="104"/>
      <c r="AQR340" s="104"/>
      <c r="AQS340" s="104"/>
      <c r="AQT340" s="104"/>
      <c r="AQU340" s="104"/>
      <c r="AQV340" s="104"/>
      <c r="AQW340" s="104"/>
      <c r="AQX340" s="104"/>
      <c r="AQY340" s="104"/>
      <c r="AQZ340" s="104"/>
      <c r="ARA340" s="104"/>
      <c r="ARB340" s="104"/>
      <c r="ARC340" s="104"/>
      <c r="ARD340" s="104"/>
      <c r="ARE340" s="104"/>
      <c r="ARF340" s="104"/>
      <c r="ARG340" s="104"/>
      <c r="ARH340" s="104"/>
      <c r="ARI340" s="104"/>
      <c r="ARJ340" s="104"/>
      <c r="ARK340" s="104"/>
      <c r="ARL340" s="104"/>
      <c r="ARM340" s="104"/>
      <c r="ARN340" s="104"/>
      <c r="ARO340" s="104"/>
      <c r="ARP340" s="104"/>
      <c r="ARQ340" s="104"/>
      <c r="ARR340" s="104"/>
      <c r="ARS340" s="104"/>
      <c r="ART340" s="104"/>
      <c r="ARU340" s="104"/>
      <c r="ARV340" s="104"/>
      <c r="ARW340" s="104"/>
      <c r="ARX340" s="104"/>
      <c r="ARY340" s="104"/>
      <c r="ARZ340" s="104"/>
      <c r="ASA340" s="104"/>
      <c r="ASB340" s="104"/>
      <c r="ASC340" s="104"/>
      <c r="ASD340" s="104"/>
      <c r="ASE340" s="104"/>
      <c r="ASF340" s="104"/>
      <c r="ASG340" s="104"/>
      <c r="ASH340" s="104"/>
      <c r="ASI340" s="104"/>
      <c r="ASJ340" s="104"/>
      <c r="ASK340" s="104"/>
      <c r="ASL340" s="104"/>
      <c r="ASM340" s="104"/>
      <c r="ASN340" s="104"/>
      <c r="ASO340" s="104"/>
      <c r="ASP340" s="104"/>
      <c r="ASQ340" s="104"/>
      <c r="ASR340" s="104"/>
      <c r="ASS340" s="104"/>
      <c r="AST340" s="104"/>
      <c r="ASU340" s="104"/>
      <c r="ASV340" s="104"/>
      <c r="ASW340" s="104"/>
      <c r="ASX340" s="104"/>
      <c r="ASY340" s="104"/>
      <c r="ASZ340" s="104"/>
      <c r="ATA340" s="104"/>
      <c r="ATB340" s="104"/>
      <c r="ATC340" s="104"/>
      <c r="ATD340" s="104"/>
      <c r="ATE340" s="104"/>
      <c r="ATF340" s="104"/>
      <c r="ATG340" s="104"/>
      <c r="ATH340" s="104"/>
      <c r="ATI340" s="104"/>
      <c r="ATJ340" s="104"/>
      <c r="ATK340" s="104"/>
      <c r="ATL340" s="104"/>
      <c r="ATM340" s="104"/>
      <c r="ATN340" s="104"/>
      <c r="ATO340" s="104"/>
      <c r="ATP340" s="104"/>
      <c r="ATQ340" s="104"/>
      <c r="ATR340" s="104"/>
      <c r="ATS340" s="104"/>
      <c r="ATT340" s="104"/>
      <c r="ATU340" s="104"/>
      <c r="ATV340" s="104"/>
      <c r="ATW340" s="104"/>
      <c r="ATX340" s="104"/>
      <c r="ATY340" s="104"/>
      <c r="ATZ340" s="104"/>
      <c r="AUA340" s="104"/>
      <c r="AUB340" s="104"/>
      <c r="AUC340" s="104"/>
      <c r="AUD340" s="104"/>
      <c r="AUE340" s="104"/>
      <c r="AUF340" s="104"/>
      <c r="AUG340" s="104"/>
      <c r="AUH340" s="104"/>
      <c r="AUI340" s="104"/>
      <c r="AUJ340" s="104"/>
      <c r="AUK340" s="104"/>
      <c r="AUL340" s="104"/>
      <c r="AUM340" s="104"/>
      <c r="AUN340" s="104"/>
      <c r="AUO340" s="104"/>
      <c r="AUP340" s="104"/>
      <c r="AUQ340" s="104"/>
      <c r="AUR340" s="104"/>
      <c r="AUS340" s="104"/>
      <c r="AUT340" s="104"/>
      <c r="AUU340" s="104"/>
      <c r="AUV340" s="104"/>
      <c r="AUW340" s="104"/>
      <c r="AUX340" s="104"/>
      <c r="AUY340" s="104"/>
      <c r="AUZ340" s="104"/>
      <c r="AVA340" s="104"/>
      <c r="AVB340" s="104"/>
      <c r="AVC340" s="104"/>
      <c r="AVD340" s="104"/>
      <c r="AVE340" s="104"/>
      <c r="AVF340" s="104"/>
      <c r="AVG340" s="104"/>
      <c r="AVH340" s="104"/>
      <c r="AVI340" s="104"/>
      <c r="AVJ340" s="104"/>
      <c r="AVK340" s="104"/>
      <c r="AVL340" s="104"/>
      <c r="AVM340" s="104"/>
      <c r="AVN340" s="104"/>
      <c r="AVO340" s="104"/>
      <c r="AVP340" s="104"/>
      <c r="AVQ340" s="104"/>
      <c r="AVR340" s="104"/>
      <c r="AVS340" s="104"/>
      <c r="AVT340" s="104"/>
      <c r="AVU340" s="104"/>
      <c r="AVV340" s="104"/>
      <c r="AVW340" s="104"/>
      <c r="AVX340" s="104"/>
      <c r="AVY340" s="104"/>
      <c r="AVZ340" s="104"/>
      <c r="AWA340" s="104"/>
      <c r="AWB340" s="104"/>
      <c r="AWC340" s="104"/>
      <c r="AWD340" s="104"/>
      <c r="AWE340" s="104"/>
      <c r="AWF340" s="104"/>
      <c r="AWG340" s="104"/>
      <c r="AWH340" s="104"/>
      <c r="AWI340" s="104"/>
      <c r="AWJ340" s="104"/>
      <c r="AWK340" s="104"/>
      <c r="AWL340" s="104"/>
      <c r="AWM340" s="104"/>
      <c r="AWN340" s="104"/>
      <c r="AWO340" s="104"/>
      <c r="AWP340" s="104"/>
      <c r="AWQ340" s="104"/>
      <c r="AWR340" s="104"/>
      <c r="AWS340" s="104"/>
      <c r="AWT340" s="104"/>
      <c r="AWU340" s="104"/>
      <c r="AWV340" s="104"/>
      <c r="AWW340" s="104"/>
      <c r="AWX340" s="104"/>
      <c r="AWY340" s="104"/>
      <c r="AWZ340" s="104"/>
      <c r="AXA340" s="104"/>
      <c r="AXB340" s="104"/>
      <c r="AXC340" s="104"/>
      <c r="AXD340" s="104"/>
      <c r="AXE340" s="104"/>
      <c r="AXF340" s="104"/>
      <c r="AXG340" s="104"/>
      <c r="AXH340" s="104"/>
      <c r="AXI340" s="104"/>
      <c r="AXJ340" s="104"/>
      <c r="AXK340" s="104"/>
      <c r="AXL340" s="104"/>
      <c r="AXM340" s="104"/>
      <c r="AXN340" s="104"/>
      <c r="AXO340" s="104"/>
      <c r="AXP340" s="104"/>
      <c r="AXQ340" s="104"/>
      <c r="AXR340" s="104"/>
      <c r="AXS340" s="104"/>
      <c r="AXT340" s="104"/>
      <c r="AXU340" s="104"/>
      <c r="AXV340" s="104"/>
      <c r="AXW340" s="104"/>
      <c r="AXX340" s="104"/>
      <c r="AXY340" s="104"/>
      <c r="AXZ340" s="104"/>
      <c r="AYA340" s="104"/>
      <c r="AYB340" s="104"/>
      <c r="AYC340" s="104"/>
      <c r="AYD340" s="104"/>
      <c r="AYE340" s="104"/>
      <c r="AYF340" s="104"/>
      <c r="AYG340" s="104"/>
      <c r="AYH340" s="104"/>
      <c r="AYI340" s="104"/>
      <c r="AYJ340" s="104"/>
      <c r="AYK340" s="104"/>
      <c r="AYL340" s="104"/>
      <c r="AYM340" s="104"/>
      <c r="AYN340" s="104"/>
      <c r="AYO340" s="104"/>
      <c r="AYP340" s="104"/>
      <c r="AYQ340" s="104"/>
      <c r="AYR340" s="104"/>
      <c r="AYS340" s="104"/>
      <c r="AYT340" s="104"/>
      <c r="AYU340" s="104"/>
      <c r="AYV340" s="104"/>
      <c r="AYW340" s="104"/>
      <c r="AYX340" s="104"/>
      <c r="AYY340" s="104"/>
      <c r="AYZ340" s="104"/>
      <c r="AZA340" s="104"/>
      <c r="AZB340" s="104"/>
      <c r="AZC340" s="104"/>
      <c r="AZD340" s="104"/>
      <c r="AZE340" s="104"/>
      <c r="AZF340" s="104"/>
      <c r="AZG340" s="104"/>
      <c r="AZH340" s="104"/>
      <c r="AZI340" s="104"/>
      <c r="AZJ340" s="104"/>
      <c r="AZK340" s="104"/>
      <c r="AZL340" s="104"/>
      <c r="AZM340" s="104"/>
      <c r="AZN340" s="104"/>
      <c r="AZO340" s="104"/>
      <c r="AZP340" s="104"/>
      <c r="AZQ340" s="104"/>
      <c r="AZR340" s="104"/>
      <c r="AZS340" s="104"/>
      <c r="AZT340" s="104"/>
      <c r="AZU340" s="104"/>
      <c r="AZV340" s="104"/>
      <c r="AZW340" s="104"/>
      <c r="AZX340" s="104"/>
      <c r="AZY340" s="104"/>
      <c r="AZZ340" s="104"/>
      <c r="BAA340" s="104"/>
      <c r="BAB340" s="104"/>
      <c r="BAC340" s="104"/>
      <c r="BAD340" s="104"/>
      <c r="BAE340" s="104"/>
      <c r="BAF340" s="104"/>
      <c r="BAG340" s="104"/>
      <c r="BAH340" s="104"/>
      <c r="BAI340" s="104"/>
      <c r="BAJ340" s="104"/>
      <c r="BAK340" s="104"/>
      <c r="BAL340" s="104"/>
      <c r="BAM340" s="104"/>
      <c r="BAN340" s="104"/>
      <c r="BAO340" s="104"/>
      <c r="BAP340" s="104"/>
      <c r="BAQ340" s="104"/>
      <c r="BAR340" s="104"/>
      <c r="BAS340" s="104"/>
      <c r="BAT340" s="104"/>
      <c r="BAU340" s="104"/>
      <c r="BAV340" s="104"/>
      <c r="BAW340" s="104"/>
      <c r="BAX340" s="104"/>
      <c r="BAY340" s="104"/>
      <c r="BAZ340" s="104"/>
      <c r="BBA340" s="104"/>
      <c r="BBB340" s="104"/>
      <c r="BBC340" s="104"/>
      <c r="BBD340" s="104"/>
      <c r="BBE340" s="104"/>
      <c r="BBF340" s="104"/>
      <c r="BBG340" s="104"/>
      <c r="BBH340" s="104"/>
      <c r="BBI340" s="104"/>
      <c r="BBJ340" s="104"/>
      <c r="BBK340" s="104"/>
      <c r="BBL340" s="104"/>
      <c r="BBM340" s="104"/>
      <c r="BBN340" s="104"/>
      <c r="BBO340" s="104"/>
      <c r="BBP340" s="104"/>
      <c r="BBQ340" s="104"/>
      <c r="BBR340" s="104"/>
      <c r="BBS340" s="104"/>
      <c r="BBT340" s="104"/>
      <c r="BBU340" s="104"/>
      <c r="BBV340" s="104"/>
      <c r="BBW340" s="104"/>
      <c r="BBX340" s="104"/>
      <c r="BBY340" s="104"/>
      <c r="BBZ340" s="104"/>
      <c r="BCA340" s="104"/>
      <c r="BCB340" s="104"/>
      <c r="BCC340" s="104"/>
      <c r="BCD340" s="104"/>
      <c r="BCE340" s="104"/>
      <c r="BCF340" s="104"/>
      <c r="BCG340" s="104"/>
      <c r="BCH340" s="104"/>
      <c r="BCI340" s="104"/>
      <c r="BCJ340" s="104"/>
      <c r="BCK340" s="104"/>
      <c r="BCL340" s="104"/>
      <c r="BCM340" s="104"/>
      <c r="BCN340" s="104"/>
      <c r="BCO340" s="104"/>
      <c r="BCP340" s="104"/>
      <c r="BCQ340" s="104"/>
      <c r="BCR340" s="104"/>
      <c r="BCS340" s="104"/>
      <c r="BCT340" s="104"/>
      <c r="BCU340" s="104"/>
      <c r="BCV340" s="104"/>
      <c r="BCW340" s="104"/>
      <c r="BCX340" s="104"/>
      <c r="BCY340" s="104"/>
      <c r="BCZ340" s="104"/>
      <c r="BDA340" s="104"/>
      <c r="BDB340" s="104"/>
      <c r="BDC340" s="104"/>
      <c r="BDD340" s="104"/>
      <c r="BDE340" s="104"/>
      <c r="BDF340" s="104"/>
      <c r="BDG340" s="104"/>
      <c r="BDH340" s="104"/>
      <c r="BDI340" s="104"/>
      <c r="BDJ340" s="104"/>
      <c r="BDK340" s="104"/>
      <c r="BDL340" s="104"/>
      <c r="BDM340" s="104"/>
      <c r="BDN340" s="104"/>
      <c r="BDO340" s="104"/>
      <c r="BDP340" s="104"/>
      <c r="BDQ340" s="104"/>
      <c r="BDR340" s="104"/>
      <c r="BDS340" s="104"/>
      <c r="BDT340" s="104"/>
      <c r="BDU340" s="104"/>
      <c r="BDV340" s="104"/>
      <c r="BDW340" s="104"/>
      <c r="BDX340" s="104"/>
      <c r="BDY340" s="104"/>
      <c r="BDZ340" s="104"/>
      <c r="BEA340" s="104"/>
      <c r="BEB340" s="104"/>
      <c r="BEC340" s="104"/>
      <c r="BED340" s="104"/>
      <c r="BEE340" s="104"/>
      <c r="BEF340" s="104"/>
      <c r="BEG340" s="104"/>
      <c r="BEH340" s="104"/>
      <c r="BEI340" s="104"/>
      <c r="BEJ340" s="104"/>
      <c r="BEK340" s="104"/>
      <c r="BEL340" s="104"/>
      <c r="BEM340" s="104"/>
      <c r="BEN340" s="104"/>
      <c r="BEO340" s="104"/>
      <c r="BEP340" s="104"/>
      <c r="BEQ340" s="104"/>
      <c r="BER340" s="104"/>
      <c r="BES340" s="104"/>
      <c r="BET340" s="104"/>
      <c r="BEU340" s="104"/>
      <c r="BEV340" s="104"/>
      <c r="BEW340" s="104"/>
      <c r="BEX340" s="104"/>
      <c r="BEY340" s="104"/>
      <c r="BEZ340" s="104"/>
      <c r="BFA340" s="104"/>
      <c r="BFB340" s="104"/>
      <c r="BFC340" s="104"/>
      <c r="BFD340" s="104"/>
      <c r="BFE340" s="104"/>
      <c r="BFF340" s="104"/>
      <c r="BFG340" s="104"/>
      <c r="BFH340" s="104"/>
      <c r="BFI340" s="104"/>
      <c r="BFJ340" s="104"/>
      <c r="BFK340" s="104"/>
      <c r="BFL340" s="104"/>
      <c r="BFM340" s="104"/>
      <c r="BFN340" s="104"/>
      <c r="BFO340" s="104"/>
      <c r="BFP340" s="104"/>
      <c r="BFQ340" s="104"/>
      <c r="BFR340" s="104"/>
      <c r="BFS340" s="104"/>
      <c r="BFT340" s="104"/>
      <c r="BFU340" s="104"/>
      <c r="BFV340" s="104"/>
      <c r="BFW340" s="104"/>
      <c r="BFX340" s="104"/>
      <c r="BFY340" s="104"/>
      <c r="BFZ340" s="104"/>
      <c r="BGA340" s="104"/>
      <c r="BGB340" s="104"/>
      <c r="BGC340" s="104"/>
      <c r="BGD340" s="104"/>
      <c r="BGE340" s="104"/>
      <c r="BGF340" s="104"/>
      <c r="BGG340" s="104"/>
      <c r="BGH340" s="104"/>
      <c r="BGI340" s="104"/>
      <c r="BGJ340" s="104"/>
      <c r="BGK340" s="104"/>
      <c r="BGL340" s="104"/>
      <c r="BGM340" s="104"/>
      <c r="BGN340" s="104"/>
      <c r="BGO340" s="104"/>
      <c r="BGP340" s="104"/>
      <c r="BGQ340" s="104"/>
      <c r="BGR340" s="104"/>
      <c r="BGS340" s="104"/>
      <c r="BGT340" s="104"/>
      <c r="BGU340" s="104"/>
      <c r="BGV340" s="104"/>
      <c r="BGW340" s="104"/>
      <c r="BGX340" s="104"/>
      <c r="BGY340" s="104"/>
      <c r="BGZ340" s="104"/>
      <c r="BHA340" s="104"/>
      <c r="BHB340" s="104"/>
      <c r="BHC340" s="104"/>
      <c r="BHD340" s="104"/>
      <c r="BHE340" s="104"/>
      <c r="BHF340" s="104"/>
      <c r="BHG340" s="104"/>
      <c r="BHH340" s="104"/>
      <c r="BHI340" s="104"/>
      <c r="BHJ340" s="104"/>
      <c r="BHK340" s="104"/>
      <c r="BHL340" s="104"/>
      <c r="BHM340" s="104"/>
      <c r="BHN340" s="104"/>
      <c r="BHO340" s="104"/>
      <c r="BHP340" s="104"/>
      <c r="BHQ340" s="104"/>
      <c r="BHR340" s="104"/>
      <c r="BHS340" s="104"/>
      <c r="BHT340" s="104"/>
      <c r="BHU340" s="104"/>
      <c r="BHV340" s="104"/>
      <c r="BHW340" s="104"/>
      <c r="BHX340" s="104"/>
      <c r="BHY340" s="104"/>
      <c r="BHZ340" s="104"/>
      <c r="BIA340" s="104"/>
      <c r="BIB340" s="104"/>
      <c r="BIC340" s="104"/>
      <c r="BID340" s="104"/>
      <c r="BIE340" s="104"/>
      <c r="BIF340" s="104"/>
      <c r="BIG340" s="104"/>
      <c r="BIH340" s="104"/>
      <c r="BII340" s="104"/>
      <c r="BIJ340" s="104"/>
      <c r="BIK340" s="104"/>
      <c r="BIL340" s="104"/>
      <c r="BIM340" s="104"/>
      <c r="BIN340" s="104"/>
      <c r="BIO340" s="104"/>
      <c r="BIP340" s="104"/>
      <c r="BIQ340" s="104"/>
      <c r="BIR340" s="104"/>
      <c r="BIS340" s="104"/>
      <c r="BIT340" s="104"/>
      <c r="BIU340" s="104"/>
      <c r="BIV340" s="104"/>
      <c r="BIW340" s="104"/>
      <c r="BIX340" s="104"/>
      <c r="BIY340" s="104"/>
      <c r="BIZ340" s="104"/>
      <c r="BJA340" s="104"/>
      <c r="BJB340" s="104"/>
      <c r="BJC340" s="104"/>
      <c r="BJD340" s="104"/>
      <c r="BJE340" s="104"/>
      <c r="BJF340" s="104"/>
      <c r="BJG340" s="104"/>
      <c r="BJH340" s="104"/>
      <c r="BJI340" s="104"/>
      <c r="BJJ340" s="104"/>
      <c r="BJK340" s="104"/>
      <c r="BJL340" s="104"/>
      <c r="BJM340" s="104"/>
      <c r="BJN340" s="104"/>
      <c r="BJO340" s="104"/>
      <c r="BJP340" s="104"/>
      <c r="BJQ340" s="104"/>
      <c r="BJR340" s="104"/>
      <c r="BJS340" s="104"/>
      <c r="BJT340" s="104"/>
      <c r="BJU340" s="104"/>
      <c r="BJV340" s="104"/>
      <c r="BJW340" s="104"/>
      <c r="BJX340" s="104"/>
      <c r="BJY340" s="104"/>
      <c r="BJZ340" s="104"/>
      <c r="BKA340" s="104"/>
      <c r="BKB340" s="104"/>
      <c r="BKC340" s="104"/>
      <c r="BKD340" s="104"/>
      <c r="BKE340" s="104"/>
      <c r="BKF340" s="104"/>
      <c r="BKG340" s="104"/>
      <c r="BKH340" s="104"/>
      <c r="BKI340" s="104"/>
      <c r="BKJ340" s="104"/>
      <c r="BKK340" s="104"/>
      <c r="BKL340" s="104"/>
      <c r="BKM340" s="104"/>
      <c r="BKN340" s="104"/>
      <c r="BKO340" s="104"/>
      <c r="BKP340" s="104"/>
      <c r="BKQ340" s="104"/>
      <c r="BKR340" s="104"/>
      <c r="BKS340" s="104"/>
      <c r="BKT340" s="104"/>
      <c r="BKU340" s="104"/>
      <c r="BKV340" s="104"/>
      <c r="BKW340" s="104"/>
      <c r="BKX340" s="104"/>
      <c r="BKY340" s="104"/>
      <c r="BKZ340" s="104"/>
      <c r="BLA340" s="104"/>
      <c r="BLB340" s="104"/>
      <c r="BLC340" s="104"/>
      <c r="BLD340" s="104"/>
      <c r="BLE340" s="104"/>
      <c r="BLF340" s="104"/>
      <c r="BLG340" s="104"/>
      <c r="BLH340" s="104"/>
      <c r="BLI340" s="104"/>
      <c r="BLJ340" s="104"/>
      <c r="BLK340" s="104"/>
      <c r="BLL340" s="104"/>
      <c r="BLM340" s="104"/>
      <c r="BLN340" s="104"/>
      <c r="BLO340" s="104"/>
      <c r="BLP340" s="104"/>
      <c r="BLQ340" s="104"/>
      <c r="BLR340" s="104"/>
      <c r="BLS340" s="104"/>
      <c r="BLT340" s="104"/>
      <c r="BLU340" s="104"/>
      <c r="BLV340" s="104"/>
      <c r="BLW340" s="104"/>
      <c r="BLX340" s="104"/>
      <c r="BLY340" s="104"/>
      <c r="BLZ340" s="104"/>
      <c r="BMA340" s="104"/>
      <c r="BMB340" s="104"/>
      <c r="BMC340" s="104"/>
      <c r="BMD340" s="104"/>
      <c r="BME340" s="104"/>
      <c r="BMF340" s="104"/>
      <c r="BMG340" s="104"/>
      <c r="BMH340" s="104"/>
      <c r="BMI340" s="104"/>
      <c r="BMJ340" s="104"/>
      <c r="BMK340" s="104"/>
      <c r="BML340" s="104"/>
      <c r="BMM340" s="104"/>
      <c r="BMN340" s="104"/>
      <c r="BMO340" s="104"/>
      <c r="BMP340" s="104"/>
      <c r="BMQ340" s="104"/>
      <c r="BMR340" s="104"/>
      <c r="BMS340" s="104"/>
      <c r="BMT340" s="104"/>
      <c r="BMU340" s="104"/>
      <c r="BMV340" s="104"/>
      <c r="BMW340" s="104"/>
      <c r="BMX340" s="104"/>
      <c r="BMY340" s="104"/>
      <c r="BMZ340" s="104"/>
      <c r="BNA340" s="104"/>
      <c r="BNB340" s="104"/>
      <c r="BNC340" s="104"/>
      <c r="BND340" s="104"/>
      <c r="BNE340" s="104"/>
      <c r="BNF340" s="104"/>
      <c r="BNG340" s="104"/>
      <c r="BNH340" s="104"/>
      <c r="BNI340" s="104"/>
      <c r="BNJ340" s="104"/>
      <c r="BNK340" s="104"/>
      <c r="BNL340" s="104"/>
      <c r="BNM340" s="104"/>
      <c r="BNN340" s="104"/>
      <c r="BNO340" s="104"/>
      <c r="BNP340" s="104"/>
      <c r="BNQ340" s="104"/>
      <c r="BNR340" s="104"/>
      <c r="BNS340" s="104"/>
      <c r="BNT340" s="104"/>
      <c r="BNU340" s="104"/>
      <c r="BNV340" s="104"/>
      <c r="BNW340" s="104"/>
      <c r="BNX340" s="104"/>
      <c r="BNY340" s="104"/>
      <c r="BNZ340" s="104"/>
      <c r="BOA340" s="104"/>
      <c r="BOB340" s="104"/>
      <c r="BOC340" s="104"/>
      <c r="BOD340" s="104"/>
      <c r="BOE340" s="104"/>
      <c r="BOF340" s="104"/>
      <c r="BOG340" s="104"/>
      <c r="BOH340" s="104"/>
      <c r="BOI340" s="104"/>
      <c r="BOJ340" s="104"/>
      <c r="BOK340" s="104"/>
      <c r="BOL340" s="104"/>
      <c r="BOM340" s="104"/>
      <c r="BON340" s="104"/>
      <c r="BOO340" s="104"/>
      <c r="BOP340" s="104"/>
      <c r="BOQ340" s="104"/>
      <c r="BOR340" s="104"/>
      <c r="BOS340" s="104"/>
      <c r="BOT340" s="104"/>
      <c r="BOU340" s="104"/>
      <c r="BOV340" s="104"/>
      <c r="BOW340" s="104"/>
      <c r="BOX340" s="104"/>
      <c r="BOY340" s="104"/>
      <c r="BOZ340" s="104"/>
      <c r="BPA340" s="104"/>
      <c r="BPB340" s="104"/>
      <c r="BPC340" s="104"/>
      <c r="BPD340" s="104"/>
      <c r="BPE340" s="104"/>
      <c r="BPF340" s="104"/>
      <c r="BPG340" s="104"/>
      <c r="BPH340" s="104"/>
      <c r="BPI340" s="104"/>
      <c r="BPJ340" s="104"/>
      <c r="BPK340" s="104"/>
      <c r="BPL340" s="104"/>
      <c r="BPM340" s="104"/>
      <c r="BPN340" s="104"/>
      <c r="BPO340" s="104"/>
      <c r="BPP340" s="104"/>
      <c r="BPQ340" s="104"/>
      <c r="BPR340" s="104"/>
      <c r="BPS340" s="104"/>
      <c r="BPT340" s="104"/>
      <c r="BPU340" s="104"/>
      <c r="BPV340" s="104"/>
      <c r="BPW340" s="104"/>
      <c r="BPX340" s="104"/>
      <c r="BPY340" s="104"/>
      <c r="BPZ340" s="104"/>
      <c r="BQA340" s="104"/>
      <c r="BQB340" s="104"/>
      <c r="BQC340" s="104"/>
      <c r="BQD340" s="104"/>
      <c r="BQE340" s="104"/>
      <c r="BQF340" s="104"/>
      <c r="BQG340" s="104"/>
      <c r="BQH340" s="104"/>
      <c r="BQI340" s="104"/>
      <c r="BQJ340" s="104"/>
      <c r="BQK340" s="104"/>
      <c r="BQL340" s="104"/>
      <c r="BQM340" s="104"/>
      <c r="BQN340" s="104"/>
      <c r="BQO340" s="104"/>
      <c r="BQP340" s="104"/>
      <c r="BQQ340" s="104"/>
      <c r="BQR340" s="104"/>
      <c r="BQS340" s="104"/>
      <c r="BQT340" s="104"/>
      <c r="BQU340" s="104"/>
      <c r="BQV340" s="104"/>
      <c r="BQW340" s="104"/>
      <c r="BQX340" s="104"/>
      <c r="BQY340" s="104"/>
      <c r="BQZ340" s="104"/>
      <c r="BRA340" s="104"/>
      <c r="BRB340" s="104"/>
      <c r="BRC340" s="104"/>
      <c r="BRD340" s="104"/>
      <c r="BRE340" s="104"/>
      <c r="BRF340" s="104"/>
      <c r="BRG340" s="104"/>
      <c r="BRH340" s="104"/>
      <c r="BRI340" s="104"/>
      <c r="BRJ340" s="104"/>
      <c r="BRK340" s="104"/>
      <c r="BRL340" s="104"/>
      <c r="BRM340" s="104"/>
      <c r="BRN340" s="104"/>
      <c r="BRO340" s="104"/>
      <c r="BRP340" s="104"/>
      <c r="BRQ340" s="104"/>
      <c r="BRR340" s="104"/>
      <c r="BRS340" s="104"/>
      <c r="BRT340" s="104"/>
      <c r="BRU340" s="104"/>
      <c r="BRV340" s="104"/>
      <c r="BRW340" s="104"/>
      <c r="BRX340" s="104"/>
      <c r="BRY340" s="104"/>
      <c r="BRZ340" s="104"/>
      <c r="BSA340" s="104"/>
      <c r="BSB340" s="104"/>
      <c r="BSC340" s="104"/>
      <c r="BSD340" s="104"/>
      <c r="BSE340" s="104"/>
      <c r="BSF340" s="104"/>
      <c r="BSG340" s="104"/>
      <c r="BSH340" s="104"/>
      <c r="BSI340" s="104"/>
      <c r="BSJ340" s="104"/>
      <c r="BSK340" s="104"/>
      <c r="BSL340" s="104"/>
      <c r="BSM340" s="104"/>
      <c r="BSN340" s="104"/>
      <c r="BSO340" s="104"/>
      <c r="BSP340" s="104"/>
      <c r="BSQ340" s="104"/>
      <c r="BSR340" s="104"/>
      <c r="BSS340" s="104"/>
      <c r="BST340" s="104"/>
      <c r="BSU340" s="104"/>
      <c r="BSV340" s="104"/>
      <c r="BSW340" s="104"/>
      <c r="BSX340" s="104"/>
      <c r="BSY340" s="104"/>
      <c r="BSZ340" s="104"/>
      <c r="BTA340" s="104"/>
      <c r="BTB340" s="104"/>
      <c r="BTC340" s="104"/>
      <c r="BTD340" s="104"/>
      <c r="BTE340" s="104"/>
      <c r="BTF340" s="104"/>
      <c r="BTG340" s="104"/>
      <c r="BTH340" s="104"/>
      <c r="BTI340" s="104"/>
      <c r="BTJ340" s="104"/>
      <c r="BTK340" s="104"/>
      <c r="BTL340" s="104"/>
      <c r="BTM340" s="104"/>
      <c r="BTN340" s="104"/>
      <c r="BTO340" s="104"/>
      <c r="BTP340" s="104"/>
      <c r="BTQ340" s="104"/>
      <c r="BTR340" s="104"/>
      <c r="BTS340" s="104"/>
      <c r="BTT340" s="104"/>
      <c r="BTU340" s="104"/>
      <c r="BTV340" s="104"/>
      <c r="BTW340" s="104"/>
      <c r="BTX340" s="104"/>
      <c r="BTY340" s="104"/>
      <c r="BTZ340" s="104"/>
      <c r="BUA340" s="104"/>
      <c r="BUB340" s="104"/>
      <c r="BUC340" s="104"/>
      <c r="BUD340" s="104"/>
      <c r="BUE340" s="104"/>
      <c r="BUF340" s="104"/>
      <c r="BUG340" s="104"/>
      <c r="BUH340" s="104"/>
      <c r="BUI340" s="104"/>
      <c r="BUJ340" s="104"/>
      <c r="BUK340" s="104"/>
      <c r="BUL340" s="104"/>
      <c r="BUM340" s="104"/>
      <c r="BUN340" s="104"/>
      <c r="BUO340" s="104"/>
      <c r="BUP340" s="104"/>
      <c r="BUQ340" s="104"/>
      <c r="BUR340" s="104"/>
      <c r="BUS340" s="104"/>
      <c r="BUT340" s="104"/>
      <c r="BUU340" s="104"/>
      <c r="BUV340" s="104"/>
      <c r="BUW340" s="104"/>
      <c r="BUX340" s="104"/>
      <c r="BUY340" s="104"/>
      <c r="BUZ340" s="104"/>
      <c r="BVA340" s="104"/>
      <c r="BVB340" s="104"/>
      <c r="BVC340" s="104"/>
      <c r="BVD340" s="104"/>
      <c r="BVE340" s="104"/>
      <c r="BVF340" s="104"/>
      <c r="BVG340" s="104"/>
      <c r="BVH340" s="104"/>
      <c r="BVI340" s="104"/>
      <c r="BVJ340" s="104"/>
      <c r="BVK340" s="104"/>
      <c r="BVL340" s="104"/>
      <c r="BVM340" s="104"/>
      <c r="BVN340" s="104"/>
      <c r="BVO340" s="104"/>
      <c r="BVP340" s="104"/>
      <c r="BVQ340" s="104"/>
      <c r="BVR340" s="104"/>
      <c r="BVS340" s="104"/>
      <c r="BVT340" s="104"/>
      <c r="BVU340" s="104"/>
      <c r="BVV340" s="104"/>
      <c r="BVW340" s="104"/>
      <c r="BVX340" s="104"/>
      <c r="BVY340" s="104"/>
      <c r="BVZ340" s="104"/>
      <c r="BWA340" s="104"/>
      <c r="BWB340" s="104"/>
      <c r="BWC340" s="104"/>
      <c r="BWD340" s="104"/>
      <c r="BWE340" s="104"/>
      <c r="BWF340" s="104"/>
      <c r="BWG340" s="104"/>
      <c r="BWH340" s="104"/>
      <c r="BWI340" s="104"/>
      <c r="BWJ340" s="104"/>
      <c r="BWK340" s="104"/>
      <c r="BWL340" s="104"/>
      <c r="BWM340" s="104"/>
      <c r="BWN340" s="104"/>
      <c r="BWO340" s="104"/>
      <c r="BWP340" s="104"/>
      <c r="BWQ340" s="104"/>
      <c r="BWR340" s="104"/>
      <c r="BWS340" s="104"/>
      <c r="BWT340" s="104"/>
      <c r="BWU340" s="104"/>
      <c r="BWV340" s="104"/>
      <c r="BWW340" s="104"/>
      <c r="BWX340" s="104"/>
      <c r="BWY340" s="104"/>
      <c r="BWZ340" s="104"/>
      <c r="BXA340" s="104"/>
      <c r="BXB340" s="104"/>
      <c r="BXC340" s="104"/>
      <c r="BXD340" s="104"/>
      <c r="BXE340" s="104"/>
      <c r="BXF340" s="104"/>
      <c r="BXG340" s="104"/>
      <c r="BXH340" s="104"/>
      <c r="BXI340" s="104"/>
      <c r="BXJ340" s="104"/>
      <c r="BXK340" s="104"/>
      <c r="BXL340" s="104"/>
      <c r="BXM340" s="104"/>
      <c r="BXN340" s="104"/>
      <c r="BXO340" s="104"/>
      <c r="BXP340" s="104"/>
      <c r="BXQ340" s="104"/>
      <c r="BXR340" s="104"/>
      <c r="BXS340" s="104"/>
      <c r="BXT340" s="104"/>
      <c r="BXU340" s="104"/>
      <c r="BXV340" s="104"/>
      <c r="BXW340" s="104"/>
      <c r="BXX340" s="104"/>
      <c r="BXY340" s="104"/>
      <c r="BXZ340" s="104"/>
      <c r="BYA340" s="104"/>
      <c r="BYB340" s="104"/>
      <c r="BYC340" s="104"/>
      <c r="BYD340" s="104"/>
      <c r="BYE340" s="104"/>
      <c r="BYF340" s="104"/>
      <c r="BYG340" s="104"/>
      <c r="BYH340" s="104"/>
      <c r="BYI340" s="104"/>
      <c r="BYJ340" s="104"/>
      <c r="BYK340" s="104"/>
      <c r="BYL340" s="104"/>
      <c r="BYM340" s="104"/>
      <c r="BYN340" s="104"/>
      <c r="BYO340" s="104"/>
      <c r="BYP340" s="104"/>
      <c r="BYQ340" s="104"/>
      <c r="BYR340" s="104"/>
      <c r="BYS340" s="104"/>
      <c r="BYT340" s="104"/>
      <c r="BYU340" s="104"/>
      <c r="BYV340" s="104"/>
      <c r="BYW340" s="104"/>
      <c r="BYX340" s="104"/>
      <c r="BYY340" s="104"/>
      <c r="BYZ340" s="104"/>
      <c r="BZA340" s="104"/>
      <c r="BZB340" s="104"/>
      <c r="BZC340" s="104"/>
      <c r="BZD340" s="104"/>
      <c r="BZE340" s="104"/>
      <c r="BZF340" s="104"/>
      <c r="BZG340" s="104"/>
      <c r="BZH340" s="104"/>
      <c r="BZI340" s="104"/>
      <c r="BZJ340" s="104"/>
      <c r="BZK340" s="104"/>
      <c r="BZL340" s="104"/>
      <c r="BZM340" s="104"/>
      <c r="BZN340" s="104"/>
      <c r="BZO340" s="104"/>
      <c r="BZP340" s="104"/>
      <c r="BZQ340" s="104"/>
      <c r="BZR340" s="104"/>
      <c r="BZS340" s="104"/>
      <c r="BZT340" s="104"/>
      <c r="BZU340" s="104"/>
      <c r="BZV340" s="104"/>
      <c r="BZW340" s="104"/>
      <c r="BZX340" s="104"/>
      <c r="BZY340" s="104"/>
      <c r="BZZ340" s="104"/>
      <c r="CAA340" s="104"/>
      <c r="CAB340" s="104"/>
      <c r="CAC340" s="104"/>
      <c r="CAD340" s="104"/>
      <c r="CAE340" s="104"/>
      <c r="CAF340" s="104"/>
      <c r="CAG340" s="104"/>
      <c r="CAH340" s="104"/>
      <c r="CAI340" s="104"/>
      <c r="CAJ340" s="104"/>
      <c r="CAK340" s="104"/>
      <c r="CAL340" s="104"/>
      <c r="CAM340" s="104"/>
      <c r="CAN340" s="104"/>
      <c r="CAO340" s="104"/>
      <c r="CAP340" s="104"/>
      <c r="CAQ340" s="104"/>
      <c r="CAR340" s="104"/>
      <c r="CAS340" s="104"/>
      <c r="CAT340" s="104"/>
      <c r="CAU340" s="104"/>
      <c r="CAV340" s="104"/>
      <c r="CAW340" s="104"/>
      <c r="CAX340" s="104"/>
      <c r="CAY340" s="104"/>
      <c r="CAZ340" s="104"/>
      <c r="CBA340" s="104"/>
      <c r="CBB340" s="104"/>
      <c r="CBC340" s="104"/>
      <c r="CBD340" s="104"/>
      <c r="CBE340" s="104"/>
      <c r="CBF340" s="104"/>
      <c r="CBG340" s="104"/>
      <c r="CBH340" s="104"/>
      <c r="CBI340" s="104"/>
      <c r="CBJ340" s="104"/>
      <c r="CBK340" s="104"/>
      <c r="CBL340" s="104"/>
      <c r="CBM340" s="104"/>
      <c r="CBN340" s="104"/>
      <c r="CBO340" s="104"/>
      <c r="CBP340" s="104"/>
      <c r="CBQ340" s="104"/>
      <c r="CBR340" s="104"/>
      <c r="CBS340" s="104"/>
      <c r="CBT340" s="104"/>
      <c r="CBU340" s="104"/>
      <c r="CBV340" s="104"/>
      <c r="CBW340" s="104"/>
      <c r="CBX340" s="104"/>
      <c r="CBY340" s="104"/>
      <c r="CBZ340" s="104"/>
      <c r="CCA340" s="104"/>
      <c r="CCB340" s="104"/>
      <c r="CCC340" s="104"/>
      <c r="CCD340" s="104"/>
      <c r="CCE340" s="104"/>
      <c r="CCF340" s="104"/>
      <c r="CCG340" s="104"/>
      <c r="CCH340" s="104"/>
      <c r="CCI340" s="104"/>
      <c r="CCJ340" s="104"/>
      <c r="CCK340" s="104"/>
      <c r="CCL340" s="104"/>
      <c r="CCM340" s="104"/>
      <c r="CCN340" s="104"/>
      <c r="CCO340" s="104"/>
      <c r="CCP340" s="104"/>
      <c r="CCQ340" s="104"/>
      <c r="CCR340" s="104"/>
      <c r="CCS340" s="104"/>
      <c r="CCT340" s="104"/>
      <c r="CCU340" s="104"/>
      <c r="CCV340" s="104"/>
      <c r="CCW340" s="104"/>
      <c r="CCX340" s="104"/>
      <c r="CCY340" s="104"/>
      <c r="CCZ340" s="104"/>
      <c r="CDA340" s="104"/>
      <c r="CDB340" s="104"/>
      <c r="CDC340" s="104"/>
      <c r="CDD340" s="104"/>
      <c r="CDE340" s="104"/>
      <c r="CDF340" s="104"/>
      <c r="CDG340" s="104"/>
      <c r="CDH340" s="104"/>
      <c r="CDI340" s="104"/>
      <c r="CDJ340" s="104"/>
      <c r="CDK340" s="104"/>
      <c r="CDL340" s="104"/>
      <c r="CDM340" s="104"/>
      <c r="CDN340" s="104"/>
      <c r="CDO340" s="104"/>
      <c r="CDP340" s="104"/>
      <c r="CDQ340" s="104"/>
      <c r="CDR340" s="104"/>
      <c r="CDS340" s="104"/>
      <c r="CDT340" s="104"/>
      <c r="CDU340" s="104"/>
      <c r="CDV340" s="104"/>
      <c r="CDW340" s="104"/>
      <c r="CDX340" s="104"/>
      <c r="CDY340" s="104"/>
      <c r="CDZ340" s="104"/>
      <c r="CEA340" s="104"/>
      <c r="CEB340" s="104"/>
      <c r="CEC340" s="104"/>
      <c r="CED340" s="104"/>
      <c r="CEE340" s="104"/>
      <c r="CEF340" s="104"/>
      <c r="CEG340" s="104"/>
      <c r="CEH340" s="104"/>
      <c r="CEI340" s="104"/>
      <c r="CEJ340" s="104"/>
      <c r="CEK340" s="104"/>
      <c r="CEL340" s="104"/>
      <c r="CEM340" s="104"/>
      <c r="CEN340" s="104"/>
      <c r="CEO340" s="104"/>
      <c r="CEP340" s="104"/>
      <c r="CEQ340" s="104"/>
      <c r="CER340" s="104"/>
      <c r="CES340" s="104"/>
      <c r="CET340" s="104"/>
      <c r="CEU340" s="104"/>
      <c r="CEV340" s="104"/>
      <c r="CEW340" s="104"/>
      <c r="CEX340" s="104"/>
      <c r="CEY340" s="104"/>
      <c r="CEZ340" s="104"/>
      <c r="CFA340" s="104"/>
      <c r="CFB340" s="104"/>
      <c r="CFC340" s="104"/>
      <c r="CFD340" s="104"/>
      <c r="CFE340" s="104"/>
      <c r="CFF340" s="104"/>
      <c r="CFG340" s="104"/>
      <c r="CFH340" s="104"/>
      <c r="CFI340" s="104"/>
      <c r="CFJ340" s="104"/>
      <c r="CFK340" s="104"/>
      <c r="CFL340" s="104"/>
      <c r="CFM340" s="104"/>
      <c r="CFN340" s="104"/>
      <c r="CFO340" s="104"/>
      <c r="CFP340" s="104"/>
      <c r="CFQ340" s="104"/>
      <c r="CFR340" s="104"/>
      <c r="CFS340" s="104"/>
      <c r="CFT340" s="104"/>
      <c r="CFU340" s="104"/>
      <c r="CFV340" s="104"/>
      <c r="CFW340" s="104"/>
      <c r="CFX340" s="104"/>
      <c r="CFY340" s="104"/>
      <c r="CFZ340" s="104"/>
      <c r="CGA340" s="104"/>
      <c r="CGB340" s="104"/>
      <c r="CGC340" s="104"/>
      <c r="CGD340" s="104"/>
      <c r="CGE340" s="104"/>
      <c r="CGF340" s="104"/>
      <c r="CGG340" s="104"/>
      <c r="CGH340" s="104"/>
      <c r="CGI340" s="104"/>
      <c r="CGJ340" s="104"/>
      <c r="CGK340" s="104"/>
      <c r="CGL340" s="104"/>
      <c r="CGM340" s="104"/>
      <c r="CGN340" s="104"/>
      <c r="CGO340" s="104"/>
      <c r="CGP340" s="104"/>
      <c r="CGQ340" s="104"/>
      <c r="CGR340" s="104"/>
      <c r="CGS340" s="104"/>
      <c r="CGT340" s="104"/>
      <c r="CGU340" s="104"/>
      <c r="CGV340" s="104"/>
      <c r="CGW340" s="104"/>
      <c r="CGX340" s="104"/>
      <c r="CGY340" s="104"/>
      <c r="CGZ340" s="104"/>
      <c r="CHA340" s="104"/>
      <c r="CHB340" s="104"/>
      <c r="CHC340" s="104"/>
      <c r="CHD340" s="104"/>
      <c r="CHE340" s="104"/>
      <c r="CHF340" s="104"/>
      <c r="CHG340" s="104"/>
      <c r="CHH340" s="104"/>
      <c r="CHI340" s="104"/>
      <c r="CHJ340" s="104"/>
      <c r="CHK340" s="104"/>
      <c r="CHL340" s="104"/>
      <c r="CHM340" s="104"/>
      <c r="CHN340" s="104"/>
      <c r="CHO340" s="104"/>
      <c r="CHP340" s="104"/>
      <c r="CHQ340" s="104"/>
      <c r="CHR340" s="104"/>
      <c r="CHS340" s="104"/>
      <c r="CHT340" s="104"/>
      <c r="CHU340" s="104"/>
      <c r="CHV340" s="104"/>
      <c r="CHW340" s="104"/>
      <c r="CHX340" s="104"/>
      <c r="CHY340" s="104"/>
      <c r="CHZ340" s="104"/>
      <c r="CIA340" s="104"/>
      <c r="CIB340" s="104"/>
      <c r="CIC340" s="104"/>
      <c r="CID340" s="104"/>
      <c r="CIE340" s="104"/>
      <c r="CIF340" s="104"/>
      <c r="CIG340" s="104"/>
      <c r="CIH340" s="104"/>
      <c r="CII340" s="104"/>
      <c r="CIJ340" s="104"/>
      <c r="CIK340" s="104"/>
      <c r="CIL340" s="104"/>
      <c r="CIM340" s="104"/>
      <c r="CIN340" s="104"/>
      <c r="CIO340" s="104"/>
      <c r="CIP340" s="104"/>
      <c r="CIQ340" s="104"/>
      <c r="CIR340" s="104"/>
      <c r="CIS340" s="104"/>
      <c r="CIT340" s="104"/>
      <c r="CIU340" s="104"/>
      <c r="CIV340" s="104"/>
      <c r="CIW340" s="104"/>
      <c r="CIX340" s="104"/>
      <c r="CIY340" s="104"/>
      <c r="CIZ340" s="104"/>
      <c r="CJA340" s="104"/>
      <c r="CJB340" s="104"/>
      <c r="CJC340" s="104"/>
      <c r="CJD340" s="104"/>
      <c r="CJE340" s="104"/>
      <c r="CJF340" s="104"/>
      <c r="CJG340" s="104"/>
      <c r="CJH340" s="104"/>
      <c r="CJI340" s="104"/>
      <c r="CJJ340" s="104"/>
      <c r="CJK340" s="104"/>
      <c r="CJL340" s="104"/>
      <c r="CJM340" s="104"/>
      <c r="CJN340" s="104"/>
      <c r="CJO340" s="104"/>
      <c r="CJP340" s="104"/>
      <c r="CJQ340" s="104"/>
      <c r="CJR340" s="104"/>
      <c r="CJS340" s="104"/>
      <c r="CJT340" s="104"/>
      <c r="CJU340" s="104"/>
      <c r="CJV340" s="104"/>
      <c r="CJW340" s="104"/>
      <c r="CJX340" s="104"/>
      <c r="CJY340" s="104"/>
      <c r="CJZ340" s="104"/>
      <c r="CKA340" s="104"/>
      <c r="CKB340" s="104"/>
      <c r="CKC340" s="104"/>
      <c r="CKD340" s="104"/>
      <c r="CKE340" s="104"/>
      <c r="CKF340" s="104"/>
      <c r="CKG340" s="104"/>
      <c r="CKH340" s="104"/>
      <c r="CKI340" s="104"/>
      <c r="CKJ340" s="104"/>
      <c r="CKK340" s="104"/>
      <c r="CKL340" s="104"/>
      <c r="CKM340" s="104"/>
      <c r="CKN340" s="104"/>
      <c r="CKO340" s="104"/>
      <c r="CKP340" s="104"/>
      <c r="CKQ340" s="104"/>
      <c r="CKR340" s="104"/>
      <c r="CKS340" s="104"/>
      <c r="CKT340" s="104"/>
      <c r="CKU340" s="104"/>
      <c r="CKV340" s="104"/>
      <c r="CKW340" s="104"/>
      <c r="CKX340" s="104"/>
      <c r="CKY340" s="104"/>
      <c r="CKZ340" s="104"/>
      <c r="CLA340" s="104"/>
      <c r="CLB340" s="104"/>
      <c r="CLC340" s="104"/>
      <c r="CLD340" s="104"/>
      <c r="CLE340" s="104"/>
      <c r="CLF340" s="104"/>
      <c r="CLG340" s="104"/>
      <c r="CLH340" s="104"/>
      <c r="CLI340" s="104"/>
      <c r="CLJ340" s="104"/>
      <c r="CLK340" s="104"/>
      <c r="CLL340" s="104"/>
      <c r="CLM340" s="104"/>
      <c r="CLN340" s="104"/>
      <c r="CLO340" s="104"/>
      <c r="CLP340" s="104"/>
      <c r="CLQ340" s="104"/>
      <c r="CLR340" s="104"/>
      <c r="CLS340" s="104"/>
      <c r="CLT340" s="104"/>
      <c r="CLU340" s="104"/>
      <c r="CLV340" s="104"/>
      <c r="CLW340" s="104"/>
      <c r="CLX340" s="104"/>
      <c r="CLY340" s="104"/>
      <c r="CLZ340" s="104"/>
      <c r="CMA340" s="104"/>
      <c r="CMB340" s="104"/>
      <c r="CMC340" s="104"/>
      <c r="CMD340" s="104"/>
      <c r="CME340" s="104"/>
      <c r="CMF340" s="104"/>
      <c r="CMG340" s="104"/>
      <c r="CMH340" s="104"/>
      <c r="CMI340" s="104"/>
      <c r="CMJ340" s="104"/>
      <c r="CMK340" s="104"/>
      <c r="CML340" s="104"/>
      <c r="CMM340" s="104"/>
      <c r="CMN340" s="104"/>
      <c r="CMO340" s="104"/>
      <c r="CMP340" s="104"/>
      <c r="CMQ340" s="104"/>
      <c r="CMR340" s="104"/>
      <c r="CMS340" s="104"/>
      <c r="CMT340" s="104"/>
      <c r="CMU340" s="104"/>
      <c r="CMV340" s="104"/>
      <c r="CMW340" s="104"/>
      <c r="CMX340" s="104"/>
      <c r="CMY340" s="104"/>
      <c r="CMZ340" s="104"/>
      <c r="CNA340" s="104"/>
      <c r="CNB340" s="104"/>
      <c r="CNC340" s="104"/>
      <c r="CND340" s="104"/>
      <c r="CNE340" s="104"/>
      <c r="CNF340" s="104"/>
      <c r="CNG340" s="104"/>
      <c r="CNH340" s="104"/>
      <c r="CNI340" s="104"/>
      <c r="CNJ340" s="104"/>
      <c r="CNK340" s="104"/>
      <c r="CNL340" s="104"/>
      <c r="CNM340" s="104"/>
      <c r="CNN340" s="104"/>
      <c r="CNO340" s="104"/>
      <c r="CNP340" s="104"/>
      <c r="CNQ340" s="104"/>
      <c r="CNR340" s="104"/>
      <c r="CNS340" s="104"/>
      <c r="CNT340" s="104"/>
      <c r="CNU340" s="104"/>
      <c r="CNV340" s="104"/>
      <c r="CNW340" s="104"/>
      <c r="CNX340" s="104"/>
      <c r="CNY340" s="104"/>
      <c r="CNZ340" s="104"/>
      <c r="COA340" s="104"/>
      <c r="COB340" s="104"/>
      <c r="COC340" s="104"/>
      <c r="COD340" s="104"/>
      <c r="COE340" s="104"/>
      <c r="COF340" s="104"/>
      <c r="COG340" s="104"/>
      <c r="COH340" s="104"/>
      <c r="COI340" s="104"/>
      <c r="COJ340" s="104"/>
      <c r="COK340" s="104"/>
      <c r="COL340" s="104"/>
      <c r="COM340" s="104"/>
      <c r="CON340" s="104"/>
      <c r="COO340" s="104"/>
      <c r="COP340" s="104"/>
      <c r="COQ340" s="104"/>
      <c r="COR340" s="104"/>
      <c r="COS340" s="104"/>
      <c r="COT340" s="104"/>
      <c r="COU340" s="104"/>
      <c r="COV340" s="104"/>
      <c r="COW340" s="104"/>
      <c r="COX340" s="104"/>
      <c r="COY340" s="104"/>
      <c r="COZ340" s="104"/>
      <c r="CPA340" s="104"/>
      <c r="CPB340" s="104"/>
      <c r="CPC340" s="104"/>
      <c r="CPD340" s="104"/>
      <c r="CPE340" s="104"/>
      <c r="CPF340" s="104"/>
      <c r="CPG340" s="104"/>
      <c r="CPH340" s="104"/>
      <c r="CPI340" s="104"/>
      <c r="CPJ340" s="104"/>
      <c r="CPK340" s="104"/>
      <c r="CPL340" s="104"/>
      <c r="CPM340" s="104"/>
      <c r="CPN340" s="104"/>
      <c r="CPO340" s="104"/>
      <c r="CPP340" s="104"/>
      <c r="CPQ340" s="104"/>
      <c r="CPR340" s="104"/>
      <c r="CPS340" s="104"/>
      <c r="CPT340" s="104"/>
      <c r="CPU340" s="104"/>
      <c r="CPV340" s="104"/>
      <c r="CPW340" s="104"/>
      <c r="CPX340" s="104"/>
      <c r="CPY340" s="104"/>
      <c r="CPZ340" s="104"/>
      <c r="CQA340" s="104"/>
      <c r="CQB340" s="104"/>
      <c r="CQC340" s="104"/>
      <c r="CQD340" s="104"/>
      <c r="CQE340" s="104"/>
      <c r="CQF340" s="104"/>
      <c r="CQG340" s="104"/>
      <c r="CQH340" s="104"/>
      <c r="CQI340" s="104"/>
      <c r="CQJ340" s="104"/>
      <c r="CQK340" s="104"/>
      <c r="CQL340" s="104"/>
      <c r="CQM340" s="104"/>
      <c r="CQN340" s="104"/>
      <c r="CQO340" s="104"/>
      <c r="CQP340" s="104"/>
      <c r="CQQ340" s="104"/>
      <c r="CQR340" s="104"/>
      <c r="CQS340" s="104"/>
      <c r="CQT340" s="104"/>
      <c r="CQU340" s="104"/>
      <c r="CQV340" s="104"/>
      <c r="CQW340" s="104"/>
      <c r="CQX340" s="104"/>
      <c r="CQY340" s="104"/>
      <c r="CQZ340" s="104"/>
      <c r="CRA340" s="104"/>
      <c r="CRB340" s="104"/>
      <c r="CRC340" s="104"/>
      <c r="CRD340" s="104"/>
      <c r="CRE340" s="104"/>
      <c r="CRF340" s="104"/>
      <c r="CRG340" s="104"/>
      <c r="CRH340" s="104"/>
      <c r="CRI340" s="104"/>
      <c r="CRJ340" s="104"/>
      <c r="CRK340" s="104"/>
      <c r="CRL340" s="104"/>
      <c r="CRM340" s="104"/>
      <c r="CRN340" s="104"/>
      <c r="CRO340" s="104"/>
      <c r="CRP340" s="104"/>
      <c r="CRQ340" s="104"/>
      <c r="CRR340" s="104"/>
      <c r="CRS340" s="104"/>
      <c r="CRT340" s="104"/>
      <c r="CRU340" s="104"/>
      <c r="CRV340" s="104"/>
      <c r="CRW340" s="104"/>
      <c r="CRX340" s="104"/>
      <c r="CRY340" s="104"/>
      <c r="CRZ340" s="104"/>
      <c r="CSA340" s="104"/>
      <c r="CSB340" s="104"/>
      <c r="CSC340" s="104"/>
      <c r="CSD340" s="104"/>
      <c r="CSE340" s="104"/>
      <c r="CSF340" s="104"/>
      <c r="CSG340" s="104"/>
      <c r="CSH340" s="104"/>
      <c r="CSI340" s="104"/>
      <c r="CSJ340" s="104"/>
      <c r="CSK340" s="104"/>
      <c r="CSL340" s="104"/>
      <c r="CSM340" s="104"/>
      <c r="CSN340" s="104"/>
      <c r="CSO340" s="104"/>
      <c r="CSP340" s="104"/>
      <c r="CSQ340" s="104"/>
      <c r="CSR340" s="104"/>
      <c r="CSS340" s="104"/>
      <c r="CST340" s="104"/>
      <c r="CSU340" s="104"/>
      <c r="CSV340" s="104"/>
      <c r="CSW340" s="104"/>
      <c r="CSX340" s="104"/>
      <c r="CSY340" s="104"/>
      <c r="CSZ340" s="104"/>
      <c r="CTA340" s="104"/>
      <c r="CTB340" s="104"/>
      <c r="CTC340" s="104"/>
      <c r="CTD340" s="104"/>
      <c r="CTE340" s="104"/>
      <c r="CTF340" s="104"/>
      <c r="CTG340" s="104"/>
      <c r="CTH340" s="104"/>
      <c r="CTI340" s="104"/>
      <c r="CTJ340" s="104"/>
      <c r="CTK340" s="104"/>
      <c r="CTL340" s="104"/>
      <c r="CTM340" s="104"/>
      <c r="CTN340" s="104"/>
      <c r="CTO340" s="104"/>
      <c r="CTP340" s="104"/>
      <c r="CTQ340" s="104"/>
      <c r="CTR340" s="104"/>
      <c r="CTS340" s="104"/>
      <c r="CTT340" s="104"/>
      <c r="CTU340" s="104"/>
      <c r="CTV340" s="104"/>
      <c r="CTW340" s="104"/>
      <c r="CTX340" s="104"/>
      <c r="CTY340" s="104"/>
      <c r="CTZ340" s="104"/>
      <c r="CUA340" s="104"/>
    </row>
    <row r="341" s="78" customFormat="1" spans="1:2575">
      <c r="A341" s="117"/>
      <c r="B341" s="116"/>
      <c r="C341" s="116"/>
      <c r="D341" s="116"/>
      <c r="E341" s="116"/>
      <c r="F341" s="116"/>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c r="BB341" s="104"/>
      <c r="BC341" s="104"/>
      <c r="BD341" s="104"/>
      <c r="BE341" s="104"/>
      <c r="BF341" s="104"/>
      <c r="BG341" s="104"/>
      <c r="BH341" s="104"/>
      <c r="BI341" s="104"/>
      <c r="BJ341" s="104"/>
      <c r="BK341" s="104"/>
      <c r="BL341" s="104"/>
      <c r="BM341" s="104"/>
      <c r="BN341" s="104"/>
      <c r="BO341" s="104"/>
      <c r="BP341" s="104"/>
      <c r="BQ341" s="104"/>
      <c r="BR341" s="104"/>
      <c r="BS341" s="104"/>
      <c r="BT341" s="104"/>
      <c r="BU341" s="104"/>
      <c r="BV341" s="104"/>
      <c r="BW341" s="104"/>
      <c r="BX341" s="104"/>
      <c r="BY341" s="104"/>
      <c r="BZ341" s="104"/>
      <c r="CA341" s="104"/>
      <c r="CB341" s="104"/>
      <c r="CC341" s="104"/>
      <c r="CD341" s="104"/>
      <c r="CE341" s="104"/>
      <c r="CF341" s="104"/>
      <c r="CG341" s="104"/>
      <c r="CH341" s="104"/>
      <c r="CI341" s="104"/>
      <c r="CJ341" s="104"/>
      <c r="CK341" s="104"/>
      <c r="CL341" s="104"/>
      <c r="CM341" s="104"/>
      <c r="CN341" s="104"/>
      <c r="CO341" s="104"/>
      <c r="CP341" s="104"/>
      <c r="CQ341" s="104"/>
      <c r="CR341" s="104"/>
      <c r="CS341" s="104"/>
      <c r="CT341" s="104"/>
      <c r="CU341" s="104"/>
      <c r="CV341" s="104"/>
      <c r="CW341" s="104"/>
      <c r="CX341" s="104"/>
      <c r="CY341" s="104"/>
      <c r="CZ341" s="104"/>
      <c r="DA341" s="104"/>
      <c r="DB341" s="104"/>
      <c r="DC341" s="104"/>
      <c r="DD341" s="104"/>
      <c r="DE341" s="104"/>
      <c r="DF341" s="104"/>
      <c r="DG341" s="104"/>
      <c r="DH341" s="104"/>
      <c r="DI341" s="104"/>
      <c r="DJ341" s="104"/>
      <c r="DK341" s="104"/>
      <c r="DL341" s="104"/>
      <c r="DM341" s="104"/>
      <c r="DN341" s="104"/>
      <c r="DO341" s="104"/>
      <c r="DP341" s="104"/>
      <c r="DQ341" s="104"/>
      <c r="DR341" s="104"/>
      <c r="DS341" s="104"/>
      <c r="DT341" s="104"/>
      <c r="DU341" s="104"/>
      <c r="DV341" s="104"/>
      <c r="DW341" s="104"/>
      <c r="DX341" s="104"/>
      <c r="DY341" s="104"/>
      <c r="DZ341" s="104"/>
      <c r="EA341" s="104"/>
      <c r="EB341" s="104"/>
      <c r="EC341" s="104"/>
      <c r="ED341" s="104"/>
      <c r="EE341" s="104"/>
      <c r="EF341" s="104"/>
      <c r="EG341" s="104"/>
      <c r="EH341" s="104"/>
      <c r="EI341" s="104"/>
      <c r="EJ341" s="104"/>
      <c r="EK341" s="104"/>
      <c r="EL341" s="104"/>
      <c r="EM341" s="104"/>
      <c r="EN341" s="104"/>
      <c r="EO341" s="104"/>
      <c r="EP341" s="104"/>
      <c r="EQ341" s="104"/>
      <c r="ER341" s="104"/>
      <c r="ES341" s="104"/>
      <c r="ET341" s="104"/>
      <c r="EU341" s="104"/>
      <c r="EV341" s="104"/>
      <c r="EW341" s="104"/>
      <c r="EX341" s="104"/>
      <c r="EY341" s="104"/>
      <c r="EZ341" s="104"/>
      <c r="FA341" s="104"/>
      <c r="FB341" s="104"/>
      <c r="FC341" s="104"/>
      <c r="FD341" s="104"/>
      <c r="FE341" s="104"/>
      <c r="FF341" s="104"/>
      <c r="FG341" s="104"/>
      <c r="FH341" s="104"/>
      <c r="FI341" s="104"/>
      <c r="FJ341" s="104"/>
      <c r="FK341" s="104"/>
      <c r="FL341" s="104"/>
      <c r="FM341" s="104"/>
      <c r="FN341" s="104"/>
      <c r="FO341" s="104"/>
      <c r="FP341" s="104"/>
      <c r="FQ341" s="104"/>
      <c r="FR341" s="104"/>
      <c r="FS341" s="104"/>
      <c r="FT341" s="104"/>
      <c r="FU341" s="104"/>
      <c r="FV341" s="104"/>
      <c r="FW341" s="104"/>
      <c r="FX341" s="104"/>
      <c r="FY341" s="104"/>
      <c r="FZ341" s="104"/>
      <c r="GA341" s="104"/>
      <c r="GB341" s="104"/>
      <c r="GC341" s="104"/>
      <c r="GD341" s="104"/>
      <c r="GE341" s="104"/>
      <c r="GF341" s="104"/>
      <c r="GG341" s="104"/>
      <c r="GH341" s="104"/>
      <c r="GI341" s="104"/>
      <c r="GJ341" s="104"/>
      <c r="GK341" s="104"/>
      <c r="GL341" s="104"/>
      <c r="GM341" s="104"/>
      <c r="GN341" s="104"/>
      <c r="GO341" s="104"/>
      <c r="GP341" s="104"/>
      <c r="GQ341" s="104"/>
      <c r="GR341" s="104"/>
      <c r="GS341" s="104"/>
      <c r="GT341" s="104"/>
      <c r="GU341" s="104"/>
      <c r="GV341" s="104"/>
      <c r="GW341" s="104"/>
      <c r="GX341" s="104"/>
      <c r="GY341" s="104"/>
      <c r="GZ341" s="104"/>
      <c r="HA341" s="104"/>
      <c r="HB341" s="104"/>
      <c r="HC341" s="104"/>
      <c r="HD341" s="104"/>
      <c r="HE341" s="104"/>
      <c r="HF341" s="104"/>
      <c r="HG341" s="104"/>
      <c r="HH341" s="104"/>
      <c r="HI341" s="104"/>
      <c r="HJ341" s="104"/>
      <c r="HK341" s="104"/>
      <c r="HL341" s="104"/>
      <c r="HM341" s="104"/>
      <c r="HN341" s="104"/>
      <c r="HO341" s="104"/>
      <c r="HP341" s="104"/>
      <c r="HQ341" s="104"/>
      <c r="HR341" s="104"/>
      <c r="HS341" s="104"/>
      <c r="HT341" s="104"/>
      <c r="HU341" s="104"/>
      <c r="HV341" s="104"/>
      <c r="HW341" s="104"/>
      <c r="HX341" s="104"/>
      <c r="HY341" s="104"/>
      <c r="HZ341" s="104"/>
      <c r="IA341" s="104"/>
      <c r="IB341" s="104"/>
      <c r="IC341" s="104"/>
      <c r="ID341" s="104"/>
      <c r="IE341" s="104"/>
      <c r="IF341" s="104"/>
      <c r="IG341" s="104"/>
      <c r="IH341" s="104"/>
      <c r="II341" s="104"/>
      <c r="IJ341" s="104"/>
      <c r="IK341" s="104"/>
      <c r="IL341" s="104"/>
      <c r="IM341" s="104"/>
      <c r="IN341" s="104"/>
      <c r="IO341" s="104"/>
      <c r="IP341" s="104"/>
      <c r="IQ341" s="104"/>
      <c r="IR341" s="104"/>
      <c r="IS341" s="104"/>
      <c r="IT341" s="104"/>
      <c r="IU341" s="104"/>
      <c r="IV341" s="104"/>
      <c r="IW341" s="104"/>
      <c r="IX341" s="104"/>
      <c r="IY341" s="104"/>
      <c r="IZ341" s="104"/>
      <c r="JA341" s="104"/>
      <c r="JB341" s="104"/>
      <c r="JC341" s="104"/>
      <c r="JD341" s="104"/>
      <c r="JE341" s="104"/>
      <c r="JF341" s="104"/>
      <c r="JG341" s="104"/>
      <c r="JH341" s="104"/>
      <c r="JI341" s="104"/>
      <c r="JJ341" s="104"/>
      <c r="JK341" s="104"/>
      <c r="JL341" s="104"/>
      <c r="JM341" s="104"/>
      <c r="JN341" s="104"/>
      <c r="JO341" s="104"/>
      <c r="JP341" s="104"/>
      <c r="JQ341" s="104"/>
      <c r="JR341" s="104"/>
      <c r="JS341" s="104"/>
      <c r="JT341" s="104"/>
      <c r="JU341" s="104"/>
      <c r="JV341" s="104"/>
      <c r="JW341" s="104"/>
      <c r="JX341" s="104"/>
      <c r="JY341" s="104"/>
      <c r="JZ341" s="104"/>
      <c r="KA341" s="104"/>
      <c r="KB341" s="104"/>
      <c r="KC341" s="104"/>
      <c r="KD341" s="104"/>
      <c r="KE341" s="104"/>
      <c r="KF341" s="104"/>
      <c r="KG341" s="104"/>
      <c r="KH341" s="104"/>
      <c r="KI341" s="104"/>
      <c r="KJ341" s="104"/>
      <c r="KK341" s="104"/>
      <c r="KL341" s="104"/>
      <c r="KM341" s="104"/>
      <c r="KN341" s="104"/>
      <c r="KO341" s="104"/>
      <c r="KP341" s="104"/>
      <c r="KQ341" s="104"/>
      <c r="KR341" s="104"/>
      <c r="KS341" s="104"/>
      <c r="KT341" s="104"/>
      <c r="KU341" s="104"/>
      <c r="KV341" s="104"/>
      <c r="KW341" s="104"/>
      <c r="KX341" s="104"/>
      <c r="KY341" s="104"/>
      <c r="KZ341" s="104"/>
      <c r="LA341" s="104"/>
      <c r="LB341" s="104"/>
      <c r="LC341" s="104"/>
      <c r="LD341" s="104"/>
      <c r="LE341" s="104"/>
      <c r="LF341" s="104"/>
      <c r="LG341" s="104"/>
      <c r="LH341" s="104"/>
      <c r="LI341" s="104"/>
      <c r="LJ341" s="104"/>
      <c r="LK341" s="104"/>
      <c r="LL341" s="104"/>
      <c r="LM341" s="104"/>
      <c r="LN341" s="104"/>
      <c r="LO341" s="104"/>
      <c r="LP341" s="104"/>
      <c r="LQ341" s="104"/>
      <c r="LR341" s="104"/>
      <c r="LS341" s="104"/>
      <c r="LT341" s="104"/>
      <c r="LU341" s="104"/>
      <c r="LV341" s="104"/>
      <c r="LW341" s="104"/>
      <c r="LX341" s="104"/>
      <c r="LY341" s="104"/>
      <c r="LZ341" s="104"/>
      <c r="MA341" s="104"/>
      <c r="MB341" s="104"/>
      <c r="MC341" s="104"/>
      <c r="MD341" s="104"/>
      <c r="ME341" s="104"/>
      <c r="MF341" s="104"/>
      <c r="MG341" s="104"/>
      <c r="MH341" s="104"/>
      <c r="MI341" s="104"/>
      <c r="MJ341" s="104"/>
      <c r="MK341" s="104"/>
      <c r="ML341" s="104"/>
      <c r="MM341" s="104"/>
      <c r="MN341" s="104"/>
      <c r="MO341" s="104"/>
      <c r="MP341" s="104"/>
      <c r="MQ341" s="104"/>
      <c r="MR341" s="104"/>
      <c r="MS341" s="104"/>
      <c r="MT341" s="104"/>
      <c r="MU341" s="104"/>
      <c r="MV341" s="104"/>
      <c r="MW341" s="104"/>
      <c r="MX341" s="104"/>
      <c r="MY341" s="104"/>
      <c r="MZ341" s="104"/>
      <c r="NA341" s="104"/>
      <c r="NB341" s="104"/>
      <c r="NC341" s="104"/>
      <c r="ND341" s="104"/>
      <c r="NE341" s="104"/>
      <c r="NF341" s="104"/>
      <c r="NG341" s="104"/>
      <c r="NH341" s="104"/>
      <c r="NI341" s="104"/>
      <c r="NJ341" s="104"/>
      <c r="NK341" s="104"/>
      <c r="NL341" s="104"/>
      <c r="NM341" s="104"/>
      <c r="NN341" s="104"/>
      <c r="NO341" s="104"/>
      <c r="NP341" s="104"/>
      <c r="NQ341" s="104"/>
      <c r="NR341" s="104"/>
      <c r="NS341" s="104"/>
      <c r="NT341" s="104"/>
      <c r="NU341" s="104"/>
      <c r="NV341" s="104"/>
      <c r="NW341" s="104"/>
      <c r="NX341" s="104"/>
      <c r="NY341" s="104"/>
      <c r="NZ341" s="104"/>
      <c r="OA341" s="104"/>
      <c r="OB341" s="104"/>
      <c r="OC341" s="104"/>
      <c r="OD341" s="104"/>
      <c r="OE341" s="104"/>
      <c r="OF341" s="104"/>
      <c r="OG341" s="104"/>
      <c r="OH341" s="104"/>
      <c r="OI341" s="104"/>
      <c r="OJ341" s="104"/>
      <c r="OK341" s="104"/>
      <c r="OL341" s="104"/>
      <c r="OM341" s="104"/>
      <c r="ON341" s="104"/>
      <c r="OO341" s="104"/>
      <c r="OP341" s="104"/>
      <c r="OQ341" s="104"/>
      <c r="OR341" s="104"/>
      <c r="OS341" s="104"/>
      <c r="OT341" s="104"/>
      <c r="OU341" s="104"/>
      <c r="OV341" s="104"/>
      <c r="OW341" s="104"/>
      <c r="OX341" s="104"/>
      <c r="OY341" s="104"/>
      <c r="OZ341" s="104"/>
      <c r="PA341" s="104"/>
      <c r="PB341" s="104"/>
      <c r="PC341" s="104"/>
      <c r="PD341" s="104"/>
      <c r="PE341" s="104"/>
      <c r="PF341" s="104"/>
      <c r="PG341" s="104"/>
      <c r="PH341" s="104"/>
      <c r="PI341" s="104"/>
      <c r="PJ341" s="104"/>
      <c r="PK341" s="104"/>
      <c r="PL341" s="104"/>
      <c r="PM341" s="104"/>
      <c r="PN341" s="104"/>
      <c r="PO341" s="104"/>
      <c r="PP341" s="104"/>
      <c r="PQ341" s="104"/>
      <c r="PR341" s="104"/>
      <c r="PS341" s="104"/>
      <c r="PT341" s="104"/>
      <c r="PU341" s="104"/>
      <c r="PV341" s="104"/>
      <c r="PW341" s="104"/>
      <c r="PX341" s="104"/>
      <c r="PY341" s="104"/>
      <c r="PZ341" s="104"/>
      <c r="QA341" s="104"/>
      <c r="QB341" s="104"/>
      <c r="QC341" s="104"/>
      <c r="QD341" s="104"/>
      <c r="QE341" s="104"/>
      <c r="QF341" s="104"/>
      <c r="QG341" s="104"/>
      <c r="QH341" s="104"/>
      <c r="QI341" s="104"/>
      <c r="QJ341" s="104"/>
      <c r="QK341" s="104"/>
      <c r="QL341" s="104"/>
      <c r="QM341" s="104"/>
      <c r="QN341" s="104"/>
      <c r="QO341" s="104"/>
      <c r="QP341" s="104"/>
      <c r="QQ341" s="104"/>
      <c r="QR341" s="104"/>
      <c r="QS341" s="104"/>
      <c r="QT341" s="104"/>
      <c r="QU341" s="104"/>
      <c r="QV341" s="104"/>
      <c r="QW341" s="104"/>
      <c r="QX341" s="104"/>
      <c r="QY341" s="104"/>
      <c r="QZ341" s="104"/>
      <c r="RA341" s="104"/>
      <c r="RB341" s="104"/>
      <c r="RC341" s="104"/>
      <c r="RD341" s="104"/>
      <c r="RE341" s="104"/>
      <c r="RF341" s="104"/>
      <c r="RG341" s="104"/>
      <c r="RH341" s="104"/>
      <c r="RI341" s="104"/>
      <c r="RJ341" s="104"/>
      <c r="RK341" s="104"/>
      <c r="RL341" s="104"/>
      <c r="RM341" s="104"/>
      <c r="RN341" s="104"/>
      <c r="RO341" s="104"/>
      <c r="RP341" s="104"/>
      <c r="RQ341" s="104"/>
      <c r="RR341" s="104"/>
      <c r="RS341" s="104"/>
      <c r="RT341" s="104"/>
      <c r="RU341" s="104"/>
      <c r="RV341" s="104"/>
      <c r="RW341" s="104"/>
      <c r="RX341" s="104"/>
      <c r="RY341" s="104"/>
      <c r="RZ341" s="104"/>
      <c r="SA341" s="104"/>
      <c r="SB341" s="104"/>
      <c r="SC341" s="104"/>
      <c r="SD341" s="104"/>
      <c r="SE341" s="104"/>
      <c r="SF341" s="104"/>
      <c r="SG341" s="104"/>
      <c r="SH341" s="104"/>
      <c r="SI341" s="104"/>
      <c r="SJ341" s="104"/>
      <c r="SK341" s="104"/>
      <c r="SL341" s="104"/>
      <c r="SM341" s="104"/>
      <c r="SN341" s="104"/>
      <c r="SO341" s="104"/>
      <c r="SP341" s="104"/>
      <c r="SQ341" s="104"/>
      <c r="SR341" s="104"/>
      <c r="SS341" s="104"/>
      <c r="ST341" s="104"/>
      <c r="SU341" s="104"/>
      <c r="SV341" s="104"/>
      <c r="SW341" s="104"/>
      <c r="SX341" s="104"/>
      <c r="SY341" s="104"/>
      <c r="SZ341" s="104"/>
      <c r="TA341" s="104"/>
      <c r="TB341" s="104"/>
      <c r="TC341" s="104"/>
      <c r="TD341" s="104"/>
      <c r="TE341" s="104"/>
      <c r="TF341" s="104"/>
      <c r="TG341" s="104"/>
      <c r="TH341" s="104"/>
      <c r="TI341" s="104"/>
      <c r="TJ341" s="104"/>
      <c r="TK341" s="104"/>
      <c r="TL341" s="104"/>
      <c r="TM341" s="104"/>
      <c r="TN341" s="104"/>
      <c r="TO341" s="104"/>
      <c r="TP341" s="104"/>
      <c r="TQ341" s="104"/>
      <c r="TR341" s="104"/>
      <c r="TS341" s="104"/>
      <c r="TT341" s="104"/>
      <c r="TU341" s="104"/>
      <c r="TV341" s="104"/>
      <c r="TW341" s="104"/>
      <c r="TX341" s="104"/>
      <c r="TY341" s="104"/>
      <c r="TZ341" s="104"/>
      <c r="UA341" s="104"/>
      <c r="UB341" s="104"/>
      <c r="UC341" s="104"/>
      <c r="UD341" s="104"/>
      <c r="UE341" s="104"/>
      <c r="UF341" s="104"/>
      <c r="UG341" s="104"/>
      <c r="UH341" s="104"/>
      <c r="UI341" s="104"/>
      <c r="UJ341" s="104"/>
      <c r="UK341" s="104"/>
      <c r="UL341" s="104"/>
      <c r="UM341" s="104"/>
      <c r="UN341" s="104"/>
      <c r="UO341" s="104"/>
      <c r="UP341" s="104"/>
      <c r="UQ341" s="104"/>
      <c r="UR341" s="104"/>
      <c r="US341" s="104"/>
      <c r="UT341" s="104"/>
      <c r="UU341" s="104"/>
      <c r="UV341" s="104"/>
      <c r="UW341" s="104"/>
      <c r="UX341" s="104"/>
      <c r="UY341" s="104"/>
      <c r="UZ341" s="104"/>
      <c r="VA341" s="104"/>
      <c r="VB341" s="104"/>
      <c r="VC341" s="104"/>
      <c r="VD341" s="104"/>
      <c r="VE341" s="104"/>
      <c r="VF341" s="104"/>
      <c r="VG341" s="104"/>
      <c r="VH341" s="104"/>
      <c r="VI341" s="104"/>
      <c r="VJ341" s="104"/>
      <c r="VK341" s="104"/>
      <c r="VL341" s="104"/>
      <c r="VM341" s="104"/>
      <c r="VN341" s="104"/>
      <c r="VO341" s="104"/>
      <c r="VP341" s="104"/>
      <c r="VQ341" s="104"/>
      <c r="VR341" s="104"/>
      <c r="VS341" s="104"/>
      <c r="VT341" s="104"/>
      <c r="VU341" s="104"/>
      <c r="VV341" s="104"/>
      <c r="VW341" s="104"/>
      <c r="VX341" s="104"/>
      <c r="VY341" s="104"/>
      <c r="VZ341" s="104"/>
      <c r="WA341" s="104"/>
      <c r="WB341" s="104"/>
      <c r="WC341" s="104"/>
      <c r="WD341" s="104"/>
      <c r="WE341" s="104"/>
      <c r="WF341" s="104"/>
      <c r="WG341" s="104"/>
      <c r="WH341" s="104"/>
      <c r="WI341" s="104"/>
      <c r="WJ341" s="104"/>
      <c r="WK341" s="104"/>
      <c r="WL341" s="104"/>
      <c r="WM341" s="104"/>
      <c r="WN341" s="104"/>
      <c r="WO341" s="104"/>
      <c r="WP341" s="104"/>
      <c r="WQ341" s="104"/>
      <c r="WR341" s="104"/>
      <c r="WS341" s="104"/>
      <c r="WT341" s="104"/>
      <c r="WU341" s="104"/>
      <c r="WV341" s="104"/>
      <c r="WW341" s="104"/>
      <c r="WX341" s="104"/>
      <c r="WY341" s="104"/>
      <c r="WZ341" s="104"/>
      <c r="XA341" s="104"/>
      <c r="XB341" s="104"/>
      <c r="XC341" s="104"/>
      <c r="XD341" s="104"/>
      <c r="XE341" s="104"/>
      <c r="XF341" s="104"/>
      <c r="XG341" s="104"/>
      <c r="XH341" s="104"/>
      <c r="XI341" s="104"/>
      <c r="XJ341" s="104"/>
      <c r="XK341" s="104"/>
      <c r="XL341" s="104"/>
      <c r="XM341" s="104"/>
      <c r="XN341" s="104"/>
      <c r="XO341" s="104"/>
      <c r="XP341" s="104"/>
      <c r="XQ341" s="104"/>
      <c r="XR341" s="104"/>
      <c r="XS341" s="104"/>
      <c r="XT341" s="104"/>
      <c r="XU341" s="104"/>
      <c r="XV341" s="104"/>
      <c r="XW341" s="104"/>
      <c r="XX341" s="104"/>
      <c r="XY341" s="104"/>
      <c r="XZ341" s="104"/>
      <c r="YA341" s="104"/>
      <c r="YB341" s="104"/>
      <c r="YC341" s="104"/>
      <c r="YD341" s="104"/>
      <c r="YE341" s="104"/>
      <c r="YF341" s="104"/>
      <c r="YG341" s="104"/>
      <c r="YH341" s="104"/>
      <c r="YI341" s="104"/>
      <c r="YJ341" s="104"/>
      <c r="YK341" s="104"/>
      <c r="YL341" s="104"/>
      <c r="YM341" s="104"/>
      <c r="YN341" s="104"/>
      <c r="YO341" s="104"/>
      <c r="YP341" s="104"/>
      <c r="YQ341" s="104"/>
      <c r="YR341" s="104"/>
      <c r="YS341" s="104"/>
      <c r="YT341" s="104"/>
      <c r="YU341" s="104"/>
      <c r="YV341" s="104"/>
      <c r="YW341" s="104"/>
      <c r="YX341" s="104"/>
      <c r="YY341" s="104"/>
      <c r="YZ341" s="104"/>
      <c r="ZA341" s="104"/>
      <c r="ZB341" s="104"/>
      <c r="ZC341" s="104"/>
      <c r="ZD341" s="104"/>
      <c r="ZE341" s="104"/>
      <c r="ZF341" s="104"/>
      <c r="ZG341" s="104"/>
      <c r="ZH341" s="104"/>
      <c r="ZI341" s="104"/>
      <c r="ZJ341" s="104"/>
      <c r="ZK341" s="104"/>
      <c r="ZL341" s="104"/>
      <c r="ZM341" s="104"/>
      <c r="ZN341" s="104"/>
      <c r="ZO341" s="104"/>
      <c r="ZP341" s="104"/>
      <c r="ZQ341" s="104"/>
      <c r="ZR341" s="104"/>
      <c r="ZS341" s="104"/>
      <c r="ZT341" s="104"/>
      <c r="ZU341" s="104"/>
      <c r="ZV341" s="104"/>
      <c r="ZW341" s="104"/>
      <c r="ZX341" s="104"/>
      <c r="ZY341" s="104"/>
      <c r="ZZ341" s="104"/>
      <c r="AAA341" s="104"/>
      <c r="AAB341" s="104"/>
      <c r="AAC341" s="104"/>
      <c r="AAD341" s="104"/>
      <c r="AAE341" s="104"/>
      <c r="AAF341" s="104"/>
      <c r="AAG341" s="104"/>
      <c r="AAH341" s="104"/>
      <c r="AAI341" s="104"/>
      <c r="AAJ341" s="104"/>
      <c r="AAK341" s="104"/>
      <c r="AAL341" s="104"/>
      <c r="AAM341" s="104"/>
      <c r="AAN341" s="104"/>
      <c r="AAO341" s="104"/>
      <c r="AAP341" s="104"/>
      <c r="AAQ341" s="104"/>
      <c r="AAR341" s="104"/>
      <c r="AAS341" s="104"/>
      <c r="AAT341" s="104"/>
      <c r="AAU341" s="104"/>
      <c r="AAV341" s="104"/>
      <c r="AAW341" s="104"/>
      <c r="AAX341" s="104"/>
      <c r="AAY341" s="104"/>
      <c r="AAZ341" s="104"/>
      <c r="ABA341" s="104"/>
      <c r="ABB341" s="104"/>
      <c r="ABC341" s="104"/>
      <c r="ABD341" s="104"/>
      <c r="ABE341" s="104"/>
      <c r="ABF341" s="104"/>
      <c r="ABG341" s="104"/>
      <c r="ABH341" s="104"/>
      <c r="ABI341" s="104"/>
      <c r="ABJ341" s="104"/>
      <c r="ABK341" s="104"/>
      <c r="ABL341" s="104"/>
      <c r="ABM341" s="104"/>
      <c r="ABN341" s="104"/>
      <c r="ABO341" s="104"/>
      <c r="ABP341" s="104"/>
      <c r="ABQ341" s="104"/>
      <c r="ABR341" s="104"/>
      <c r="ABS341" s="104"/>
      <c r="ABT341" s="104"/>
      <c r="ABU341" s="104"/>
      <c r="ABV341" s="104"/>
      <c r="ABW341" s="104"/>
      <c r="ABX341" s="104"/>
      <c r="ABY341" s="104"/>
      <c r="ABZ341" s="104"/>
      <c r="ACA341" s="104"/>
      <c r="ACB341" s="104"/>
      <c r="ACC341" s="104"/>
      <c r="ACD341" s="104"/>
      <c r="ACE341" s="104"/>
      <c r="ACF341" s="104"/>
      <c r="ACG341" s="104"/>
      <c r="ACH341" s="104"/>
      <c r="ACI341" s="104"/>
      <c r="ACJ341" s="104"/>
      <c r="ACK341" s="104"/>
      <c r="ACL341" s="104"/>
      <c r="ACM341" s="104"/>
      <c r="ACN341" s="104"/>
      <c r="ACO341" s="104"/>
      <c r="ACP341" s="104"/>
      <c r="ACQ341" s="104"/>
      <c r="ACR341" s="104"/>
      <c r="ACS341" s="104"/>
      <c r="ACT341" s="104"/>
      <c r="ACU341" s="104"/>
      <c r="ACV341" s="104"/>
      <c r="ACW341" s="104"/>
      <c r="ACX341" s="104"/>
      <c r="ACY341" s="104"/>
      <c r="ACZ341" s="104"/>
      <c r="ADA341" s="104"/>
      <c r="ADB341" s="104"/>
      <c r="ADC341" s="104"/>
      <c r="ADD341" s="104"/>
      <c r="ADE341" s="104"/>
      <c r="ADF341" s="104"/>
      <c r="ADG341" s="104"/>
      <c r="ADH341" s="104"/>
      <c r="ADI341" s="104"/>
      <c r="ADJ341" s="104"/>
      <c r="ADK341" s="104"/>
      <c r="ADL341" s="104"/>
      <c r="ADM341" s="104"/>
      <c r="ADN341" s="104"/>
      <c r="ADO341" s="104"/>
      <c r="ADP341" s="104"/>
      <c r="ADQ341" s="104"/>
      <c r="ADR341" s="104"/>
      <c r="ADS341" s="104"/>
      <c r="ADT341" s="104"/>
      <c r="ADU341" s="104"/>
      <c r="ADV341" s="104"/>
      <c r="ADW341" s="104"/>
      <c r="ADX341" s="104"/>
      <c r="ADY341" s="104"/>
      <c r="ADZ341" s="104"/>
      <c r="AEA341" s="104"/>
      <c r="AEB341" s="104"/>
      <c r="AEC341" s="104"/>
      <c r="AED341" s="104"/>
      <c r="AEE341" s="104"/>
      <c r="AEF341" s="104"/>
      <c r="AEG341" s="104"/>
      <c r="AEH341" s="104"/>
      <c r="AEI341" s="104"/>
      <c r="AEJ341" s="104"/>
      <c r="AEK341" s="104"/>
      <c r="AEL341" s="104"/>
      <c r="AEM341" s="104"/>
      <c r="AEN341" s="104"/>
      <c r="AEO341" s="104"/>
      <c r="AEP341" s="104"/>
      <c r="AEQ341" s="104"/>
      <c r="AER341" s="104"/>
      <c r="AES341" s="104"/>
      <c r="AET341" s="104"/>
      <c r="AEU341" s="104"/>
      <c r="AEV341" s="104"/>
      <c r="AEW341" s="104"/>
      <c r="AEX341" s="104"/>
      <c r="AEY341" s="104"/>
      <c r="AEZ341" s="104"/>
      <c r="AFA341" s="104"/>
      <c r="AFB341" s="104"/>
      <c r="AFC341" s="104"/>
      <c r="AFD341" s="104"/>
      <c r="AFE341" s="104"/>
      <c r="AFF341" s="104"/>
      <c r="AFG341" s="104"/>
      <c r="AFH341" s="104"/>
      <c r="AFI341" s="104"/>
      <c r="AFJ341" s="104"/>
      <c r="AFK341" s="104"/>
      <c r="AFL341" s="104"/>
      <c r="AFM341" s="104"/>
      <c r="AFN341" s="104"/>
      <c r="AFO341" s="104"/>
      <c r="AFP341" s="104"/>
      <c r="AFQ341" s="104"/>
      <c r="AFR341" s="104"/>
      <c r="AFS341" s="104"/>
      <c r="AFT341" s="104"/>
      <c r="AFU341" s="104"/>
      <c r="AFV341" s="104"/>
      <c r="AFW341" s="104"/>
      <c r="AFX341" s="104"/>
      <c r="AFY341" s="104"/>
      <c r="AFZ341" s="104"/>
      <c r="AGA341" s="104"/>
      <c r="AGB341" s="104"/>
      <c r="AGC341" s="104"/>
      <c r="AGD341" s="104"/>
      <c r="AGE341" s="104"/>
      <c r="AGF341" s="104"/>
      <c r="AGG341" s="104"/>
      <c r="AGH341" s="104"/>
      <c r="AGI341" s="104"/>
      <c r="AGJ341" s="104"/>
      <c r="AGK341" s="104"/>
      <c r="AGL341" s="104"/>
      <c r="AGM341" s="104"/>
      <c r="AGN341" s="104"/>
      <c r="AGO341" s="104"/>
      <c r="AGP341" s="104"/>
      <c r="AGQ341" s="104"/>
      <c r="AGR341" s="104"/>
      <c r="AGS341" s="104"/>
      <c r="AGT341" s="104"/>
      <c r="AGU341" s="104"/>
      <c r="AGV341" s="104"/>
      <c r="AGW341" s="104"/>
      <c r="AGX341" s="104"/>
      <c r="AGY341" s="104"/>
      <c r="AGZ341" s="104"/>
      <c r="AHA341" s="104"/>
      <c r="AHB341" s="104"/>
      <c r="AHC341" s="104"/>
      <c r="AHD341" s="104"/>
      <c r="AHE341" s="104"/>
      <c r="AHF341" s="104"/>
      <c r="AHG341" s="104"/>
      <c r="AHH341" s="104"/>
      <c r="AHI341" s="104"/>
      <c r="AHJ341" s="104"/>
      <c r="AHK341" s="104"/>
      <c r="AHL341" s="104"/>
      <c r="AHM341" s="104"/>
      <c r="AHN341" s="104"/>
      <c r="AHO341" s="104"/>
      <c r="AHP341" s="104"/>
      <c r="AHQ341" s="104"/>
      <c r="AHR341" s="104"/>
      <c r="AHS341" s="104"/>
      <c r="AHT341" s="104"/>
      <c r="AHU341" s="104"/>
      <c r="AHV341" s="104"/>
      <c r="AHW341" s="104"/>
      <c r="AHX341" s="104"/>
      <c r="AHY341" s="104"/>
      <c r="AHZ341" s="104"/>
      <c r="AIA341" s="104"/>
      <c r="AIB341" s="104"/>
      <c r="AIC341" s="104"/>
      <c r="AID341" s="104"/>
      <c r="AIE341" s="104"/>
      <c r="AIF341" s="104"/>
      <c r="AIG341" s="104"/>
      <c r="AIH341" s="104"/>
      <c r="AII341" s="104"/>
      <c r="AIJ341" s="104"/>
      <c r="AIK341" s="104"/>
      <c r="AIL341" s="104"/>
      <c r="AIM341" s="104"/>
      <c r="AIN341" s="104"/>
      <c r="AIO341" s="104"/>
      <c r="AIP341" s="104"/>
      <c r="AIQ341" s="104"/>
      <c r="AIR341" s="104"/>
      <c r="AIS341" s="104"/>
      <c r="AIT341" s="104"/>
      <c r="AIU341" s="104"/>
      <c r="AIV341" s="104"/>
      <c r="AIW341" s="104"/>
      <c r="AIX341" s="104"/>
      <c r="AIY341" s="104"/>
      <c r="AIZ341" s="104"/>
      <c r="AJA341" s="104"/>
      <c r="AJB341" s="104"/>
      <c r="AJC341" s="104"/>
      <c r="AJD341" s="104"/>
      <c r="AJE341" s="104"/>
      <c r="AJF341" s="104"/>
      <c r="AJG341" s="104"/>
      <c r="AJH341" s="104"/>
      <c r="AJI341" s="104"/>
      <c r="AJJ341" s="104"/>
      <c r="AJK341" s="104"/>
      <c r="AJL341" s="104"/>
      <c r="AJM341" s="104"/>
      <c r="AJN341" s="104"/>
      <c r="AJO341" s="104"/>
      <c r="AJP341" s="104"/>
      <c r="AJQ341" s="104"/>
      <c r="AJR341" s="104"/>
      <c r="AJS341" s="104"/>
      <c r="AJT341" s="104"/>
      <c r="AJU341" s="104"/>
      <c r="AJV341" s="104"/>
      <c r="AJW341" s="104"/>
      <c r="AJX341" s="104"/>
      <c r="AJY341" s="104"/>
      <c r="AJZ341" s="104"/>
      <c r="AKA341" s="104"/>
      <c r="AKB341" s="104"/>
      <c r="AKC341" s="104"/>
      <c r="AKD341" s="104"/>
      <c r="AKE341" s="104"/>
      <c r="AKF341" s="104"/>
      <c r="AKG341" s="104"/>
      <c r="AKH341" s="104"/>
      <c r="AKI341" s="104"/>
      <c r="AKJ341" s="104"/>
      <c r="AKK341" s="104"/>
      <c r="AKL341" s="104"/>
      <c r="AKM341" s="104"/>
      <c r="AKN341" s="104"/>
      <c r="AKO341" s="104"/>
      <c r="AKP341" s="104"/>
      <c r="AKQ341" s="104"/>
      <c r="AKR341" s="104"/>
      <c r="AKS341" s="104"/>
      <c r="AKT341" s="104"/>
      <c r="AKU341" s="104"/>
      <c r="AKV341" s="104"/>
      <c r="AKW341" s="104"/>
      <c r="AKX341" s="104"/>
      <c r="AKY341" s="104"/>
      <c r="AKZ341" s="104"/>
      <c r="ALA341" s="104"/>
      <c r="ALB341" s="104"/>
      <c r="ALC341" s="104"/>
      <c r="ALD341" s="104"/>
      <c r="ALE341" s="104"/>
      <c r="ALF341" s="104"/>
      <c r="ALG341" s="104"/>
      <c r="ALH341" s="104"/>
      <c r="ALI341" s="104"/>
      <c r="ALJ341" s="104"/>
      <c r="ALK341" s="104"/>
      <c r="ALL341" s="104"/>
      <c r="ALM341" s="104"/>
      <c r="ALN341" s="104"/>
      <c r="ALO341" s="104"/>
      <c r="ALP341" s="104"/>
      <c r="ALQ341" s="104"/>
      <c r="ALR341" s="104"/>
      <c r="ALS341" s="104"/>
      <c r="ALT341" s="104"/>
      <c r="ALU341" s="104"/>
      <c r="ALV341" s="104"/>
      <c r="ALW341" s="104"/>
      <c r="ALX341" s="104"/>
      <c r="ALY341" s="104"/>
      <c r="ALZ341" s="104"/>
      <c r="AMA341" s="104"/>
      <c r="AMB341" s="104"/>
      <c r="AMC341" s="104"/>
      <c r="AMD341" s="104"/>
      <c r="AME341" s="104"/>
      <c r="AMF341" s="104"/>
      <c r="AMG341" s="104"/>
      <c r="AMH341" s="104"/>
      <c r="AMI341" s="104"/>
      <c r="AMJ341" s="104"/>
      <c r="AMK341" s="104"/>
      <c r="AML341" s="104"/>
      <c r="AMM341" s="104"/>
      <c r="AMN341" s="104"/>
      <c r="AMO341" s="104"/>
      <c r="AMP341" s="104"/>
      <c r="AMQ341" s="104"/>
      <c r="AMR341" s="104"/>
      <c r="AMS341" s="104"/>
      <c r="AMT341" s="104"/>
      <c r="AMU341" s="104"/>
      <c r="AMV341" s="104"/>
      <c r="AMW341" s="104"/>
      <c r="AMX341" s="104"/>
      <c r="AMY341" s="104"/>
      <c r="AMZ341" s="104"/>
      <c r="ANA341" s="104"/>
      <c r="ANB341" s="104"/>
      <c r="ANC341" s="104"/>
      <c r="AND341" s="104"/>
      <c r="ANE341" s="104"/>
      <c r="ANF341" s="104"/>
      <c r="ANG341" s="104"/>
      <c r="ANH341" s="104"/>
      <c r="ANI341" s="104"/>
      <c r="ANJ341" s="104"/>
      <c r="ANK341" s="104"/>
      <c r="ANL341" s="104"/>
      <c r="ANM341" s="104"/>
      <c r="ANN341" s="104"/>
      <c r="ANO341" s="104"/>
      <c r="ANP341" s="104"/>
      <c r="ANQ341" s="104"/>
      <c r="ANR341" s="104"/>
      <c r="ANS341" s="104"/>
      <c r="ANT341" s="104"/>
      <c r="ANU341" s="104"/>
      <c r="ANV341" s="104"/>
      <c r="ANW341" s="104"/>
      <c r="ANX341" s="104"/>
      <c r="ANY341" s="104"/>
      <c r="ANZ341" s="104"/>
      <c r="AOA341" s="104"/>
      <c r="AOB341" s="104"/>
      <c r="AOC341" s="104"/>
      <c r="AOD341" s="104"/>
      <c r="AOE341" s="104"/>
      <c r="AOF341" s="104"/>
      <c r="AOG341" s="104"/>
      <c r="AOH341" s="104"/>
      <c r="AOI341" s="104"/>
      <c r="AOJ341" s="104"/>
      <c r="AOK341" s="104"/>
      <c r="AOL341" s="104"/>
      <c r="AOM341" s="104"/>
      <c r="AON341" s="104"/>
      <c r="AOO341" s="104"/>
      <c r="AOP341" s="104"/>
      <c r="AOQ341" s="104"/>
      <c r="AOR341" s="104"/>
      <c r="AOS341" s="104"/>
      <c r="AOT341" s="104"/>
      <c r="AOU341" s="104"/>
      <c r="AOV341" s="104"/>
      <c r="AOW341" s="104"/>
      <c r="AOX341" s="104"/>
      <c r="AOY341" s="104"/>
      <c r="AOZ341" s="104"/>
      <c r="APA341" s="104"/>
      <c r="APB341" s="104"/>
      <c r="APC341" s="104"/>
      <c r="APD341" s="104"/>
      <c r="APE341" s="104"/>
      <c r="APF341" s="104"/>
      <c r="APG341" s="104"/>
      <c r="APH341" s="104"/>
      <c r="API341" s="104"/>
      <c r="APJ341" s="104"/>
      <c r="APK341" s="104"/>
      <c r="APL341" s="104"/>
      <c r="APM341" s="104"/>
      <c r="APN341" s="104"/>
      <c r="APO341" s="104"/>
      <c r="APP341" s="104"/>
      <c r="APQ341" s="104"/>
      <c r="APR341" s="104"/>
      <c r="APS341" s="104"/>
      <c r="APT341" s="104"/>
      <c r="APU341" s="104"/>
      <c r="APV341" s="104"/>
      <c r="APW341" s="104"/>
      <c r="APX341" s="104"/>
      <c r="APY341" s="104"/>
      <c r="APZ341" s="104"/>
      <c r="AQA341" s="104"/>
      <c r="AQB341" s="104"/>
      <c r="AQC341" s="104"/>
      <c r="AQD341" s="104"/>
      <c r="AQE341" s="104"/>
      <c r="AQF341" s="104"/>
      <c r="AQG341" s="104"/>
      <c r="AQH341" s="104"/>
      <c r="AQI341" s="104"/>
      <c r="AQJ341" s="104"/>
      <c r="AQK341" s="104"/>
      <c r="AQL341" s="104"/>
      <c r="AQM341" s="104"/>
      <c r="AQN341" s="104"/>
      <c r="AQO341" s="104"/>
      <c r="AQP341" s="104"/>
      <c r="AQQ341" s="104"/>
      <c r="AQR341" s="104"/>
      <c r="AQS341" s="104"/>
      <c r="AQT341" s="104"/>
      <c r="AQU341" s="104"/>
      <c r="AQV341" s="104"/>
      <c r="AQW341" s="104"/>
      <c r="AQX341" s="104"/>
      <c r="AQY341" s="104"/>
      <c r="AQZ341" s="104"/>
      <c r="ARA341" s="104"/>
      <c r="ARB341" s="104"/>
      <c r="ARC341" s="104"/>
      <c r="ARD341" s="104"/>
      <c r="ARE341" s="104"/>
      <c r="ARF341" s="104"/>
      <c r="ARG341" s="104"/>
      <c r="ARH341" s="104"/>
      <c r="ARI341" s="104"/>
      <c r="ARJ341" s="104"/>
      <c r="ARK341" s="104"/>
      <c r="ARL341" s="104"/>
      <c r="ARM341" s="104"/>
      <c r="ARN341" s="104"/>
      <c r="ARO341" s="104"/>
      <c r="ARP341" s="104"/>
      <c r="ARQ341" s="104"/>
      <c r="ARR341" s="104"/>
      <c r="ARS341" s="104"/>
      <c r="ART341" s="104"/>
      <c r="ARU341" s="104"/>
      <c r="ARV341" s="104"/>
      <c r="ARW341" s="104"/>
      <c r="ARX341" s="104"/>
      <c r="ARY341" s="104"/>
      <c r="ARZ341" s="104"/>
      <c r="ASA341" s="104"/>
      <c r="ASB341" s="104"/>
      <c r="ASC341" s="104"/>
      <c r="ASD341" s="104"/>
      <c r="ASE341" s="104"/>
      <c r="ASF341" s="104"/>
      <c r="ASG341" s="104"/>
      <c r="ASH341" s="104"/>
      <c r="ASI341" s="104"/>
      <c r="ASJ341" s="104"/>
      <c r="ASK341" s="104"/>
      <c r="ASL341" s="104"/>
      <c r="ASM341" s="104"/>
      <c r="ASN341" s="104"/>
      <c r="ASO341" s="104"/>
      <c r="ASP341" s="104"/>
      <c r="ASQ341" s="104"/>
      <c r="ASR341" s="104"/>
      <c r="ASS341" s="104"/>
      <c r="AST341" s="104"/>
      <c r="ASU341" s="104"/>
      <c r="ASV341" s="104"/>
      <c r="ASW341" s="104"/>
      <c r="ASX341" s="104"/>
      <c r="ASY341" s="104"/>
      <c r="ASZ341" s="104"/>
      <c r="ATA341" s="104"/>
      <c r="ATB341" s="104"/>
      <c r="ATC341" s="104"/>
      <c r="ATD341" s="104"/>
      <c r="ATE341" s="104"/>
      <c r="ATF341" s="104"/>
      <c r="ATG341" s="104"/>
      <c r="ATH341" s="104"/>
      <c r="ATI341" s="104"/>
      <c r="ATJ341" s="104"/>
      <c r="ATK341" s="104"/>
      <c r="ATL341" s="104"/>
      <c r="ATM341" s="104"/>
      <c r="ATN341" s="104"/>
      <c r="ATO341" s="104"/>
      <c r="ATP341" s="104"/>
      <c r="ATQ341" s="104"/>
      <c r="ATR341" s="104"/>
      <c r="ATS341" s="104"/>
      <c r="ATT341" s="104"/>
      <c r="ATU341" s="104"/>
      <c r="ATV341" s="104"/>
      <c r="ATW341" s="104"/>
      <c r="ATX341" s="104"/>
      <c r="ATY341" s="104"/>
      <c r="ATZ341" s="104"/>
      <c r="AUA341" s="104"/>
      <c r="AUB341" s="104"/>
      <c r="AUC341" s="104"/>
      <c r="AUD341" s="104"/>
      <c r="AUE341" s="104"/>
      <c r="AUF341" s="104"/>
      <c r="AUG341" s="104"/>
      <c r="AUH341" s="104"/>
      <c r="AUI341" s="104"/>
      <c r="AUJ341" s="104"/>
      <c r="AUK341" s="104"/>
      <c r="AUL341" s="104"/>
      <c r="AUM341" s="104"/>
      <c r="AUN341" s="104"/>
      <c r="AUO341" s="104"/>
      <c r="AUP341" s="104"/>
      <c r="AUQ341" s="104"/>
      <c r="AUR341" s="104"/>
      <c r="AUS341" s="104"/>
      <c r="AUT341" s="104"/>
      <c r="AUU341" s="104"/>
      <c r="AUV341" s="104"/>
      <c r="AUW341" s="104"/>
      <c r="AUX341" s="104"/>
      <c r="AUY341" s="104"/>
      <c r="AUZ341" s="104"/>
      <c r="AVA341" s="104"/>
      <c r="AVB341" s="104"/>
      <c r="AVC341" s="104"/>
      <c r="AVD341" s="104"/>
      <c r="AVE341" s="104"/>
      <c r="AVF341" s="104"/>
      <c r="AVG341" s="104"/>
      <c r="AVH341" s="104"/>
      <c r="AVI341" s="104"/>
      <c r="AVJ341" s="104"/>
      <c r="AVK341" s="104"/>
      <c r="AVL341" s="104"/>
      <c r="AVM341" s="104"/>
      <c r="AVN341" s="104"/>
      <c r="AVO341" s="104"/>
      <c r="AVP341" s="104"/>
      <c r="AVQ341" s="104"/>
      <c r="AVR341" s="104"/>
      <c r="AVS341" s="104"/>
      <c r="AVT341" s="104"/>
      <c r="AVU341" s="104"/>
      <c r="AVV341" s="104"/>
      <c r="AVW341" s="104"/>
      <c r="AVX341" s="104"/>
      <c r="AVY341" s="104"/>
      <c r="AVZ341" s="104"/>
      <c r="AWA341" s="104"/>
      <c r="AWB341" s="104"/>
      <c r="AWC341" s="104"/>
      <c r="AWD341" s="104"/>
      <c r="AWE341" s="104"/>
      <c r="AWF341" s="104"/>
      <c r="AWG341" s="104"/>
      <c r="AWH341" s="104"/>
      <c r="AWI341" s="104"/>
      <c r="AWJ341" s="104"/>
      <c r="AWK341" s="104"/>
      <c r="AWL341" s="104"/>
      <c r="AWM341" s="104"/>
      <c r="AWN341" s="104"/>
      <c r="AWO341" s="104"/>
      <c r="AWP341" s="104"/>
      <c r="AWQ341" s="104"/>
      <c r="AWR341" s="104"/>
      <c r="AWS341" s="104"/>
      <c r="AWT341" s="104"/>
      <c r="AWU341" s="104"/>
      <c r="AWV341" s="104"/>
      <c r="AWW341" s="104"/>
      <c r="AWX341" s="104"/>
      <c r="AWY341" s="104"/>
      <c r="AWZ341" s="104"/>
      <c r="AXA341" s="104"/>
      <c r="AXB341" s="104"/>
      <c r="AXC341" s="104"/>
      <c r="AXD341" s="104"/>
      <c r="AXE341" s="104"/>
      <c r="AXF341" s="104"/>
      <c r="AXG341" s="104"/>
      <c r="AXH341" s="104"/>
      <c r="AXI341" s="104"/>
      <c r="AXJ341" s="104"/>
      <c r="AXK341" s="104"/>
      <c r="AXL341" s="104"/>
      <c r="AXM341" s="104"/>
      <c r="AXN341" s="104"/>
      <c r="AXO341" s="104"/>
      <c r="AXP341" s="104"/>
      <c r="AXQ341" s="104"/>
      <c r="AXR341" s="104"/>
      <c r="AXS341" s="104"/>
      <c r="AXT341" s="104"/>
      <c r="AXU341" s="104"/>
      <c r="AXV341" s="104"/>
      <c r="AXW341" s="104"/>
      <c r="AXX341" s="104"/>
      <c r="AXY341" s="104"/>
      <c r="AXZ341" s="104"/>
      <c r="AYA341" s="104"/>
      <c r="AYB341" s="104"/>
      <c r="AYC341" s="104"/>
      <c r="AYD341" s="104"/>
      <c r="AYE341" s="104"/>
      <c r="AYF341" s="104"/>
      <c r="AYG341" s="104"/>
      <c r="AYH341" s="104"/>
      <c r="AYI341" s="104"/>
      <c r="AYJ341" s="104"/>
      <c r="AYK341" s="104"/>
      <c r="AYL341" s="104"/>
      <c r="AYM341" s="104"/>
      <c r="AYN341" s="104"/>
      <c r="AYO341" s="104"/>
      <c r="AYP341" s="104"/>
      <c r="AYQ341" s="104"/>
      <c r="AYR341" s="104"/>
      <c r="AYS341" s="104"/>
      <c r="AYT341" s="104"/>
      <c r="AYU341" s="104"/>
      <c r="AYV341" s="104"/>
      <c r="AYW341" s="104"/>
      <c r="AYX341" s="104"/>
      <c r="AYY341" s="104"/>
      <c r="AYZ341" s="104"/>
      <c r="AZA341" s="104"/>
      <c r="AZB341" s="104"/>
      <c r="AZC341" s="104"/>
      <c r="AZD341" s="104"/>
      <c r="AZE341" s="104"/>
      <c r="AZF341" s="104"/>
      <c r="AZG341" s="104"/>
      <c r="AZH341" s="104"/>
      <c r="AZI341" s="104"/>
      <c r="AZJ341" s="104"/>
      <c r="AZK341" s="104"/>
      <c r="AZL341" s="104"/>
      <c r="AZM341" s="104"/>
      <c r="AZN341" s="104"/>
      <c r="AZO341" s="104"/>
      <c r="AZP341" s="104"/>
      <c r="AZQ341" s="104"/>
      <c r="AZR341" s="104"/>
      <c r="AZS341" s="104"/>
      <c r="AZT341" s="104"/>
      <c r="AZU341" s="104"/>
      <c r="AZV341" s="104"/>
      <c r="AZW341" s="104"/>
      <c r="AZX341" s="104"/>
      <c r="AZY341" s="104"/>
      <c r="AZZ341" s="104"/>
      <c r="BAA341" s="104"/>
      <c r="BAB341" s="104"/>
      <c r="BAC341" s="104"/>
      <c r="BAD341" s="104"/>
      <c r="BAE341" s="104"/>
      <c r="BAF341" s="104"/>
      <c r="BAG341" s="104"/>
      <c r="BAH341" s="104"/>
      <c r="BAI341" s="104"/>
      <c r="BAJ341" s="104"/>
      <c r="BAK341" s="104"/>
      <c r="BAL341" s="104"/>
      <c r="BAM341" s="104"/>
      <c r="BAN341" s="104"/>
      <c r="BAO341" s="104"/>
      <c r="BAP341" s="104"/>
      <c r="BAQ341" s="104"/>
      <c r="BAR341" s="104"/>
      <c r="BAS341" s="104"/>
      <c r="BAT341" s="104"/>
      <c r="BAU341" s="104"/>
      <c r="BAV341" s="104"/>
      <c r="BAW341" s="104"/>
      <c r="BAX341" s="104"/>
      <c r="BAY341" s="104"/>
      <c r="BAZ341" s="104"/>
      <c r="BBA341" s="104"/>
      <c r="BBB341" s="104"/>
      <c r="BBC341" s="104"/>
      <c r="BBD341" s="104"/>
      <c r="BBE341" s="104"/>
      <c r="BBF341" s="104"/>
      <c r="BBG341" s="104"/>
      <c r="BBH341" s="104"/>
      <c r="BBI341" s="104"/>
      <c r="BBJ341" s="104"/>
      <c r="BBK341" s="104"/>
      <c r="BBL341" s="104"/>
      <c r="BBM341" s="104"/>
      <c r="BBN341" s="104"/>
      <c r="BBO341" s="104"/>
      <c r="BBP341" s="104"/>
      <c r="BBQ341" s="104"/>
      <c r="BBR341" s="104"/>
      <c r="BBS341" s="104"/>
      <c r="BBT341" s="104"/>
      <c r="BBU341" s="104"/>
      <c r="BBV341" s="104"/>
      <c r="BBW341" s="104"/>
      <c r="BBX341" s="104"/>
      <c r="BBY341" s="104"/>
      <c r="BBZ341" s="104"/>
      <c r="BCA341" s="104"/>
      <c r="BCB341" s="104"/>
      <c r="BCC341" s="104"/>
      <c r="BCD341" s="104"/>
      <c r="BCE341" s="104"/>
      <c r="BCF341" s="104"/>
      <c r="BCG341" s="104"/>
      <c r="BCH341" s="104"/>
      <c r="BCI341" s="104"/>
      <c r="BCJ341" s="104"/>
      <c r="BCK341" s="104"/>
      <c r="BCL341" s="104"/>
      <c r="BCM341" s="104"/>
      <c r="BCN341" s="104"/>
      <c r="BCO341" s="104"/>
      <c r="BCP341" s="104"/>
      <c r="BCQ341" s="104"/>
      <c r="BCR341" s="104"/>
      <c r="BCS341" s="104"/>
      <c r="BCT341" s="104"/>
      <c r="BCU341" s="104"/>
      <c r="BCV341" s="104"/>
      <c r="BCW341" s="104"/>
      <c r="BCX341" s="104"/>
      <c r="BCY341" s="104"/>
      <c r="BCZ341" s="104"/>
      <c r="BDA341" s="104"/>
      <c r="BDB341" s="104"/>
      <c r="BDC341" s="104"/>
      <c r="BDD341" s="104"/>
      <c r="BDE341" s="104"/>
      <c r="BDF341" s="104"/>
      <c r="BDG341" s="104"/>
      <c r="BDH341" s="104"/>
      <c r="BDI341" s="104"/>
      <c r="BDJ341" s="104"/>
      <c r="BDK341" s="104"/>
      <c r="BDL341" s="104"/>
      <c r="BDM341" s="104"/>
      <c r="BDN341" s="104"/>
      <c r="BDO341" s="104"/>
      <c r="BDP341" s="104"/>
      <c r="BDQ341" s="104"/>
      <c r="BDR341" s="104"/>
      <c r="BDS341" s="104"/>
      <c r="BDT341" s="104"/>
      <c r="BDU341" s="104"/>
      <c r="BDV341" s="104"/>
      <c r="BDW341" s="104"/>
      <c r="BDX341" s="104"/>
      <c r="BDY341" s="104"/>
      <c r="BDZ341" s="104"/>
      <c r="BEA341" s="104"/>
      <c r="BEB341" s="104"/>
      <c r="BEC341" s="104"/>
      <c r="BED341" s="104"/>
      <c r="BEE341" s="104"/>
      <c r="BEF341" s="104"/>
      <c r="BEG341" s="104"/>
      <c r="BEH341" s="104"/>
      <c r="BEI341" s="104"/>
      <c r="BEJ341" s="104"/>
      <c r="BEK341" s="104"/>
      <c r="BEL341" s="104"/>
      <c r="BEM341" s="104"/>
      <c r="BEN341" s="104"/>
      <c r="BEO341" s="104"/>
      <c r="BEP341" s="104"/>
      <c r="BEQ341" s="104"/>
      <c r="BER341" s="104"/>
      <c r="BES341" s="104"/>
      <c r="BET341" s="104"/>
      <c r="BEU341" s="104"/>
      <c r="BEV341" s="104"/>
      <c r="BEW341" s="104"/>
      <c r="BEX341" s="104"/>
      <c r="BEY341" s="104"/>
      <c r="BEZ341" s="104"/>
      <c r="BFA341" s="104"/>
      <c r="BFB341" s="104"/>
      <c r="BFC341" s="104"/>
      <c r="BFD341" s="104"/>
      <c r="BFE341" s="104"/>
      <c r="BFF341" s="104"/>
      <c r="BFG341" s="104"/>
      <c r="BFH341" s="104"/>
      <c r="BFI341" s="104"/>
      <c r="BFJ341" s="104"/>
      <c r="BFK341" s="104"/>
      <c r="BFL341" s="104"/>
      <c r="BFM341" s="104"/>
      <c r="BFN341" s="104"/>
      <c r="BFO341" s="104"/>
      <c r="BFP341" s="104"/>
      <c r="BFQ341" s="104"/>
      <c r="BFR341" s="104"/>
      <c r="BFS341" s="104"/>
      <c r="BFT341" s="104"/>
      <c r="BFU341" s="104"/>
      <c r="BFV341" s="104"/>
      <c r="BFW341" s="104"/>
      <c r="BFX341" s="104"/>
      <c r="BFY341" s="104"/>
      <c r="BFZ341" s="104"/>
      <c r="BGA341" s="104"/>
      <c r="BGB341" s="104"/>
      <c r="BGC341" s="104"/>
      <c r="BGD341" s="104"/>
      <c r="BGE341" s="104"/>
      <c r="BGF341" s="104"/>
      <c r="BGG341" s="104"/>
      <c r="BGH341" s="104"/>
      <c r="BGI341" s="104"/>
      <c r="BGJ341" s="104"/>
      <c r="BGK341" s="104"/>
      <c r="BGL341" s="104"/>
      <c r="BGM341" s="104"/>
      <c r="BGN341" s="104"/>
      <c r="BGO341" s="104"/>
      <c r="BGP341" s="104"/>
      <c r="BGQ341" s="104"/>
      <c r="BGR341" s="104"/>
      <c r="BGS341" s="104"/>
      <c r="BGT341" s="104"/>
      <c r="BGU341" s="104"/>
      <c r="BGV341" s="104"/>
      <c r="BGW341" s="104"/>
      <c r="BGX341" s="104"/>
      <c r="BGY341" s="104"/>
      <c r="BGZ341" s="104"/>
      <c r="BHA341" s="104"/>
      <c r="BHB341" s="104"/>
      <c r="BHC341" s="104"/>
      <c r="BHD341" s="104"/>
      <c r="BHE341" s="104"/>
      <c r="BHF341" s="104"/>
      <c r="BHG341" s="104"/>
      <c r="BHH341" s="104"/>
      <c r="BHI341" s="104"/>
      <c r="BHJ341" s="104"/>
      <c r="BHK341" s="104"/>
      <c r="BHL341" s="104"/>
      <c r="BHM341" s="104"/>
      <c r="BHN341" s="104"/>
      <c r="BHO341" s="104"/>
      <c r="BHP341" s="104"/>
      <c r="BHQ341" s="104"/>
      <c r="BHR341" s="104"/>
      <c r="BHS341" s="104"/>
      <c r="BHT341" s="104"/>
      <c r="BHU341" s="104"/>
      <c r="BHV341" s="104"/>
      <c r="BHW341" s="104"/>
      <c r="BHX341" s="104"/>
      <c r="BHY341" s="104"/>
      <c r="BHZ341" s="104"/>
      <c r="BIA341" s="104"/>
      <c r="BIB341" s="104"/>
      <c r="BIC341" s="104"/>
      <c r="BID341" s="104"/>
      <c r="BIE341" s="104"/>
      <c r="BIF341" s="104"/>
      <c r="BIG341" s="104"/>
      <c r="BIH341" s="104"/>
      <c r="BII341" s="104"/>
      <c r="BIJ341" s="104"/>
      <c r="BIK341" s="104"/>
      <c r="BIL341" s="104"/>
      <c r="BIM341" s="104"/>
      <c r="BIN341" s="104"/>
      <c r="BIO341" s="104"/>
      <c r="BIP341" s="104"/>
      <c r="BIQ341" s="104"/>
      <c r="BIR341" s="104"/>
      <c r="BIS341" s="104"/>
      <c r="BIT341" s="104"/>
      <c r="BIU341" s="104"/>
      <c r="BIV341" s="104"/>
      <c r="BIW341" s="104"/>
      <c r="BIX341" s="104"/>
      <c r="BIY341" s="104"/>
      <c r="BIZ341" s="104"/>
      <c r="BJA341" s="104"/>
      <c r="BJB341" s="104"/>
      <c r="BJC341" s="104"/>
      <c r="BJD341" s="104"/>
      <c r="BJE341" s="104"/>
      <c r="BJF341" s="104"/>
      <c r="BJG341" s="104"/>
      <c r="BJH341" s="104"/>
      <c r="BJI341" s="104"/>
      <c r="BJJ341" s="104"/>
      <c r="BJK341" s="104"/>
      <c r="BJL341" s="104"/>
      <c r="BJM341" s="104"/>
      <c r="BJN341" s="104"/>
      <c r="BJO341" s="104"/>
      <c r="BJP341" s="104"/>
      <c r="BJQ341" s="104"/>
      <c r="BJR341" s="104"/>
      <c r="BJS341" s="104"/>
      <c r="BJT341" s="104"/>
      <c r="BJU341" s="104"/>
      <c r="BJV341" s="104"/>
      <c r="BJW341" s="104"/>
      <c r="BJX341" s="104"/>
      <c r="BJY341" s="104"/>
      <c r="BJZ341" s="104"/>
      <c r="BKA341" s="104"/>
      <c r="BKB341" s="104"/>
      <c r="BKC341" s="104"/>
      <c r="BKD341" s="104"/>
      <c r="BKE341" s="104"/>
      <c r="BKF341" s="104"/>
      <c r="BKG341" s="104"/>
      <c r="BKH341" s="104"/>
      <c r="BKI341" s="104"/>
      <c r="BKJ341" s="104"/>
      <c r="BKK341" s="104"/>
      <c r="BKL341" s="104"/>
      <c r="BKM341" s="104"/>
      <c r="BKN341" s="104"/>
      <c r="BKO341" s="104"/>
      <c r="BKP341" s="104"/>
      <c r="BKQ341" s="104"/>
      <c r="BKR341" s="104"/>
      <c r="BKS341" s="104"/>
      <c r="BKT341" s="104"/>
      <c r="BKU341" s="104"/>
      <c r="BKV341" s="104"/>
      <c r="BKW341" s="104"/>
      <c r="BKX341" s="104"/>
      <c r="BKY341" s="104"/>
      <c r="BKZ341" s="104"/>
      <c r="BLA341" s="104"/>
      <c r="BLB341" s="104"/>
      <c r="BLC341" s="104"/>
      <c r="BLD341" s="104"/>
      <c r="BLE341" s="104"/>
      <c r="BLF341" s="104"/>
      <c r="BLG341" s="104"/>
      <c r="BLH341" s="104"/>
      <c r="BLI341" s="104"/>
      <c r="BLJ341" s="104"/>
      <c r="BLK341" s="104"/>
      <c r="BLL341" s="104"/>
      <c r="BLM341" s="104"/>
      <c r="BLN341" s="104"/>
      <c r="BLO341" s="104"/>
      <c r="BLP341" s="104"/>
      <c r="BLQ341" s="104"/>
      <c r="BLR341" s="104"/>
      <c r="BLS341" s="104"/>
      <c r="BLT341" s="104"/>
      <c r="BLU341" s="104"/>
      <c r="BLV341" s="104"/>
      <c r="BLW341" s="104"/>
      <c r="BLX341" s="104"/>
      <c r="BLY341" s="104"/>
      <c r="BLZ341" s="104"/>
      <c r="BMA341" s="104"/>
      <c r="BMB341" s="104"/>
      <c r="BMC341" s="104"/>
      <c r="BMD341" s="104"/>
      <c r="BME341" s="104"/>
      <c r="BMF341" s="104"/>
      <c r="BMG341" s="104"/>
      <c r="BMH341" s="104"/>
      <c r="BMI341" s="104"/>
      <c r="BMJ341" s="104"/>
      <c r="BMK341" s="104"/>
      <c r="BML341" s="104"/>
      <c r="BMM341" s="104"/>
      <c r="BMN341" s="104"/>
      <c r="BMO341" s="104"/>
      <c r="BMP341" s="104"/>
      <c r="BMQ341" s="104"/>
      <c r="BMR341" s="104"/>
      <c r="BMS341" s="104"/>
      <c r="BMT341" s="104"/>
      <c r="BMU341" s="104"/>
      <c r="BMV341" s="104"/>
      <c r="BMW341" s="104"/>
      <c r="BMX341" s="104"/>
      <c r="BMY341" s="104"/>
      <c r="BMZ341" s="104"/>
      <c r="BNA341" s="104"/>
      <c r="BNB341" s="104"/>
      <c r="BNC341" s="104"/>
      <c r="BND341" s="104"/>
      <c r="BNE341" s="104"/>
      <c r="BNF341" s="104"/>
      <c r="BNG341" s="104"/>
      <c r="BNH341" s="104"/>
      <c r="BNI341" s="104"/>
      <c r="BNJ341" s="104"/>
      <c r="BNK341" s="104"/>
      <c r="BNL341" s="104"/>
      <c r="BNM341" s="104"/>
      <c r="BNN341" s="104"/>
      <c r="BNO341" s="104"/>
      <c r="BNP341" s="104"/>
      <c r="BNQ341" s="104"/>
      <c r="BNR341" s="104"/>
      <c r="BNS341" s="104"/>
      <c r="BNT341" s="104"/>
      <c r="BNU341" s="104"/>
      <c r="BNV341" s="104"/>
      <c r="BNW341" s="104"/>
      <c r="BNX341" s="104"/>
      <c r="BNY341" s="104"/>
      <c r="BNZ341" s="104"/>
      <c r="BOA341" s="104"/>
      <c r="BOB341" s="104"/>
      <c r="BOC341" s="104"/>
      <c r="BOD341" s="104"/>
      <c r="BOE341" s="104"/>
      <c r="BOF341" s="104"/>
      <c r="BOG341" s="104"/>
      <c r="BOH341" s="104"/>
      <c r="BOI341" s="104"/>
      <c r="BOJ341" s="104"/>
      <c r="BOK341" s="104"/>
      <c r="BOL341" s="104"/>
      <c r="BOM341" s="104"/>
      <c r="BON341" s="104"/>
      <c r="BOO341" s="104"/>
      <c r="BOP341" s="104"/>
      <c r="BOQ341" s="104"/>
      <c r="BOR341" s="104"/>
      <c r="BOS341" s="104"/>
      <c r="BOT341" s="104"/>
      <c r="BOU341" s="104"/>
      <c r="BOV341" s="104"/>
      <c r="BOW341" s="104"/>
      <c r="BOX341" s="104"/>
      <c r="BOY341" s="104"/>
      <c r="BOZ341" s="104"/>
      <c r="BPA341" s="104"/>
      <c r="BPB341" s="104"/>
      <c r="BPC341" s="104"/>
      <c r="BPD341" s="104"/>
      <c r="BPE341" s="104"/>
      <c r="BPF341" s="104"/>
      <c r="BPG341" s="104"/>
      <c r="BPH341" s="104"/>
      <c r="BPI341" s="104"/>
      <c r="BPJ341" s="104"/>
      <c r="BPK341" s="104"/>
      <c r="BPL341" s="104"/>
      <c r="BPM341" s="104"/>
      <c r="BPN341" s="104"/>
      <c r="BPO341" s="104"/>
      <c r="BPP341" s="104"/>
      <c r="BPQ341" s="104"/>
      <c r="BPR341" s="104"/>
      <c r="BPS341" s="104"/>
      <c r="BPT341" s="104"/>
      <c r="BPU341" s="104"/>
      <c r="BPV341" s="104"/>
      <c r="BPW341" s="104"/>
      <c r="BPX341" s="104"/>
      <c r="BPY341" s="104"/>
      <c r="BPZ341" s="104"/>
      <c r="BQA341" s="104"/>
      <c r="BQB341" s="104"/>
      <c r="BQC341" s="104"/>
      <c r="BQD341" s="104"/>
      <c r="BQE341" s="104"/>
      <c r="BQF341" s="104"/>
      <c r="BQG341" s="104"/>
      <c r="BQH341" s="104"/>
      <c r="BQI341" s="104"/>
      <c r="BQJ341" s="104"/>
      <c r="BQK341" s="104"/>
      <c r="BQL341" s="104"/>
      <c r="BQM341" s="104"/>
      <c r="BQN341" s="104"/>
      <c r="BQO341" s="104"/>
      <c r="BQP341" s="104"/>
      <c r="BQQ341" s="104"/>
      <c r="BQR341" s="104"/>
      <c r="BQS341" s="104"/>
      <c r="BQT341" s="104"/>
      <c r="BQU341" s="104"/>
      <c r="BQV341" s="104"/>
      <c r="BQW341" s="104"/>
      <c r="BQX341" s="104"/>
      <c r="BQY341" s="104"/>
      <c r="BQZ341" s="104"/>
      <c r="BRA341" s="104"/>
      <c r="BRB341" s="104"/>
      <c r="BRC341" s="104"/>
      <c r="BRD341" s="104"/>
      <c r="BRE341" s="104"/>
      <c r="BRF341" s="104"/>
      <c r="BRG341" s="104"/>
      <c r="BRH341" s="104"/>
      <c r="BRI341" s="104"/>
      <c r="BRJ341" s="104"/>
      <c r="BRK341" s="104"/>
      <c r="BRL341" s="104"/>
      <c r="BRM341" s="104"/>
      <c r="BRN341" s="104"/>
      <c r="BRO341" s="104"/>
      <c r="BRP341" s="104"/>
      <c r="BRQ341" s="104"/>
      <c r="BRR341" s="104"/>
      <c r="BRS341" s="104"/>
      <c r="BRT341" s="104"/>
      <c r="BRU341" s="104"/>
      <c r="BRV341" s="104"/>
      <c r="BRW341" s="104"/>
      <c r="BRX341" s="104"/>
      <c r="BRY341" s="104"/>
      <c r="BRZ341" s="104"/>
      <c r="BSA341" s="104"/>
      <c r="BSB341" s="104"/>
      <c r="BSC341" s="104"/>
      <c r="BSD341" s="104"/>
      <c r="BSE341" s="104"/>
      <c r="BSF341" s="104"/>
      <c r="BSG341" s="104"/>
      <c r="BSH341" s="104"/>
      <c r="BSI341" s="104"/>
      <c r="BSJ341" s="104"/>
      <c r="BSK341" s="104"/>
      <c r="BSL341" s="104"/>
      <c r="BSM341" s="104"/>
      <c r="BSN341" s="104"/>
      <c r="BSO341" s="104"/>
      <c r="BSP341" s="104"/>
      <c r="BSQ341" s="104"/>
      <c r="BSR341" s="104"/>
      <c r="BSS341" s="104"/>
      <c r="BST341" s="104"/>
      <c r="BSU341" s="104"/>
      <c r="BSV341" s="104"/>
      <c r="BSW341" s="104"/>
      <c r="BSX341" s="104"/>
      <c r="BSY341" s="104"/>
      <c r="BSZ341" s="104"/>
      <c r="BTA341" s="104"/>
      <c r="BTB341" s="104"/>
      <c r="BTC341" s="104"/>
      <c r="BTD341" s="104"/>
      <c r="BTE341" s="104"/>
      <c r="BTF341" s="104"/>
      <c r="BTG341" s="104"/>
      <c r="BTH341" s="104"/>
      <c r="BTI341" s="104"/>
      <c r="BTJ341" s="104"/>
      <c r="BTK341" s="104"/>
      <c r="BTL341" s="104"/>
      <c r="BTM341" s="104"/>
      <c r="BTN341" s="104"/>
      <c r="BTO341" s="104"/>
      <c r="BTP341" s="104"/>
      <c r="BTQ341" s="104"/>
      <c r="BTR341" s="104"/>
      <c r="BTS341" s="104"/>
      <c r="BTT341" s="104"/>
      <c r="BTU341" s="104"/>
      <c r="BTV341" s="104"/>
      <c r="BTW341" s="104"/>
      <c r="BTX341" s="104"/>
      <c r="BTY341" s="104"/>
      <c r="BTZ341" s="104"/>
      <c r="BUA341" s="104"/>
      <c r="BUB341" s="104"/>
      <c r="BUC341" s="104"/>
      <c r="BUD341" s="104"/>
      <c r="BUE341" s="104"/>
      <c r="BUF341" s="104"/>
      <c r="BUG341" s="104"/>
      <c r="BUH341" s="104"/>
      <c r="BUI341" s="104"/>
      <c r="BUJ341" s="104"/>
      <c r="BUK341" s="104"/>
      <c r="BUL341" s="104"/>
      <c r="BUM341" s="104"/>
      <c r="BUN341" s="104"/>
      <c r="BUO341" s="104"/>
      <c r="BUP341" s="104"/>
      <c r="BUQ341" s="104"/>
      <c r="BUR341" s="104"/>
      <c r="BUS341" s="104"/>
      <c r="BUT341" s="104"/>
      <c r="BUU341" s="104"/>
      <c r="BUV341" s="104"/>
      <c r="BUW341" s="104"/>
      <c r="BUX341" s="104"/>
      <c r="BUY341" s="104"/>
      <c r="BUZ341" s="104"/>
      <c r="BVA341" s="104"/>
      <c r="BVB341" s="104"/>
      <c r="BVC341" s="104"/>
      <c r="BVD341" s="104"/>
      <c r="BVE341" s="104"/>
      <c r="BVF341" s="104"/>
      <c r="BVG341" s="104"/>
      <c r="BVH341" s="104"/>
      <c r="BVI341" s="104"/>
      <c r="BVJ341" s="104"/>
      <c r="BVK341" s="104"/>
      <c r="BVL341" s="104"/>
      <c r="BVM341" s="104"/>
      <c r="BVN341" s="104"/>
      <c r="BVO341" s="104"/>
      <c r="BVP341" s="104"/>
      <c r="BVQ341" s="104"/>
      <c r="BVR341" s="104"/>
      <c r="BVS341" s="104"/>
      <c r="BVT341" s="104"/>
      <c r="BVU341" s="104"/>
      <c r="BVV341" s="104"/>
      <c r="BVW341" s="104"/>
      <c r="BVX341" s="104"/>
      <c r="BVY341" s="104"/>
      <c r="BVZ341" s="104"/>
      <c r="BWA341" s="104"/>
      <c r="BWB341" s="104"/>
      <c r="BWC341" s="104"/>
      <c r="BWD341" s="104"/>
      <c r="BWE341" s="104"/>
      <c r="BWF341" s="104"/>
      <c r="BWG341" s="104"/>
      <c r="BWH341" s="104"/>
      <c r="BWI341" s="104"/>
      <c r="BWJ341" s="104"/>
      <c r="BWK341" s="104"/>
      <c r="BWL341" s="104"/>
      <c r="BWM341" s="104"/>
      <c r="BWN341" s="104"/>
      <c r="BWO341" s="104"/>
      <c r="BWP341" s="104"/>
      <c r="BWQ341" s="104"/>
      <c r="BWR341" s="104"/>
      <c r="BWS341" s="104"/>
      <c r="BWT341" s="104"/>
      <c r="BWU341" s="104"/>
      <c r="BWV341" s="104"/>
      <c r="BWW341" s="104"/>
      <c r="BWX341" s="104"/>
      <c r="BWY341" s="104"/>
      <c r="BWZ341" s="104"/>
      <c r="BXA341" s="104"/>
      <c r="BXB341" s="104"/>
      <c r="BXC341" s="104"/>
      <c r="BXD341" s="104"/>
      <c r="BXE341" s="104"/>
      <c r="BXF341" s="104"/>
      <c r="BXG341" s="104"/>
      <c r="BXH341" s="104"/>
      <c r="BXI341" s="104"/>
      <c r="BXJ341" s="104"/>
      <c r="BXK341" s="104"/>
      <c r="BXL341" s="104"/>
      <c r="BXM341" s="104"/>
      <c r="BXN341" s="104"/>
      <c r="BXO341" s="104"/>
      <c r="BXP341" s="104"/>
      <c r="BXQ341" s="104"/>
      <c r="BXR341" s="104"/>
      <c r="BXS341" s="104"/>
      <c r="BXT341" s="104"/>
      <c r="BXU341" s="104"/>
      <c r="BXV341" s="104"/>
      <c r="BXW341" s="104"/>
      <c r="BXX341" s="104"/>
      <c r="BXY341" s="104"/>
      <c r="BXZ341" s="104"/>
      <c r="BYA341" s="104"/>
      <c r="BYB341" s="104"/>
      <c r="BYC341" s="104"/>
      <c r="BYD341" s="104"/>
      <c r="BYE341" s="104"/>
      <c r="BYF341" s="104"/>
      <c r="BYG341" s="104"/>
      <c r="BYH341" s="104"/>
      <c r="BYI341" s="104"/>
      <c r="BYJ341" s="104"/>
      <c r="BYK341" s="104"/>
      <c r="BYL341" s="104"/>
      <c r="BYM341" s="104"/>
      <c r="BYN341" s="104"/>
      <c r="BYO341" s="104"/>
      <c r="BYP341" s="104"/>
      <c r="BYQ341" s="104"/>
      <c r="BYR341" s="104"/>
      <c r="BYS341" s="104"/>
      <c r="BYT341" s="104"/>
      <c r="BYU341" s="104"/>
      <c r="BYV341" s="104"/>
      <c r="BYW341" s="104"/>
      <c r="BYX341" s="104"/>
      <c r="BYY341" s="104"/>
      <c r="BYZ341" s="104"/>
      <c r="BZA341" s="104"/>
      <c r="BZB341" s="104"/>
      <c r="BZC341" s="104"/>
      <c r="BZD341" s="104"/>
      <c r="BZE341" s="104"/>
      <c r="BZF341" s="104"/>
      <c r="BZG341" s="104"/>
      <c r="BZH341" s="104"/>
      <c r="BZI341" s="104"/>
      <c r="BZJ341" s="104"/>
      <c r="BZK341" s="104"/>
      <c r="BZL341" s="104"/>
      <c r="BZM341" s="104"/>
      <c r="BZN341" s="104"/>
      <c r="BZO341" s="104"/>
      <c r="BZP341" s="104"/>
      <c r="BZQ341" s="104"/>
      <c r="BZR341" s="104"/>
      <c r="BZS341" s="104"/>
      <c r="BZT341" s="104"/>
      <c r="BZU341" s="104"/>
      <c r="BZV341" s="104"/>
      <c r="BZW341" s="104"/>
      <c r="BZX341" s="104"/>
      <c r="BZY341" s="104"/>
      <c r="BZZ341" s="104"/>
      <c r="CAA341" s="104"/>
      <c r="CAB341" s="104"/>
      <c r="CAC341" s="104"/>
      <c r="CAD341" s="104"/>
      <c r="CAE341" s="104"/>
      <c r="CAF341" s="104"/>
      <c r="CAG341" s="104"/>
      <c r="CAH341" s="104"/>
      <c r="CAI341" s="104"/>
      <c r="CAJ341" s="104"/>
      <c r="CAK341" s="104"/>
      <c r="CAL341" s="104"/>
      <c r="CAM341" s="104"/>
      <c r="CAN341" s="104"/>
      <c r="CAO341" s="104"/>
      <c r="CAP341" s="104"/>
      <c r="CAQ341" s="104"/>
      <c r="CAR341" s="104"/>
      <c r="CAS341" s="104"/>
      <c r="CAT341" s="104"/>
      <c r="CAU341" s="104"/>
      <c r="CAV341" s="104"/>
      <c r="CAW341" s="104"/>
      <c r="CAX341" s="104"/>
      <c r="CAY341" s="104"/>
      <c r="CAZ341" s="104"/>
      <c r="CBA341" s="104"/>
      <c r="CBB341" s="104"/>
      <c r="CBC341" s="104"/>
      <c r="CBD341" s="104"/>
      <c r="CBE341" s="104"/>
      <c r="CBF341" s="104"/>
      <c r="CBG341" s="104"/>
      <c r="CBH341" s="104"/>
      <c r="CBI341" s="104"/>
      <c r="CBJ341" s="104"/>
      <c r="CBK341" s="104"/>
      <c r="CBL341" s="104"/>
      <c r="CBM341" s="104"/>
      <c r="CBN341" s="104"/>
      <c r="CBO341" s="104"/>
      <c r="CBP341" s="104"/>
      <c r="CBQ341" s="104"/>
      <c r="CBR341" s="104"/>
      <c r="CBS341" s="104"/>
      <c r="CBT341" s="104"/>
      <c r="CBU341" s="104"/>
      <c r="CBV341" s="104"/>
      <c r="CBW341" s="104"/>
      <c r="CBX341" s="104"/>
      <c r="CBY341" s="104"/>
      <c r="CBZ341" s="104"/>
      <c r="CCA341" s="104"/>
      <c r="CCB341" s="104"/>
      <c r="CCC341" s="104"/>
      <c r="CCD341" s="104"/>
      <c r="CCE341" s="104"/>
      <c r="CCF341" s="104"/>
      <c r="CCG341" s="104"/>
      <c r="CCH341" s="104"/>
      <c r="CCI341" s="104"/>
      <c r="CCJ341" s="104"/>
      <c r="CCK341" s="104"/>
      <c r="CCL341" s="104"/>
      <c r="CCM341" s="104"/>
      <c r="CCN341" s="104"/>
      <c r="CCO341" s="104"/>
      <c r="CCP341" s="104"/>
      <c r="CCQ341" s="104"/>
      <c r="CCR341" s="104"/>
      <c r="CCS341" s="104"/>
      <c r="CCT341" s="104"/>
      <c r="CCU341" s="104"/>
      <c r="CCV341" s="104"/>
      <c r="CCW341" s="104"/>
      <c r="CCX341" s="104"/>
      <c r="CCY341" s="104"/>
      <c r="CCZ341" s="104"/>
      <c r="CDA341" s="104"/>
      <c r="CDB341" s="104"/>
      <c r="CDC341" s="104"/>
      <c r="CDD341" s="104"/>
      <c r="CDE341" s="104"/>
      <c r="CDF341" s="104"/>
      <c r="CDG341" s="104"/>
      <c r="CDH341" s="104"/>
      <c r="CDI341" s="104"/>
      <c r="CDJ341" s="104"/>
      <c r="CDK341" s="104"/>
      <c r="CDL341" s="104"/>
      <c r="CDM341" s="104"/>
      <c r="CDN341" s="104"/>
      <c r="CDO341" s="104"/>
      <c r="CDP341" s="104"/>
      <c r="CDQ341" s="104"/>
      <c r="CDR341" s="104"/>
      <c r="CDS341" s="104"/>
      <c r="CDT341" s="104"/>
      <c r="CDU341" s="104"/>
      <c r="CDV341" s="104"/>
      <c r="CDW341" s="104"/>
      <c r="CDX341" s="104"/>
      <c r="CDY341" s="104"/>
      <c r="CDZ341" s="104"/>
      <c r="CEA341" s="104"/>
      <c r="CEB341" s="104"/>
      <c r="CEC341" s="104"/>
      <c r="CED341" s="104"/>
      <c r="CEE341" s="104"/>
      <c r="CEF341" s="104"/>
      <c r="CEG341" s="104"/>
      <c r="CEH341" s="104"/>
      <c r="CEI341" s="104"/>
      <c r="CEJ341" s="104"/>
      <c r="CEK341" s="104"/>
      <c r="CEL341" s="104"/>
      <c r="CEM341" s="104"/>
      <c r="CEN341" s="104"/>
      <c r="CEO341" s="104"/>
      <c r="CEP341" s="104"/>
      <c r="CEQ341" s="104"/>
      <c r="CER341" s="104"/>
      <c r="CES341" s="104"/>
      <c r="CET341" s="104"/>
      <c r="CEU341" s="104"/>
      <c r="CEV341" s="104"/>
      <c r="CEW341" s="104"/>
      <c r="CEX341" s="104"/>
      <c r="CEY341" s="104"/>
      <c r="CEZ341" s="104"/>
      <c r="CFA341" s="104"/>
      <c r="CFB341" s="104"/>
      <c r="CFC341" s="104"/>
      <c r="CFD341" s="104"/>
      <c r="CFE341" s="104"/>
      <c r="CFF341" s="104"/>
      <c r="CFG341" s="104"/>
      <c r="CFH341" s="104"/>
      <c r="CFI341" s="104"/>
      <c r="CFJ341" s="104"/>
      <c r="CFK341" s="104"/>
      <c r="CFL341" s="104"/>
      <c r="CFM341" s="104"/>
      <c r="CFN341" s="104"/>
      <c r="CFO341" s="104"/>
      <c r="CFP341" s="104"/>
      <c r="CFQ341" s="104"/>
      <c r="CFR341" s="104"/>
      <c r="CFS341" s="104"/>
      <c r="CFT341" s="104"/>
      <c r="CFU341" s="104"/>
      <c r="CFV341" s="104"/>
      <c r="CFW341" s="104"/>
      <c r="CFX341" s="104"/>
      <c r="CFY341" s="104"/>
      <c r="CFZ341" s="104"/>
      <c r="CGA341" s="104"/>
      <c r="CGB341" s="104"/>
      <c r="CGC341" s="104"/>
      <c r="CGD341" s="104"/>
      <c r="CGE341" s="104"/>
      <c r="CGF341" s="104"/>
      <c r="CGG341" s="104"/>
      <c r="CGH341" s="104"/>
      <c r="CGI341" s="104"/>
      <c r="CGJ341" s="104"/>
      <c r="CGK341" s="104"/>
      <c r="CGL341" s="104"/>
      <c r="CGM341" s="104"/>
      <c r="CGN341" s="104"/>
      <c r="CGO341" s="104"/>
      <c r="CGP341" s="104"/>
      <c r="CGQ341" s="104"/>
      <c r="CGR341" s="104"/>
      <c r="CGS341" s="104"/>
      <c r="CGT341" s="104"/>
      <c r="CGU341" s="104"/>
      <c r="CGV341" s="104"/>
      <c r="CGW341" s="104"/>
      <c r="CGX341" s="104"/>
      <c r="CGY341" s="104"/>
      <c r="CGZ341" s="104"/>
      <c r="CHA341" s="104"/>
      <c r="CHB341" s="104"/>
      <c r="CHC341" s="104"/>
      <c r="CHD341" s="104"/>
      <c r="CHE341" s="104"/>
      <c r="CHF341" s="104"/>
      <c r="CHG341" s="104"/>
      <c r="CHH341" s="104"/>
      <c r="CHI341" s="104"/>
      <c r="CHJ341" s="104"/>
      <c r="CHK341" s="104"/>
      <c r="CHL341" s="104"/>
      <c r="CHM341" s="104"/>
      <c r="CHN341" s="104"/>
      <c r="CHO341" s="104"/>
      <c r="CHP341" s="104"/>
      <c r="CHQ341" s="104"/>
      <c r="CHR341" s="104"/>
      <c r="CHS341" s="104"/>
      <c r="CHT341" s="104"/>
      <c r="CHU341" s="104"/>
      <c r="CHV341" s="104"/>
      <c r="CHW341" s="104"/>
      <c r="CHX341" s="104"/>
      <c r="CHY341" s="104"/>
      <c r="CHZ341" s="104"/>
      <c r="CIA341" s="104"/>
      <c r="CIB341" s="104"/>
      <c r="CIC341" s="104"/>
      <c r="CID341" s="104"/>
      <c r="CIE341" s="104"/>
      <c r="CIF341" s="104"/>
      <c r="CIG341" s="104"/>
      <c r="CIH341" s="104"/>
      <c r="CII341" s="104"/>
      <c r="CIJ341" s="104"/>
      <c r="CIK341" s="104"/>
      <c r="CIL341" s="104"/>
      <c r="CIM341" s="104"/>
      <c r="CIN341" s="104"/>
      <c r="CIO341" s="104"/>
      <c r="CIP341" s="104"/>
      <c r="CIQ341" s="104"/>
      <c r="CIR341" s="104"/>
      <c r="CIS341" s="104"/>
      <c r="CIT341" s="104"/>
      <c r="CIU341" s="104"/>
      <c r="CIV341" s="104"/>
      <c r="CIW341" s="104"/>
      <c r="CIX341" s="104"/>
      <c r="CIY341" s="104"/>
      <c r="CIZ341" s="104"/>
      <c r="CJA341" s="104"/>
      <c r="CJB341" s="104"/>
      <c r="CJC341" s="104"/>
      <c r="CJD341" s="104"/>
      <c r="CJE341" s="104"/>
      <c r="CJF341" s="104"/>
      <c r="CJG341" s="104"/>
      <c r="CJH341" s="104"/>
      <c r="CJI341" s="104"/>
      <c r="CJJ341" s="104"/>
      <c r="CJK341" s="104"/>
      <c r="CJL341" s="104"/>
      <c r="CJM341" s="104"/>
      <c r="CJN341" s="104"/>
      <c r="CJO341" s="104"/>
      <c r="CJP341" s="104"/>
      <c r="CJQ341" s="104"/>
      <c r="CJR341" s="104"/>
      <c r="CJS341" s="104"/>
      <c r="CJT341" s="104"/>
      <c r="CJU341" s="104"/>
      <c r="CJV341" s="104"/>
      <c r="CJW341" s="104"/>
      <c r="CJX341" s="104"/>
      <c r="CJY341" s="104"/>
      <c r="CJZ341" s="104"/>
      <c r="CKA341" s="104"/>
      <c r="CKB341" s="104"/>
      <c r="CKC341" s="104"/>
      <c r="CKD341" s="104"/>
      <c r="CKE341" s="104"/>
      <c r="CKF341" s="104"/>
      <c r="CKG341" s="104"/>
      <c r="CKH341" s="104"/>
      <c r="CKI341" s="104"/>
      <c r="CKJ341" s="104"/>
      <c r="CKK341" s="104"/>
      <c r="CKL341" s="104"/>
      <c r="CKM341" s="104"/>
      <c r="CKN341" s="104"/>
      <c r="CKO341" s="104"/>
      <c r="CKP341" s="104"/>
      <c r="CKQ341" s="104"/>
      <c r="CKR341" s="104"/>
      <c r="CKS341" s="104"/>
      <c r="CKT341" s="104"/>
      <c r="CKU341" s="104"/>
      <c r="CKV341" s="104"/>
      <c r="CKW341" s="104"/>
      <c r="CKX341" s="104"/>
      <c r="CKY341" s="104"/>
      <c r="CKZ341" s="104"/>
      <c r="CLA341" s="104"/>
      <c r="CLB341" s="104"/>
      <c r="CLC341" s="104"/>
      <c r="CLD341" s="104"/>
      <c r="CLE341" s="104"/>
      <c r="CLF341" s="104"/>
      <c r="CLG341" s="104"/>
      <c r="CLH341" s="104"/>
      <c r="CLI341" s="104"/>
      <c r="CLJ341" s="104"/>
      <c r="CLK341" s="104"/>
      <c r="CLL341" s="104"/>
      <c r="CLM341" s="104"/>
      <c r="CLN341" s="104"/>
      <c r="CLO341" s="104"/>
      <c r="CLP341" s="104"/>
      <c r="CLQ341" s="104"/>
      <c r="CLR341" s="104"/>
      <c r="CLS341" s="104"/>
      <c r="CLT341" s="104"/>
      <c r="CLU341" s="104"/>
      <c r="CLV341" s="104"/>
      <c r="CLW341" s="104"/>
      <c r="CLX341" s="104"/>
      <c r="CLY341" s="104"/>
      <c r="CLZ341" s="104"/>
      <c r="CMA341" s="104"/>
      <c r="CMB341" s="104"/>
      <c r="CMC341" s="104"/>
      <c r="CMD341" s="104"/>
      <c r="CME341" s="104"/>
      <c r="CMF341" s="104"/>
      <c r="CMG341" s="104"/>
      <c r="CMH341" s="104"/>
      <c r="CMI341" s="104"/>
      <c r="CMJ341" s="104"/>
      <c r="CMK341" s="104"/>
      <c r="CML341" s="104"/>
      <c r="CMM341" s="104"/>
      <c r="CMN341" s="104"/>
      <c r="CMO341" s="104"/>
      <c r="CMP341" s="104"/>
      <c r="CMQ341" s="104"/>
      <c r="CMR341" s="104"/>
      <c r="CMS341" s="104"/>
      <c r="CMT341" s="104"/>
      <c r="CMU341" s="104"/>
      <c r="CMV341" s="104"/>
      <c r="CMW341" s="104"/>
      <c r="CMX341" s="104"/>
      <c r="CMY341" s="104"/>
      <c r="CMZ341" s="104"/>
      <c r="CNA341" s="104"/>
      <c r="CNB341" s="104"/>
      <c r="CNC341" s="104"/>
      <c r="CND341" s="104"/>
      <c r="CNE341" s="104"/>
      <c r="CNF341" s="104"/>
      <c r="CNG341" s="104"/>
      <c r="CNH341" s="104"/>
      <c r="CNI341" s="104"/>
      <c r="CNJ341" s="104"/>
      <c r="CNK341" s="104"/>
      <c r="CNL341" s="104"/>
      <c r="CNM341" s="104"/>
      <c r="CNN341" s="104"/>
      <c r="CNO341" s="104"/>
      <c r="CNP341" s="104"/>
      <c r="CNQ341" s="104"/>
      <c r="CNR341" s="104"/>
      <c r="CNS341" s="104"/>
      <c r="CNT341" s="104"/>
      <c r="CNU341" s="104"/>
      <c r="CNV341" s="104"/>
      <c r="CNW341" s="104"/>
      <c r="CNX341" s="104"/>
      <c r="CNY341" s="104"/>
      <c r="CNZ341" s="104"/>
      <c r="COA341" s="104"/>
      <c r="COB341" s="104"/>
      <c r="COC341" s="104"/>
      <c r="COD341" s="104"/>
      <c r="COE341" s="104"/>
      <c r="COF341" s="104"/>
      <c r="COG341" s="104"/>
      <c r="COH341" s="104"/>
      <c r="COI341" s="104"/>
      <c r="COJ341" s="104"/>
      <c r="COK341" s="104"/>
      <c r="COL341" s="104"/>
      <c r="COM341" s="104"/>
      <c r="CON341" s="104"/>
      <c r="COO341" s="104"/>
      <c r="COP341" s="104"/>
      <c r="COQ341" s="104"/>
      <c r="COR341" s="104"/>
      <c r="COS341" s="104"/>
      <c r="COT341" s="104"/>
      <c r="COU341" s="104"/>
      <c r="COV341" s="104"/>
      <c r="COW341" s="104"/>
      <c r="COX341" s="104"/>
      <c r="COY341" s="104"/>
      <c r="COZ341" s="104"/>
      <c r="CPA341" s="104"/>
      <c r="CPB341" s="104"/>
      <c r="CPC341" s="104"/>
      <c r="CPD341" s="104"/>
      <c r="CPE341" s="104"/>
      <c r="CPF341" s="104"/>
      <c r="CPG341" s="104"/>
      <c r="CPH341" s="104"/>
      <c r="CPI341" s="104"/>
      <c r="CPJ341" s="104"/>
      <c r="CPK341" s="104"/>
      <c r="CPL341" s="104"/>
      <c r="CPM341" s="104"/>
      <c r="CPN341" s="104"/>
      <c r="CPO341" s="104"/>
      <c r="CPP341" s="104"/>
      <c r="CPQ341" s="104"/>
      <c r="CPR341" s="104"/>
      <c r="CPS341" s="104"/>
      <c r="CPT341" s="104"/>
      <c r="CPU341" s="104"/>
      <c r="CPV341" s="104"/>
      <c r="CPW341" s="104"/>
      <c r="CPX341" s="104"/>
      <c r="CPY341" s="104"/>
      <c r="CPZ341" s="104"/>
      <c r="CQA341" s="104"/>
      <c r="CQB341" s="104"/>
      <c r="CQC341" s="104"/>
      <c r="CQD341" s="104"/>
      <c r="CQE341" s="104"/>
      <c r="CQF341" s="104"/>
      <c r="CQG341" s="104"/>
      <c r="CQH341" s="104"/>
      <c r="CQI341" s="104"/>
      <c r="CQJ341" s="104"/>
      <c r="CQK341" s="104"/>
      <c r="CQL341" s="104"/>
      <c r="CQM341" s="104"/>
      <c r="CQN341" s="104"/>
      <c r="CQO341" s="104"/>
      <c r="CQP341" s="104"/>
      <c r="CQQ341" s="104"/>
      <c r="CQR341" s="104"/>
      <c r="CQS341" s="104"/>
      <c r="CQT341" s="104"/>
      <c r="CQU341" s="104"/>
      <c r="CQV341" s="104"/>
      <c r="CQW341" s="104"/>
      <c r="CQX341" s="104"/>
      <c r="CQY341" s="104"/>
      <c r="CQZ341" s="104"/>
      <c r="CRA341" s="104"/>
      <c r="CRB341" s="104"/>
      <c r="CRC341" s="104"/>
      <c r="CRD341" s="104"/>
      <c r="CRE341" s="104"/>
      <c r="CRF341" s="104"/>
      <c r="CRG341" s="104"/>
      <c r="CRH341" s="104"/>
      <c r="CRI341" s="104"/>
      <c r="CRJ341" s="104"/>
      <c r="CRK341" s="104"/>
      <c r="CRL341" s="104"/>
      <c r="CRM341" s="104"/>
      <c r="CRN341" s="104"/>
      <c r="CRO341" s="104"/>
      <c r="CRP341" s="104"/>
      <c r="CRQ341" s="104"/>
      <c r="CRR341" s="104"/>
      <c r="CRS341" s="104"/>
      <c r="CRT341" s="104"/>
      <c r="CRU341" s="104"/>
      <c r="CRV341" s="104"/>
      <c r="CRW341" s="104"/>
      <c r="CRX341" s="104"/>
      <c r="CRY341" s="104"/>
      <c r="CRZ341" s="104"/>
      <c r="CSA341" s="104"/>
      <c r="CSB341" s="104"/>
      <c r="CSC341" s="104"/>
      <c r="CSD341" s="104"/>
      <c r="CSE341" s="104"/>
      <c r="CSF341" s="104"/>
      <c r="CSG341" s="104"/>
      <c r="CSH341" s="104"/>
      <c r="CSI341" s="104"/>
      <c r="CSJ341" s="104"/>
      <c r="CSK341" s="104"/>
      <c r="CSL341" s="104"/>
      <c r="CSM341" s="104"/>
      <c r="CSN341" s="104"/>
      <c r="CSO341" s="104"/>
      <c r="CSP341" s="104"/>
      <c r="CSQ341" s="104"/>
      <c r="CSR341" s="104"/>
      <c r="CSS341" s="104"/>
      <c r="CST341" s="104"/>
      <c r="CSU341" s="104"/>
      <c r="CSV341" s="104"/>
      <c r="CSW341" s="104"/>
      <c r="CSX341" s="104"/>
      <c r="CSY341" s="104"/>
      <c r="CSZ341" s="104"/>
      <c r="CTA341" s="104"/>
      <c r="CTB341" s="104"/>
      <c r="CTC341" s="104"/>
      <c r="CTD341" s="104"/>
      <c r="CTE341" s="104"/>
      <c r="CTF341" s="104"/>
      <c r="CTG341" s="104"/>
      <c r="CTH341" s="104"/>
      <c r="CTI341" s="104"/>
      <c r="CTJ341" s="104"/>
      <c r="CTK341" s="104"/>
      <c r="CTL341" s="104"/>
      <c r="CTM341" s="104"/>
      <c r="CTN341" s="104"/>
      <c r="CTO341" s="104"/>
      <c r="CTP341" s="104"/>
      <c r="CTQ341" s="104"/>
      <c r="CTR341" s="104"/>
      <c r="CTS341" s="104"/>
      <c r="CTT341" s="104"/>
      <c r="CTU341" s="104"/>
      <c r="CTV341" s="104"/>
      <c r="CTW341" s="104"/>
      <c r="CTX341" s="104"/>
      <c r="CTY341" s="104"/>
      <c r="CTZ341" s="104"/>
      <c r="CUA341" s="104"/>
    </row>
    <row r="342" s="78" customFormat="1" spans="1:2575">
      <c r="A342" s="117"/>
      <c r="B342" s="116"/>
      <c r="C342" s="116"/>
      <c r="D342" s="116"/>
      <c r="E342" s="116"/>
      <c r="F342" s="116"/>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c r="BE342" s="104"/>
      <c r="BF342" s="104"/>
      <c r="BG342" s="104"/>
      <c r="BH342" s="104"/>
      <c r="BI342" s="104"/>
      <c r="BJ342" s="104"/>
      <c r="BK342" s="104"/>
      <c r="BL342" s="104"/>
      <c r="BM342" s="104"/>
      <c r="BN342" s="104"/>
      <c r="BO342" s="104"/>
      <c r="BP342" s="104"/>
      <c r="BQ342" s="104"/>
      <c r="BR342" s="104"/>
      <c r="BS342" s="104"/>
      <c r="BT342" s="104"/>
      <c r="BU342" s="104"/>
      <c r="BV342" s="104"/>
      <c r="BW342" s="104"/>
      <c r="BX342" s="104"/>
      <c r="BY342" s="104"/>
      <c r="BZ342" s="104"/>
      <c r="CA342" s="104"/>
      <c r="CB342" s="104"/>
      <c r="CC342" s="104"/>
      <c r="CD342" s="104"/>
      <c r="CE342" s="104"/>
      <c r="CF342" s="104"/>
      <c r="CG342" s="104"/>
      <c r="CH342" s="104"/>
      <c r="CI342" s="104"/>
      <c r="CJ342" s="104"/>
      <c r="CK342" s="104"/>
      <c r="CL342" s="104"/>
      <c r="CM342" s="104"/>
      <c r="CN342" s="104"/>
      <c r="CO342" s="104"/>
      <c r="CP342" s="104"/>
      <c r="CQ342" s="104"/>
      <c r="CR342" s="104"/>
      <c r="CS342" s="104"/>
      <c r="CT342" s="104"/>
      <c r="CU342" s="104"/>
      <c r="CV342" s="104"/>
      <c r="CW342" s="104"/>
      <c r="CX342" s="104"/>
      <c r="CY342" s="104"/>
      <c r="CZ342" s="104"/>
      <c r="DA342" s="104"/>
      <c r="DB342" s="104"/>
      <c r="DC342" s="104"/>
      <c r="DD342" s="104"/>
      <c r="DE342" s="104"/>
      <c r="DF342" s="104"/>
      <c r="DG342" s="104"/>
      <c r="DH342" s="104"/>
      <c r="DI342" s="104"/>
      <c r="DJ342" s="104"/>
      <c r="DK342" s="104"/>
      <c r="DL342" s="104"/>
      <c r="DM342" s="104"/>
      <c r="DN342" s="104"/>
      <c r="DO342" s="104"/>
      <c r="DP342" s="104"/>
      <c r="DQ342" s="104"/>
      <c r="DR342" s="104"/>
      <c r="DS342" s="104"/>
      <c r="DT342" s="104"/>
      <c r="DU342" s="104"/>
      <c r="DV342" s="104"/>
      <c r="DW342" s="104"/>
      <c r="DX342" s="104"/>
      <c r="DY342" s="104"/>
      <c r="DZ342" s="104"/>
      <c r="EA342" s="104"/>
      <c r="EB342" s="104"/>
      <c r="EC342" s="104"/>
      <c r="ED342" s="104"/>
      <c r="EE342" s="104"/>
      <c r="EF342" s="104"/>
      <c r="EG342" s="104"/>
      <c r="EH342" s="104"/>
      <c r="EI342" s="104"/>
      <c r="EJ342" s="104"/>
      <c r="EK342" s="104"/>
      <c r="EL342" s="104"/>
      <c r="EM342" s="104"/>
      <c r="EN342" s="104"/>
      <c r="EO342" s="104"/>
      <c r="EP342" s="104"/>
      <c r="EQ342" s="104"/>
      <c r="ER342" s="104"/>
      <c r="ES342" s="104"/>
      <c r="ET342" s="104"/>
      <c r="EU342" s="104"/>
      <c r="EV342" s="104"/>
      <c r="EW342" s="104"/>
      <c r="EX342" s="104"/>
      <c r="EY342" s="104"/>
      <c r="EZ342" s="104"/>
      <c r="FA342" s="104"/>
      <c r="FB342" s="104"/>
      <c r="FC342" s="104"/>
      <c r="FD342" s="104"/>
      <c r="FE342" s="104"/>
      <c r="FF342" s="104"/>
      <c r="FG342" s="104"/>
      <c r="FH342" s="104"/>
      <c r="FI342" s="104"/>
      <c r="FJ342" s="104"/>
      <c r="FK342" s="104"/>
      <c r="FL342" s="104"/>
      <c r="FM342" s="104"/>
      <c r="FN342" s="104"/>
      <c r="FO342" s="104"/>
      <c r="FP342" s="104"/>
      <c r="FQ342" s="104"/>
      <c r="FR342" s="104"/>
      <c r="FS342" s="104"/>
      <c r="FT342" s="104"/>
      <c r="FU342" s="104"/>
      <c r="FV342" s="104"/>
      <c r="FW342" s="104"/>
      <c r="FX342" s="104"/>
      <c r="FY342" s="104"/>
      <c r="FZ342" s="104"/>
      <c r="GA342" s="104"/>
      <c r="GB342" s="104"/>
      <c r="GC342" s="104"/>
      <c r="GD342" s="104"/>
      <c r="GE342" s="104"/>
      <c r="GF342" s="104"/>
      <c r="GG342" s="104"/>
      <c r="GH342" s="104"/>
      <c r="GI342" s="104"/>
      <c r="GJ342" s="104"/>
      <c r="GK342" s="104"/>
      <c r="GL342" s="104"/>
      <c r="GM342" s="104"/>
      <c r="GN342" s="104"/>
      <c r="GO342" s="104"/>
      <c r="GP342" s="104"/>
      <c r="GQ342" s="104"/>
      <c r="GR342" s="104"/>
      <c r="GS342" s="104"/>
      <c r="GT342" s="104"/>
      <c r="GU342" s="104"/>
      <c r="GV342" s="104"/>
      <c r="GW342" s="104"/>
      <c r="GX342" s="104"/>
      <c r="GY342" s="104"/>
      <c r="GZ342" s="104"/>
      <c r="HA342" s="104"/>
      <c r="HB342" s="104"/>
      <c r="HC342" s="104"/>
      <c r="HD342" s="104"/>
      <c r="HE342" s="104"/>
      <c r="HF342" s="104"/>
      <c r="HG342" s="104"/>
      <c r="HH342" s="104"/>
      <c r="HI342" s="104"/>
      <c r="HJ342" s="104"/>
      <c r="HK342" s="104"/>
      <c r="HL342" s="104"/>
      <c r="HM342" s="104"/>
      <c r="HN342" s="104"/>
      <c r="HO342" s="104"/>
      <c r="HP342" s="104"/>
      <c r="HQ342" s="104"/>
      <c r="HR342" s="104"/>
      <c r="HS342" s="104"/>
      <c r="HT342" s="104"/>
      <c r="HU342" s="104"/>
      <c r="HV342" s="104"/>
      <c r="HW342" s="104"/>
      <c r="HX342" s="104"/>
      <c r="HY342" s="104"/>
      <c r="HZ342" s="104"/>
      <c r="IA342" s="104"/>
      <c r="IB342" s="104"/>
      <c r="IC342" s="104"/>
      <c r="ID342" s="104"/>
      <c r="IE342" s="104"/>
      <c r="IF342" s="104"/>
      <c r="IG342" s="104"/>
      <c r="IH342" s="104"/>
      <c r="II342" s="104"/>
      <c r="IJ342" s="104"/>
      <c r="IK342" s="104"/>
      <c r="IL342" s="104"/>
      <c r="IM342" s="104"/>
      <c r="IN342" s="104"/>
      <c r="IO342" s="104"/>
      <c r="IP342" s="104"/>
      <c r="IQ342" s="104"/>
      <c r="IR342" s="104"/>
      <c r="IS342" s="104"/>
      <c r="IT342" s="104"/>
      <c r="IU342" s="104"/>
      <c r="IV342" s="104"/>
      <c r="IW342" s="104"/>
      <c r="IX342" s="104"/>
      <c r="IY342" s="104"/>
      <c r="IZ342" s="104"/>
      <c r="JA342" s="104"/>
      <c r="JB342" s="104"/>
      <c r="JC342" s="104"/>
      <c r="JD342" s="104"/>
      <c r="JE342" s="104"/>
      <c r="JF342" s="104"/>
      <c r="JG342" s="104"/>
      <c r="JH342" s="104"/>
      <c r="JI342" s="104"/>
      <c r="JJ342" s="104"/>
      <c r="JK342" s="104"/>
      <c r="JL342" s="104"/>
      <c r="JM342" s="104"/>
      <c r="JN342" s="104"/>
      <c r="JO342" s="104"/>
      <c r="JP342" s="104"/>
      <c r="JQ342" s="104"/>
      <c r="JR342" s="104"/>
      <c r="JS342" s="104"/>
      <c r="JT342" s="104"/>
      <c r="JU342" s="104"/>
      <c r="JV342" s="104"/>
      <c r="JW342" s="104"/>
      <c r="JX342" s="104"/>
      <c r="JY342" s="104"/>
      <c r="JZ342" s="104"/>
      <c r="KA342" s="104"/>
      <c r="KB342" s="104"/>
      <c r="KC342" s="104"/>
      <c r="KD342" s="104"/>
      <c r="KE342" s="104"/>
      <c r="KF342" s="104"/>
      <c r="KG342" s="104"/>
      <c r="KH342" s="104"/>
      <c r="KI342" s="104"/>
      <c r="KJ342" s="104"/>
      <c r="KK342" s="104"/>
      <c r="KL342" s="104"/>
      <c r="KM342" s="104"/>
      <c r="KN342" s="104"/>
      <c r="KO342" s="104"/>
      <c r="KP342" s="104"/>
      <c r="KQ342" s="104"/>
      <c r="KR342" s="104"/>
      <c r="KS342" s="104"/>
      <c r="KT342" s="104"/>
      <c r="KU342" s="104"/>
      <c r="KV342" s="104"/>
      <c r="KW342" s="104"/>
      <c r="KX342" s="104"/>
      <c r="KY342" s="104"/>
      <c r="KZ342" s="104"/>
      <c r="LA342" s="104"/>
      <c r="LB342" s="104"/>
      <c r="LC342" s="104"/>
      <c r="LD342" s="104"/>
      <c r="LE342" s="104"/>
      <c r="LF342" s="104"/>
      <c r="LG342" s="104"/>
      <c r="LH342" s="104"/>
      <c r="LI342" s="104"/>
      <c r="LJ342" s="104"/>
      <c r="LK342" s="104"/>
      <c r="LL342" s="104"/>
      <c r="LM342" s="104"/>
      <c r="LN342" s="104"/>
      <c r="LO342" s="104"/>
      <c r="LP342" s="104"/>
      <c r="LQ342" s="104"/>
      <c r="LR342" s="104"/>
      <c r="LS342" s="104"/>
      <c r="LT342" s="104"/>
      <c r="LU342" s="104"/>
      <c r="LV342" s="104"/>
      <c r="LW342" s="104"/>
      <c r="LX342" s="104"/>
      <c r="LY342" s="104"/>
      <c r="LZ342" s="104"/>
      <c r="MA342" s="104"/>
      <c r="MB342" s="104"/>
      <c r="MC342" s="104"/>
      <c r="MD342" s="104"/>
      <c r="ME342" s="104"/>
      <c r="MF342" s="104"/>
      <c r="MG342" s="104"/>
      <c r="MH342" s="104"/>
      <c r="MI342" s="104"/>
      <c r="MJ342" s="104"/>
      <c r="MK342" s="104"/>
      <c r="ML342" s="104"/>
      <c r="MM342" s="104"/>
      <c r="MN342" s="104"/>
      <c r="MO342" s="104"/>
      <c r="MP342" s="104"/>
      <c r="MQ342" s="104"/>
      <c r="MR342" s="104"/>
      <c r="MS342" s="104"/>
      <c r="MT342" s="104"/>
      <c r="MU342" s="104"/>
      <c r="MV342" s="104"/>
      <c r="MW342" s="104"/>
      <c r="MX342" s="104"/>
      <c r="MY342" s="104"/>
      <c r="MZ342" s="104"/>
      <c r="NA342" s="104"/>
      <c r="NB342" s="104"/>
      <c r="NC342" s="104"/>
      <c r="ND342" s="104"/>
      <c r="NE342" s="104"/>
      <c r="NF342" s="104"/>
      <c r="NG342" s="104"/>
      <c r="NH342" s="104"/>
      <c r="NI342" s="104"/>
      <c r="NJ342" s="104"/>
      <c r="NK342" s="104"/>
      <c r="NL342" s="104"/>
      <c r="NM342" s="104"/>
      <c r="NN342" s="104"/>
      <c r="NO342" s="104"/>
      <c r="NP342" s="104"/>
      <c r="NQ342" s="104"/>
      <c r="NR342" s="104"/>
      <c r="NS342" s="104"/>
      <c r="NT342" s="104"/>
      <c r="NU342" s="104"/>
      <c r="NV342" s="104"/>
      <c r="NW342" s="104"/>
      <c r="NX342" s="104"/>
      <c r="NY342" s="104"/>
      <c r="NZ342" s="104"/>
      <c r="OA342" s="104"/>
      <c r="OB342" s="104"/>
      <c r="OC342" s="104"/>
      <c r="OD342" s="104"/>
      <c r="OE342" s="104"/>
      <c r="OF342" s="104"/>
      <c r="OG342" s="104"/>
      <c r="OH342" s="104"/>
      <c r="OI342" s="104"/>
      <c r="OJ342" s="104"/>
      <c r="OK342" s="104"/>
      <c r="OL342" s="104"/>
      <c r="OM342" s="104"/>
      <c r="ON342" s="104"/>
      <c r="OO342" s="104"/>
      <c r="OP342" s="104"/>
      <c r="OQ342" s="104"/>
      <c r="OR342" s="104"/>
      <c r="OS342" s="104"/>
      <c r="OT342" s="104"/>
      <c r="OU342" s="104"/>
      <c r="OV342" s="104"/>
      <c r="OW342" s="104"/>
      <c r="OX342" s="104"/>
      <c r="OY342" s="104"/>
      <c r="OZ342" s="104"/>
      <c r="PA342" s="104"/>
      <c r="PB342" s="104"/>
      <c r="PC342" s="104"/>
      <c r="PD342" s="104"/>
      <c r="PE342" s="104"/>
      <c r="PF342" s="104"/>
      <c r="PG342" s="104"/>
      <c r="PH342" s="104"/>
      <c r="PI342" s="104"/>
      <c r="PJ342" s="104"/>
      <c r="PK342" s="104"/>
      <c r="PL342" s="104"/>
      <c r="PM342" s="104"/>
      <c r="PN342" s="104"/>
      <c r="PO342" s="104"/>
      <c r="PP342" s="104"/>
      <c r="PQ342" s="104"/>
      <c r="PR342" s="104"/>
      <c r="PS342" s="104"/>
      <c r="PT342" s="104"/>
      <c r="PU342" s="104"/>
      <c r="PV342" s="104"/>
      <c r="PW342" s="104"/>
      <c r="PX342" s="104"/>
      <c r="PY342" s="104"/>
      <c r="PZ342" s="104"/>
      <c r="QA342" s="104"/>
      <c r="QB342" s="104"/>
      <c r="QC342" s="104"/>
      <c r="QD342" s="104"/>
      <c r="QE342" s="104"/>
      <c r="QF342" s="104"/>
      <c r="QG342" s="104"/>
      <c r="QH342" s="104"/>
      <c r="QI342" s="104"/>
      <c r="QJ342" s="104"/>
      <c r="QK342" s="104"/>
      <c r="QL342" s="104"/>
      <c r="QM342" s="104"/>
      <c r="QN342" s="104"/>
      <c r="QO342" s="104"/>
      <c r="QP342" s="104"/>
      <c r="QQ342" s="104"/>
      <c r="QR342" s="104"/>
      <c r="QS342" s="104"/>
      <c r="QT342" s="104"/>
      <c r="QU342" s="104"/>
      <c r="QV342" s="104"/>
      <c r="QW342" s="104"/>
      <c r="QX342" s="104"/>
      <c r="QY342" s="104"/>
      <c r="QZ342" s="104"/>
      <c r="RA342" s="104"/>
      <c r="RB342" s="104"/>
      <c r="RC342" s="104"/>
      <c r="RD342" s="104"/>
      <c r="RE342" s="104"/>
      <c r="RF342" s="104"/>
      <c r="RG342" s="104"/>
      <c r="RH342" s="104"/>
      <c r="RI342" s="104"/>
      <c r="RJ342" s="104"/>
      <c r="RK342" s="104"/>
      <c r="RL342" s="104"/>
      <c r="RM342" s="104"/>
      <c r="RN342" s="104"/>
      <c r="RO342" s="104"/>
      <c r="RP342" s="104"/>
      <c r="RQ342" s="104"/>
      <c r="RR342" s="104"/>
      <c r="RS342" s="104"/>
      <c r="RT342" s="104"/>
      <c r="RU342" s="104"/>
      <c r="RV342" s="104"/>
      <c r="RW342" s="104"/>
      <c r="RX342" s="104"/>
      <c r="RY342" s="104"/>
      <c r="RZ342" s="104"/>
      <c r="SA342" s="104"/>
      <c r="SB342" s="104"/>
      <c r="SC342" s="104"/>
      <c r="SD342" s="104"/>
      <c r="SE342" s="104"/>
      <c r="SF342" s="104"/>
      <c r="SG342" s="104"/>
      <c r="SH342" s="104"/>
      <c r="SI342" s="104"/>
      <c r="SJ342" s="104"/>
      <c r="SK342" s="104"/>
      <c r="SL342" s="104"/>
      <c r="SM342" s="104"/>
      <c r="SN342" s="104"/>
      <c r="SO342" s="104"/>
      <c r="SP342" s="104"/>
      <c r="SQ342" s="104"/>
      <c r="SR342" s="104"/>
      <c r="SS342" s="104"/>
      <c r="ST342" s="104"/>
      <c r="SU342" s="104"/>
      <c r="SV342" s="104"/>
      <c r="SW342" s="104"/>
      <c r="SX342" s="104"/>
      <c r="SY342" s="104"/>
      <c r="SZ342" s="104"/>
      <c r="TA342" s="104"/>
      <c r="TB342" s="104"/>
      <c r="TC342" s="104"/>
      <c r="TD342" s="104"/>
      <c r="TE342" s="104"/>
      <c r="TF342" s="104"/>
      <c r="TG342" s="104"/>
      <c r="TH342" s="104"/>
      <c r="TI342" s="104"/>
      <c r="TJ342" s="104"/>
      <c r="TK342" s="104"/>
      <c r="TL342" s="104"/>
      <c r="TM342" s="104"/>
      <c r="TN342" s="104"/>
      <c r="TO342" s="104"/>
      <c r="TP342" s="104"/>
      <c r="TQ342" s="104"/>
      <c r="TR342" s="104"/>
      <c r="TS342" s="104"/>
      <c r="TT342" s="104"/>
      <c r="TU342" s="104"/>
      <c r="TV342" s="104"/>
      <c r="TW342" s="104"/>
      <c r="TX342" s="104"/>
      <c r="TY342" s="104"/>
      <c r="TZ342" s="104"/>
      <c r="UA342" s="104"/>
      <c r="UB342" s="104"/>
      <c r="UC342" s="104"/>
      <c r="UD342" s="104"/>
      <c r="UE342" s="104"/>
      <c r="UF342" s="104"/>
      <c r="UG342" s="104"/>
      <c r="UH342" s="104"/>
      <c r="UI342" s="104"/>
      <c r="UJ342" s="104"/>
      <c r="UK342" s="104"/>
      <c r="UL342" s="104"/>
      <c r="UM342" s="104"/>
      <c r="UN342" s="104"/>
      <c r="UO342" s="104"/>
      <c r="UP342" s="104"/>
      <c r="UQ342" s="104"/>
      <c r="UR342" s="104"/>
      <c r="US342" s="104"/>
      <c r="UT342" s="104"/>
      <c r="UU342" s="104"/>
      <c r="UV342" s="104"/>
      <c r="UW342" s="104"/>
      <c r="UX342" s="104"/>
      <c r="UY342" s="104"/>
      <c r="UZ342" s="104"/>
      <c r="VA342" s="104"/>
      <c r="VB342" s="104"/>
      <c r="VC342" s="104"/>
      <c r="VD342" s="104"/>
      <c r="VE342" s="104"/>
      <c r="VF342" s="104"/>
      <c r="VG342" s="104"/>
      <c r="VH342" s="104"/>
      <c r="VI342" s="104"/>
      <c r="VJ342" s="104"/>
      <c r="VK342" s="104"/>
      <c r="VL342" s="104"/>
      <c r="VM342" s="104"/>
      <c r="VN342" s="104"/>
      <c r="VO342" s="104"/>
      <c r="VP342" s="104"/>
      <c r="VQ342" s="104"/>
      <c r="VR342" s="104"/>
      <c r="VS342" s="104"/>
      <c r="VT342" s="104"/>
      <c r="VU342" s="104"/>
      <c r="VV342" s="104"/>
      <c r="VW342" s="104"/>
      <c r="VX342" s="104"/>
      <c r="VY342" s="104"/>
      <c r="VZ342" s="104"/>
      <c r="WA342" s="104"/>
      <c r="WB342" s="104"/>
      <c r="WC342" s="104"/>
      <c r="WD342" s="104"/>
      <c r="WE342" s="104"/>
      <c r="WF342" s="104"/>
      <c r="WG342" s="104"/>
      <c r="WH342" s="104"/>
      <c r="WI342" s="104"/>
      <c r="WJ342" s="104"/>
      <c r="WK342" s="104"/>
      <c r="WL342" s="104"/>
      <c r="WM342" s="104"/>
      <c r="WN342" s="104"/>
      <c r="WO342" s="104"/>
      <c r="WP342" s="104"/>
      <c r="WQ342" s="104"/>
      <c r="WR342" s="104"/>
      <c r="WS342" s="104"/>
      <c r="WT342" s="104"/>
      <c r="WU342" s="104"/>
      <c r="WV342" s="104"/>
      <c r="WW342" s="104"/>
      <c r="WX342" s="104"/>
      <c r="WY342" s="104"/>
      <c r="WZ342" s="104"/>
      <c r="XA342" s="104"/>
      <c r="XB342" s="104"/>
      <c r="XC342" s="104"/>
      <c r="XD342" s="104"/>
      <c r="XE342" s="104"/>
      <c r="XF342" s="104"/>
      <c r="XG342" s="104"/>
      <c r="XH342" s="104"/>
      <c r="XI342" s="104"/>
      <c r="XJ342" s="104"/>
      <c r="XK342" s="104"/>
      <c r="XL342" s="104"/>
      <c r="XM342" s="104"/>
      <c r="XN342" s="104"/>
      <c r="XO342" s="104"/>
      <c r="XP342" s="104"/>
      <c r="XQ342" s="104"/>
      <c r="XR342" s="104"/>
      <c r="XS342" s="104"/>
      <c r="XT342" s="104"/>
      <c r="XU342" s="104"/>
      <c r="XV342" s="104"/>
      <c r="XW342" s="104"/>
      <c r="XX342" s="104"/>
      <c r="XY342" s="104"/>
      <c r="XZ342" s="104"/>
      <c r="YA342" s="104"/>
      <c r="YB342" s="104"/>
      <c r="YC342" s="104"/>
      <c r="YD342" s="104"/>
      <c r="YE342" s="104"/>
      <c r="YF342" s="104"/>
      <c r="YG342" s="104"/>
      <c r="YH342" s="104"/>
      <c r="YI342" s="104"/>
      <c r="YJ342" s="104"/>
      <c r="YK342" s="104"/>
      <c r="YL342" s="104"/>
      <c r="YM342" s="104"/>
      <c r="YN342" s="104"/>
      <c r="YO342" s="104"/>
      <c r="YP342" s="104"/>
      <c r="YQ342" s="104"/>
      <c r="YR342" s="104"/>
      <c r="YS342" s="104"/>
      <c r="YT342" s="104"/>
      <c r="YU342" s="104"/>
      <c r="YV342" s="104"/>
      <c r="YW342" s="104"/>
      <c r="YX342" s="104"/>
      <c r="YY342" s="104"/>
      <c r="YZ342" s="104"/>
      <c r="ZA342" s="104"/>
      <c r="ZB342" s="104"/>
      <c r="ZC342" s="104"/>
      <c r="ZD342" s="104"/>
      <c r="ZE342" s="104"/>
      <c r="ZF342" s="104"/>
      <c r="ZG342" s="104"/>
      <c r="ZH342" s="104"/>
      <c r="ZI342" s="104"/>
      <c r="ZJ342" s="104"/>
      <c r="ZK342" s="104"/>
      <c r="ZL342" s="104"/>
      <c r="ZM342" s="104"/>
      <c r="ZN342" s="104"/>
      <c r="ZO342" s="104"/>
      <c r="ZP342" s="104"/>
      <c r="ZQ342" s="104"/>
      <c r="ZR342" s="104"/>
      <c r="ZS342" s="104"/>
      <c r="ZT342" s="104"/>
      <c r="ZU342" s="104"/>
      <c r="ZV342" s="104"/>
      <c r="ZW342" s="104"/>
      <c r="ZX342" s="104"/>
      <c r="ZY342" s="104"/>
      <c r="ZZ342" s="104"/>
      <c r="AAA342" s="104"/>
      <c r="AAB342" s="104"/>
      <c r="AAC342" s="104"/>
      <c r="AAD342" s="104"/>
      <c r="AAE342" s="104"/>
      <c r="AAF342" s="104"/>
      <c r="AAG342" s="104"/>
      <c r="AAH342" s="104"/>
      <c r="AAI342" s="104"/>
      <c r="AAJ342" s="104"/>
      <c r="AAK342" s="104"/>
      <c r="AAL342" s="104"/>
      <c r="AAM342" s="104"/>
      <c r="AAN342" s="104"/>
      <c r="AAO342" s="104"/>
      <c r="AAP342" s="104"/>
      <c r="AAQ342" s="104"/>
      <c r="AAR342" s="104"/>
      <c r="AAS342" s="104"/>
      <c r="AAT342" s="104"/>
      <c r="AAU342" s="104"/>
      <c r="AAV342" s="104"/>
      <c r="AAW342" s="104"/>
      <c r="AAX342" s="104"/>
      <c r="AAY342" s="104"/>
      <c r="AAZ342" s="104"/>
      <c r="ABA342" s="104"/>
      <c r="ABB342" s="104"/>
      <c r="ABC342" s="104"/>
      <c r="ABD342" s="104"/>
      <c r="ABE342" s="104"/>
      <c r="ABF342" s="104"/>
      <c r="ABG342" s="104"/>
      <c r="ABH342" s="104"/>
      <c r="ABI342" s="104"/>
      <c r="ABJ342" s="104"/>
      <c r="ABK342" s="104"/>
      <c r="ABL342" s="104"/>
      <c r="ABM342" s="104"/>
      <c r="ABN342" s="104"/>
      <c r="ABO342" s="104"/>
      <c r="ABP342" s="104"/>
      <c r="ABQ342" s="104"/>
      <c r="ABR342" s="104"/>
      <c r="ABS342" s="104"/>
      <c r="ABT342" s="104"/>
      <c r="ABU342" s="104"/>
      <c r="ABV342" s="104"/>
      <c r="ABW342" s="104"/>
      <c r="ABX342" s="104"/>
      <c r="ABY342" s="104"/>
      <c r="ABZ342" s="104"/>
      <c r="ACA342" s="104"/>
      <c r="ACB342" s="104"/>
      <c r="ACC342" s="104"/>
      <c r="ACD342" s="104"/>
      <c r="ACE342" s="104"/>
      <c r="ACF342" s="104"/>
      <c r="ACG342" s="104"/>
      <c r="ACH342" s="104"/>
      <c r="ACI342" s="104"/>
      <c r="ACJ342" s="104"/>
      <c r="ACK342" s="104"/>
      <c r="ACL342" s="104"/>
      <c r="ACM342" s="104"/>
      <c r="ACN342" s="104"/>
      <c r="ACO342" s="104"/>
      <c r="ACP342" s="104"/>
      <c r="ACQ342" s="104"/>
      <c r="ACR342" s="104"/>
      <c r="ACS342" s="104"/>
      <c r="ACT342" s="104"/>
      <c r="ACU342" s="104"/>
      <c r="ACV342" s="104"/>
      <c r="ACW342" s="104"/>
      <c r="ACX342" s="104"/>
      <c r="ACY342" s="104"/>
      <c r="ACZ342" s="104"/>
      <c r="ADA342" s="104"/>
      <c r="ADB342" s="104"/>
      <c r="ADC342" s="104"/>
      <c r="ADD342" s="104"/>
      <c r="ADE342" s="104"/>
      <c r="ADF342" s="104"/>
      <c r="ADG342" s="104"/>
      <c r="ADH342" s="104"/>
      <c r="ADI342" s="104"/>
      <c r="ADJ342" s="104"/>
      <c r="ADK342" s="104"/>
      <c r="ADL342" s="104"/>
      <c r="ADM342" s="104"/>
      <c r="ADN342" s="104"/>
      <c r="ADO342" s="104"/>
      <c r="ADP342" s="104"/>
      <c r="ADQ342" s="104"/>
      <c r="ADR342" s="104"/>
      <c r="ADS342" s="104"/>
      <c r="ADT342" s="104"/>
      <c r="ADU342" s="104"/>
      <c r="ADV342" s="104"/>
      <c r="ADW342" s="104"/>
      <c r="ADX342" s="104"/>
      <c r="ADY342" s="104"/>
      <c r="ADZ342" s="104"/>
      <c r="AEA342" s="104"/>
      <c r="AEB342" s="104"/>
      <c r="AEC342" s="104"/>
      <c r="AED342" s="104"/>
      <c r="AEE342" s="104"/>
      <c r="AEF342" s="104"/>
      <c r="AEG342" s="104"/>
      <c r="AEH342" s="104"/>
      <c r="AEI342" s="104"/>
      <c r="AEJ342" s="104"/>
      <c r="AEK342" s="104"/>
      <c r="AEL342" s="104"/>
      <c r="AEM342" s="104"/>
      <c r="AEN342" s="104"/>
      <c r="AEO342" s="104"/>
      <c r="AEP342" s="104"/>
      <c r="AEQ342" s="104"/>
      <c r="AER342" s="104"/>
      <c r="AES342" s="104"/>
      <c r="AET342" s="104"/>
      <c r="AEU342" s="104"/>
      <c r="AEV342" s="104"/>
      <c r="AEW342" s="104"/>
      <c r="AEX342" s="104"/>
      <c r="AEY342" s="104"/>
      <c r="AEZ342" s="104"/>
      <c r="AFA342" s="104"/>
      <c r="AFB342" s="104"/>
      <c r="AFC342" s="104"/>
      <c r="AFD342" s="104"/>
      <c r="AFE342" s="104"/>
      <c r="AFF342" s="104"/>
      <c r="AFG342" s="104"/>
      <c r="AFH342" s="104"/>
      <c r="AFI342" s="104"/>
      <c r="AFJ342" s="104"/>
      <c r="AFK342" s="104"/>
      <c r="AFL342" s="104"/>
      <c r="AFM342" s="104"/>
      <c r="AFN342" s="104"/>
      <c r="AFO342" s="104"/>
      <c r="AFP342" s="104"/>
      <c r="AFQ342" s="104"/>
      <c r="AFR342" s="104"/>
      <c r="AFS342" s="104"/>
      <c r="AFT342" s="104"/>
      <c r="AFU342" s="104"/>
      <c r="AFV342" s="104"/>
      <c r="AFW342" s="104"/>
      <c r="AFX342" s="104"/>
      <c r="AFY342" s="104"/>
      <c r="AFZ342" s="104"/>
      <c r="AGA342" s="104"/>
      <c r="AGB342" s="104"/>
      <c r="AGC342" s="104"/>
      <c r="AGD342" s="104"/>
      <c r="AGE342" s="104"/>
      <c r="AGF342" s="104"/>
      <c r="AGG342" s="104"/>
      <c r="AGH342" s="104"/>
      <c r="AGI342" s="104"/>
      <c r="AGJ342" s="104"/>
      <c r="AGK342" s="104"/>
      <c r="AGL342" s="104"/>
      <c r="AGM342" s="104"/>
      <c r="AGN342" s="104"/>
      <c r="AGO342" s="104"/>
      <c r="AGP342" s="104"/>
      <c r="AGQ342" s="104"/>
      <c r="AGR342" s="104"/>
      <c r="AGS342" s="104"/>
      <c r="AGT342" s="104"/>
      <c r="AGU342" s="104"/>
      <c r="AGV342" s="104"/>
      <c r="AGW342" s="104"/>
      <c r="AGX342" s="104"/>
      <c r="AGY342" s="104"/>
      <c r="AGZ342" s="104"/>
      <c r="AHA342" s="104"/>
      <c r="AHB342" s="104"/>
      <c r="AHC342" s="104"/>
      <c r="AHD342" s="104"/>
      <c r="AHE342" s="104"/>
      <c r="AHF342" s="104"/>
      <c r="AHG342" s="104"/>
      <c r="AHH342" s="104"/>
      <c r="AHI342" s="104"/>
      <c r="AHJ342" s="104"/>
      <c r="AHK342" s="104"/>
      <c r="AHL342" s="104"/>
      <c r="AHM342" s="104"/>
      <c r="AHN342" s="104"/>
      <c r="AHO342" s="104"/>
      <c r="AHP342" s="104"/>
      <c r="AHQ342" s="104"/>
      <c r="AHR342" s="104"/>
      <c r="AHS342" s="104"/>
      <c r="AHT342" s="104"/>
      <c r="AHU342" s="104"/>
      <c r="AHV342" s="104"/>
      <c r="AHW342" s="104"/>
      <c r="AHX342" s="104"/>
      <c r="AHY342" s="104"/>
      <c r="AHZ342" s="104"/>
      <c r="AIA342" s="104"/>
      <c r="AIB342" s="104"/>
      <c r="AIC342" s="104"/>
      <c r="AID342" s="104"/>
      <c r="AIE342" s="104"/>
      <c r="AIF342" s="104"/>
      <c r="AIG342" s="104"/>
      <c r="AIH342" s="104"/>
      <c r="AII342" s="104"/>
      <c r="AIJ342" s="104"/>
      <c r="AIK342" s="104"/>
      <c r="AIL342" s="104"/>
      <c r="AIM342" s="104"/>
      <c r="AIN342" s="104"/>
      <c r="AIO342" s="104"/>
      <c r="AIP342" s="104"/>
      <c r="AIQ342" s="104"/>
      <c r="AIR342" s="104"/>
      <c r="AIS342" s="104"/>
      <c r="AIT342" s="104"/>
      <c r="AIU342" s="104"/>
      <c r="AIV342" s="104"/>
      <c r="AIW342" s="104"/>
      <c r="AIX342" s="104"/>
      <c r="AIY342" s="104"/>
      <c r="AIZ342" s="104"/>
      <c r="AJA342" s="104"/>
      <c r="AJB342" s="104"/>
      <c r="AJC342" s="104"/>
      <c r="AJD342" s="104"/>
      <c r="AJE342" s="104"/>
      <c r="AJF342" s="104"/>
      <c r="AJG342" s="104"/>
      <c r="AJH342" s="104"/>
      <c r="AJI342" s="104"/>
      <c r="AJJ342" s="104"/>
      <c r="AJK342" s="104"/>
      <c r="AJL342" s="104"/>
      <c r="AJM342" s="104"/>
      <c r="AJN342" s="104"/>
      <c r="AJO342" s="104"/>
      <c r="AJP342" s="104"/>
      <c r="AJQ342" s="104"/>
      <c r="AJR342" s="104"/>
      <c r="AJS342" s="104"/>
      <c r="AJT342" s="104"/>
      <c r="AJU342" s="104"/>
      <c r="AJV342" s="104"/>
      <c r="AJW342" s="104"/>
      <c r="AJX342" s="104"/>
      <c r="AJY342" s="104"/>
      <c r="AJZ342" s="104"/>
      <c r="AKA342" s="104"/>
      <c r="AKB342" s="104"/>
      <c r="AKC342" s="104"/>
      <c r="AKD342" s="104"/>
      <c r="AKE342" s="104"/>
      <c r="AKF342" s="104"/>
      <c r="AKG342" s="104"/>
      <c r="AKH342" s="104"/>
      <c r="AKI342" s="104"/>
      <c r="AKJ342" s="104"/>
      <c r="AKK342" s="104"/>
      <c r="AKL342" s="104"/>
      <c r="AKM342" s="104"/>
      <c r="AKN342" s="104"/>
      <c r="AKO342" s="104"/>
      <c r="AKP342" s="104"/>
      <c r="AKQ342" s="104"/>
      <c r="AKR342" s="104"/>
      <c r="AKS342" s="104"/>
      <c r="AKT342" s="104"/>
      <c r="AKU342" s="104"/>
      <c r="AKV342" s="104"/>
      <c r="AKW342" s="104"/>
      <c r="AKX342" s="104"/>
      <c r="AKY342" s="104"/>
      <c r="AKZ342" s="104"/>
      <c r="ALA342" s="104"/>
      <c r="ALB342" s="104"/>
      <c r="ALC342" s="104"/>
      <c r="ALD342" s="104"/>
      <c r="ALE342" s="104"/>
      <c r="ALF342" s="104"/>
      <c r="ALG342" s="104"/>
      <c r="ALH342" s="104"/>
      <c r="ALI342" s="104"/>
      <c r="ALJ342" s="104"/>
      <c r="ALK342" s="104"/>
      <c r="ALL342" s="104"/>
      <c r="ALM342" s="104"/>
      <c r="ALN342" s="104"/>
      <c r="ALO342" s="104"/>
      <c r="ALP342" s="104"/>
      <c r="ALQ342" s="104"/>
      <c r="ALR342" s="104"/>
      <c r="ALS342" s="104"/>
      <c r="ALT342" s="104"/>
      <c r="ALU342" s="104"/>
      <c r="ALV342" s="104"/>
      <c r="ALW342" s="104"/>
      <c r="ALX342" s="104"/>
      <c r="ALY342" s="104"/>
      <c r="ALZ342" s="104"/>
      <c r="AMA342" s="104"/>
      <c r="AMB342" s="104"/>
      <c r="AMC342" s="104"/>
      <c r="AMD342" s="104"/>
      <c r="AME342" s="104"/>
      <c r="AMF342" s="104"/>
      <c r="AMG342" s="104"/>
      <c r="AMH342" s="104"/>
      <c r="AMI342" s="104"/>
      <c r="AMJ342" s="104"/>
      <c r="AMK342" s="104"/>
      <c r="AML342" s="104"/>
      <c r="AMM342" s="104"/>
      <c r="AMN342" s="104"/>
      <c r="AMO342" s="104"/>
      <c r="AMP342" s="104"/>
      <c r="AMQ342" s="104"/>
      <c r="AMR342" s="104"/>
      <c r="AMS342" s="104"/>
      <c r="AMT342" s="104"/>
      <c r="AMU342" s="104"/>
      <c r="AMV342" s="104"/>
      <c r="AMW342" s="104"/>
      <c r="AMX342" s="104"/>
      <c r="AMY342" s="104"/>
      <c r="AMZ342" s="104"/>
      <c r="ANA342" s="104"/>
      <c r="ANB342" s="104"/>
      <c r="ANC342" s="104"/>
      <c r="AND342" s="104"/>
      <c r="ANE342" s="104"/>
      <c r="ANF342" s="104"/>
      <c r="ANG342" s="104"/>
      <c r="ANH342" s="104"/>
      <c r="ANI342" s="104"/>
      <c r="ANJ342" s="104"/>
      <c r="ANK342" s="104"/>
      <c r="ANL342" s="104"/>
      <c r="ANM342" s="104"/>
      <c r="ANN342" s="104"/>
      <c r="ANO342" s="104"/>
      <c r="ANP342" s="104"/>
      <c r="ANQ342" s="104"/>
      <c r="ANR342" s="104"/>
      <c r="ANS342" s="104"/>
      <c r="ANT342" s="104"/>
      <c r="ANU342" s="104"/>
      <c r="ANV342" s="104"/>
      <c r="ANW342" s="104"/>
      <c r="ANX342" s="104"/>
      <c r="ANY342" s="104"/>
      <c r="ANZ342" s="104"/>
      <c r="AOA342" s="104"/>
      <c r="AOB342" s="104"/>
      <c r="AOC342" s="104"/>
      <c r="AOD342" s="104"/>
      <c r="AOE342" s="104"/>
      <c r="AOF342" s="104"/>
      <c r="AOG342" s="104"/>
      <c r="AOH342" s="104"/>
      <c r="AOI342" s="104"/>
      <c r="AOJ342" s="104"/>
      <c r="AOK342" s="104"/>
      <c r="AOL342" s="104"/>
      <c r="AOM342" s="104"/>
      <c r="AON342" s="104"/>
      <c r="AOO342" s="104"/>
      <c r="AOP342" s="104"/>
      <c r="AOQ342" s="104"/>
      <c r="AOR342" s="104"/>
      <c r="AOS342" s="104"/>
      <c r="AOT342" s="104"/>
      <c r="AOU342" s="104"/>
      <c r="AOV342" s="104"/>
      <c r="AOW342" s="104"/>
      <c r="AOX342" s="104"/>
      <c r="AOY342" s="104"/>
      <c r="AOZ342" s="104"/>
      <c r="APA342" s="104"/>
      <c r="APB342" s="104"/>
      <c r="APC342" s="104"/>
      <c r="APD342" s="104"/>
      <c r="APE342" s="104"/>
      <c r="APF342" s="104"/>
      <c r="APG342" s="104"/>
      <c r="APH342" s="104"/>
      <c r="API342" s="104"/>
      <c r="APJ342" s="104"/>
      <c r="APK342" s="104"/>
      <c r="APL342" s="104"/>
      <c r="APM342" s="104"/>
      <c r="APN342" s="104"/>
      <c r="APO342" s="104"/>
      <c r="APP342" s="104"/>
      <c r="APQ342" s="104"/>
      <c r="APR342" s="104"/>
      <c r="APS342" s="104"/>
      <c r="APT342" s="104"/>
      <c r="APU342" s="104"/>
      <c r="APV342" s="104"/>
      <c r="APW342" s="104"/>
      <c r="APX342" s="104"/>
      <c r="APY342" s="104"/>
      <c r="APZ342" s="104"/>
      <c r="AQA342" s="104"/>
      <c r="AQB342" s="104"/>
      <c r="AQC342" s="104"/>
      <c r="AQD342" s="104"/>
      <c r="AQE342" s="104"/>
      <c r="AQF342" s="104"/>
      <c r="AQG342" s="104"/>
      <c r="AQH342" s="104"/>
      <c r="AQI342" s="104"/>
      <c r="AQJ342" s="104"/>
      <c r="AQK342" s="104"/>
      <c r="AQL342" s="104"/>
      <c r="AQM342" s="104"/>
      <c r="AQN342" s="104"/>
      <c r="AQO342" s="104"/>
      <c r="AQP342" s="104"/>
      <c r="AQQ342" s="104"/>
      <c r="AQR342" s="104"/>
      <c r="AQS342" s="104"/>
      <c r="AQT342" s="104"/>
      <c r="AQU342" s="104"/>
      <c r="AQV342" s="104"/>
      <c r="AQW342" s="104"/>
      <c r="AQX342" s="104"/>
      <c r="AQY342" s="104"/>
      <c r="AQZ342" s="104"/>
      <c r="ARA342" s="104"/>
      <c r="ARB342" s="104"/>
      <c r="ARC342" s="104"/>
      <c r="ARD342" s="104"/>
      <c r="ARE342" s="104"/>
      <c r="ARF342" s="104"/>
      <c r="ARG342" s="104"/>
      <c r="ARH342" s="104"/>
      <c r="ARI342" s="104"/>
      <c r="ARJ342" s="104"/>
      <c r="ARK342" s="104"/>
      <c r="ARL342" s="104"/>
      <c r="ARM342" s="104"/>
      <c r="ARN342" s="104"/>
      <c r="ARO342" s="104"/>
      <c r="ARP342" s="104"/>
      <c r="ARQ342" s="104"/>
      <c r="ARR342" s="104"/>
      <c r="ARS342" s="104"/>
      <c r="ART342" s="104"/>
      <c r="ARU342" s="104"/>
      <c r="ARV342" s="104"/>
      <c r="ARW342" s="104"/>
      <c r="ARX342" s="104"/>
      <c r="ARY342" s="104"/>
      <c r="ARZ342" s="104"/>
      <c r="ASA342" s="104"/>
      <c r="ASB342" s="104"/>
      <c r="ASC342" s="104"/>
      <c r="ASD342" s="104"/>
      <c r="ASE342" s="104"/>
      <c r="ASF342" s="104"/>
      <c r="ASG342" s="104"/>
      <c r="ASH342" s="104"/>
      <c r="ASI342" s="104"/>
      <c r="ASJ342" s="104"/>
      <c r="ASK342" s="104"/>
      <c r="ASL342" s="104"/>
      <c r="ASM342" s="104"/>
      <c r="ASN342" s="104"/>
      <c r="ASO342" s="104"/>
      <c r="ASP342" s="104"/>
      <c r="ASQ342" s="104"/>
      <c r="ASR342" s="104"/>
      <c r="ASS342" s="104"/>
      <c r="AST342" s="104"/>
      <c r="ASU342" s="104"/>
      <c r="ASV342" s="104"/>
      <c r="ASW342" s="104"/>
      <c r="ASX342" s="104"/>
      <c r="ASY342" s="104"/>
      <c r="ASZ342" s="104"/>
      <c r="ATA342" s="104"/>
      <c r="ATB342" s="104"/>
      <c r="ATC342" s="104"/>
      <c r="ATD342" s="104"/>
      <c r="ATE342" s="104"/>
      <c r="ATF342" s="104"/>
      <c r="ATG342" s="104"/>
      <c r="ATH342" s="104"/>
      <c r="ATI342" s="104"/>
      <c r="ATJ342" s="104"/>
      <c r="ATK342" s="104"/>
      <c r="ATL342" s="104"/>
      <c r="ATM342" s="104"/>
      <c r="ATN342" s="104"/>
      <c r="ATO342" s="104"/>
      <c r="ATP342" s="104"/>
      <c r="ATQ342" s="104"/>
      <c r="ATR342" s="104"/>
      <c r="ATS342" s="104"/>
      <c r="ATT342" s="104"/>
      <c r="ATU342" s="104"/>
      <c r="ATV342" s="104"/>
      <c r="ATW342" s="104"/>
      <c r="ATX342" s="104"/>
      <c r="ATY342" s="104"/>
      <c r="ATZ342" s="104"/>
      <c r="AUA342" s="104"/>
      <c r="AUB342" s="104"/>
      <c r="AUC342" s="104"/>
      <c r="AUD342" s="104"/>
      <c r="AUE342" s="104"/>
      <c r="AUF342" s="104"/>
      <c r="AUG342" s="104"/>
      <c r="AUH342" s="104"/>
      <c r="AUI342" s="104"/>
      <c r="AUJ342" s="104"/>
      <c r="AUK342" s="104"/>
      <c r="AUL342" s="104"/>
      <c r="AUM342" s="104"/>
      <c r="AUN342" s="104"/>
      <c r="AUO342" s="104"/>
      <c r="AUP342" s="104"/>
      <c r="AUQ342" s="104"/>
      <c r="AUR342" s="104"/>
      <c r="AUS342" s="104"/>
      <c r="AUT342" s="104"/>
      <c r="AUU342" s="104"/>
      <c r="AUV342" s="104"/>
      <c r="AUW342" s="104"/>
      <c r="AUX342" s="104"/>
      <c r="AUY342" s="104"/>
      <c r="AUZ342" s="104"/>
      <c r="AVA342" s="104"/>
      <c r="AVB342" s="104"/>
      <c r="AVC342" s="104"/>
      <c r="AVD342" s="104"/>
      <c r="AVE342" s="104"/>
      <c r="AVF342" s="104"/>
      <c r="AVG342" s="104"/>
      <c r="AVH342" s="104"/>
      <c r="AVI342" s="104"/>
      <c r="AVJ342" s="104"/>
      <c r="AVK342" s="104"/>
      <c r="AVL342" s="104"/>
      <c r="AVM342" s="104"/>
      <c r="AVN342" s="104"/>
      <c r="AVO342" s="104"/>
      <c r="AVP342" s="104"/>
      <c r="AVQ342" s="104"/>
      <c r="AVR342" s="104"/>
      <c r="AVS342" s="104"/>
      <c r="AVT342" s="104"/>
      <c r="AVU342" s="104"/>
      <c r="AVV342" s="104"/>
      <c r="AVW342" s="104"/>
      <c r="AVX342" s="104"/>
      <c r="AVY342" s="104"/>
      <c r="AVZ342" s="104"/>
      <c r="AWA342" s="104"/>
      <c r="AWB342" s="104"/>
      <c r="AWC342" s="104"/>
      <c r="AWD342" s="104"/>
      <c r="AWE342" s="104"/>
      <c r="AWF342" s="104"/>
      <c r="AWG342" s="104"/>
      <c r="AWH342" s="104"/>
      <c r="AWI342" s="104"/>
      <c r="AWJ342" s="104"/>
      <c r="AWK342" s="104"/>
      <c r="AWL342" s="104"/>
      <c r="AWM342" s="104"/>
      <c r="AWN342" s="104"/>
      <c r="AWO342" s="104"/>
      <c r="AWP342" s="104"/>
      <c r="AWQ342" s="104"/>
      <c r="AWR342" s="104"/>
      <c r="AWS342" s="104"/>
      <c r="AWT342" s="104"/>
      <c r="AWU342" s="104"/>
      <c r="AWV342" s="104"/>
      <c r="AWW342" s="104"/>
      <c r="AWX342" s="104"/>
      <c r="AWY342" s="104"/>
      <c r="AWZ342" s="104"/>
      <c r="AXA342" s="104"/>
      <c r="AXB342" s="104"/>
      <c r="AXC342" s="104"/>
      <c r="AXD342" s="104"/>
      <c r="AXE342" s="104"/>
      <c r="AXF342" s="104"/>
      <c r="AXG342" s="104"/>
      <c r="AXH342" s="104"/>
      <c r="AXI342" s="104"/>
      <c r="AXJ342" s="104"/>
      <c r="AXK342" s="104"/>
      <c r="AXL342" s="104"/>
      <c r="AXM342" s="104"/>
      <c r="AXN342" s="104"/>
      <c r="AXO342" s="104"/>
      <c r="AXP342" s="104"/>
      <c r="AXQ342" s="104"/>
      <c r="AXR342" s="104"/>
      <c r="AXS342" s="104"/>
      <c r="AXT342" s="104"/>
      <c r="AXU342" s="104"/>
      <c r="AXV342" s="104"/>
      <c r="AXW342" s="104"/>
      <c r="AXX342" s="104"/>
      <c r="AXY342" s="104"/>
      <c r="AXZ342" s="104"/>
      <c r="AYA342" s="104"/>
      <c r="AYB342" s="104"/>
      <c r="AYC342" s="104"/>
      <c r="AYD342" s="104"/>
      <c r="AYE342" s="104"/>
      <c r="AYF342" s="104"/>
      <c r="AYG342" s="104"/>
      <c r="AYH342" s="104"/>
      <c r="AYI342" s="104"/>
      <c r="AYJ342" s="104"/>
      <c r="AYK342" s="104"/>
      <c r="AYL342" s="104"/>
      <c r="AYM342" s="104"/>
      <c r="AYN342" s="104"/>
      <c r="AYO342" s="104"/>
      <c r="AYP342" s="104"/>
      <c r="AYQ342" s="104"/>
      <c r="AYR342" s="104"/>
      <c r="AYS342" s="104"/>
      <c r="AYT342" s="104"/>
      <c r="AYU342" s="104"/>
      <c r="AYV342" s="104"/>
      <c r="AYW342" s="104"/>
      <c r="AYX342" s="104"/>
      <c r="AYY342" s="104"/>
      <c r="AYZ342" s="104"/>
      <c r="AZA342" s="104"/>
      <c r="AZB342" s="104"/>
      <c r="AZC342" s="104"/>
      <c r="AZD342" s="104"/>
      <c r="AZE342" s="104"/>
      <c r="AZF342" s="104"/>
      <c r="AZG342" s="104"/>
      <c r="AZH342" s="104"/>
      <c r="AZI342" s="104"/>
      <c r="AZJ342" s="104"/>
      <c r="AZK342" s="104"/>
      <c r="AZL342" s="104"/>
      <c r="AZM342" s="104"/>
      <c r="AZN342" s="104"/>
      <c r="AZO342" s="104"/>
      <c r="AZP342" s="104"/>
      <c r="AZQ342" s="104"/>
      <c r="AZR342" s="104"/>
      <c r="AZS342" s="104"/>
      <c r="AZT342" s="104"/>
      <c r="AZU342" s="104"/>
      <c r="AZV342" s="104"/>
      <c r="AZW342" s="104"/>
      <c r="AZX342" s="104"/>
      <c r="AZY342" s="104"/>
      <c r="AZZ342" s="104"/>
      <c r="BAA342" s="104"/>
      <c r="BAB342" s="104"/>
      <c r="BAC342" s="104"/>
      <c r="BAD342" s="104"/>
      <c r="BAE342" s="104"/>
      <c r="BAF342" s="104"/>
      <c r="BAG342" s="104"/>
      <c r="BAH342" s="104"/>
      <c r="BAI342" s="104"/>
      <c r="BAJ342" s="104"/>
      <c r="BAK342" s="104"/>
      <c r="BAL342" s="104"/>
      <c r="BAM342" s="104"/>
      <c r="BAN342" s="104"/>
      <c r="BAO342" s="104"/>
      <c r="BAP342" s="104"/>
      <c r="BAQ342" s="104"/>
      <c r="BAR342" s="104"/>
      <c r="BAS342" s="104"/>
      <c r="BAT342" s="104"/>
      <c r="BAU342" s="104"/>
      <c r="BAV342" s="104"/>
      <c r="BAW342" s="104"/>
      <c r="BAX342" s="104"/>
      <c r="BAY342" s="104"/>
      <c r="BAZ342" s="104"/>
      <c r="BBA342" s="104"/>
      <c r="BBB342" s="104"/>
      <c r="BBC342" s="104"/>
      <c r="BBD342" s="104"/>
      <c r="BBE342" s="104"/>
      <c r="BBF342" s="104"/>
      <c r="BBG342" s="104"/>
      <c r="BBH342" s="104"/>
      <c r="BBI342" s="104"/>
      <c r="BBJ342" s="104"/>
      <c r="BBK342" s="104"/>
      <c r="BBL342" s="104"/>
      <c r="BBM342" s="104"/>
      <c r="BBN342" s="104"/>
      <c r="BBO342" s="104"/>
      <c r="BBP342" s="104"/>
      <c r="BBQ342" s="104"/>
      <c r="BBR342" s="104"/>
      <c r="BBS342" s="104"/>
      <c r="BBT342" s="104"/>
      <c r="BBU342" s="104"/>
      <c r="BBV342" s="104"/>
      <c r="BBW342" s="104"/>
      <c r="BBX342" s="104"/>
      <c r="BBY342" s="104"/>
      <c r="BBZ342" s="104"/>
      <c r="BCA342" s="104"/>
      <c r="BCB342" s="104"/>
      <c r="BCC342" s="104"/>
      <c r="BCD342" s="104"/>
      <c r="BCE342" s="104"/>
      <c r="BCF342" s="104"/>
      <c r="BCG342" s="104"/>
      <c r="BCH342" s="104"/>
      <c r="BCI342" s="104"/>
      <c r="BCJ342" s="104"/>
      <c r="BCK342" s="104"/>
      <c r="BCL342" s="104"/>
      <c r="BCM342" s="104"/>
      <c r="BCN342" s="104"/>
      <c r="BCO342" s="104"/>
      <c r="BCP342" s="104"/>
      <c r="BCQ342" s="104"/>
      <c r="BCR342" s="104"/>
      <c r="BCS342" s="104"/>
      <c r="BCT342" s="104"/>
      <c r="BCU342" s="104"/>
      <c r="BCV342" s="104"/>
      <c r="BCW342" s="104"/>
      <c r="BCX342" s="104"/>
      <c r="BCY342" s="104"/>
      <c r="BCZ342" s="104"/>
      <c r="BDA342" s="104"/>
      <c r="BDB342" s="104"/>
      <c r="BDC342" s="104"/>
      <c r="BDD342" s="104"/>
      <c r="BDE342" s="104"/>
      <c r="BDF342" s="104"/>
      <c r="BDG342" s="104"/>
      <c r="BDH342" s="104"/>
      <c r="BDI342" s="104"/>
      <c r="BDJ342" s="104"/>
      <c r="BDK342" s="104"/>
      <c r="BDL342" s="104"/>
      <c r="BDM342" s="104"/>
      <c r="BDN342" s="104"/>
      <c r="BDO342" s="104"/>
      <c r="BDP342" s="104"/>
      <c r="BDQ342" s="104"/>
      <c r="BDR342" s="104"/>
      <c r="BDS342" s="104"/>
      <c r="BDT342" s="104"/>
      <c r="BDU342" s="104"/>
      <c r="BDV342" s="104"/>
      <c r="BDW342" s="104"/>
      <c r="BDX342" s="104"/>
      <c r="BDY342" s="104"/>
      <c r="BDZ342" s="104"/>
      <c r="BEA342" s="104"/>
      <c r="BEB342" s="104"/>
      <c r="BEC342" s="104"/>
      <c r="BED342" s="104"/>
      <c r="BEE342" s="104"/>
      <c r="BEF342" s="104"/>
      <c r="BEG342" s="104"/>
      <c r="BEH342" s="104"/>
      <c r="BEI342" s="104"/>
      <c r="BEJ342" s="104"/>
      <c r="BEK342" s="104"/>
      <c r="BEL342" s="104"/>
      <c r="BEM342" s="104"/>
      <c r="BEN342" s="104"/>
      <c r="BEO342" s="104"/>
      <c r="BEP342" s="104"/>
      <c r="BEQ342" s="104"/>
      <c r="BER342" s="104"/>
      <c r="BES342" s="104"/>
      <c r="BET342" s="104"/>
      <c r="BEU342" s="104"/>
      <c r="BEV342" s="104"/>
      <c r="BEW342" s="104"/>
      <c r="BEX342" s="104"/>
      <c r="BEY342" s="104"/>
      <c r="BEZ342" s="104"/>
      <c r="BFA342" s="104"/>
      <c r="BFB342" s="104"/>
      <c r="BFC342" s="104"/>
      <c r="BFD342" s="104"/>
      <c r="BFE342" s="104"/>
      <c r="BFF342" s="104"/>
      <c r="BFG342" s="104"/>
      <c r="BFH342" s="104"/>
      <c r="BFI342" s="104"/>
      <c r="BFJ342" s="104"/>
      <c r="BFK342" s="104"/>
      <c r="BFL342" s="104"/>
      <c r="BFM342" s="104"/>
      <c r="BFN342" s="104"/>
      <c r="BFO342" s="104"/>
      <c r="BFP342" s="104"/>
      <c r="BFQ342" s="104"/>
      <c r="BFR342" s="104"/>
      <c r="BFS342" s="104"/>
      <c r="BFT342" s="104"/>
      <c r="BFU342" s="104"/>
      <c r="BFV342" s="104"/>
      <c r="BFW342" s="104"/>
      <c r="BFX342" s="104"/>
      <c r="BFY342" s="104"/>
      <c r="BFZ342" s="104"/>
      <c r="BGA342" s="104"/>
      <c r="BGB342" s="104"/>
      <c r="BGC342" s="104"/>
      <c r="BGD342" s="104"/>
      <c r="BGE342" s="104"/>
      <c r="BGF342" s="104"/>
      <c r="BGG342" s="104"/>
      <c r="BGH342" s="104"/>
      <c r="BGI342" s="104"/>
      <c r="BGJ342" s="104"/>
      <c r="BGK342" s="104"/>
      <c r="BGL342" s="104"/>
      <c r="BGM342" s="104"/>
      <c r="BGN342" s="104"/>
      <c r="BGO342" s="104"/>
      <c r="BGP342" s="104"/>
      <c r="BGQ342" s="104"/>
      <c r="BGR342" s="104"/>
      <c r="BGS342" s="104"/>
      <c r="BGT342" s="104"/>
      <c r="BGU342" s="104"/>
      <c r="BGV342" s="104"/>
      <c r="BGW342" s="104"/>
      <c r="BGX342" s="104"/>
      <c r="BGY342" s="104"/>
      <c r="BGZ342" s="104"/>
      <c r="BHA342" s="104"/>
      <c r="BHB342" s="104"/>
      <c r="BHC342" s="104"/>
      <c r="BHD342" s="104"/>
      <c r="BHE342" s="104"/>
      <c r="BHF342" s="104"/>
      <c r="BHG342" s="104"/>
      <c r="BHH342" s="104"/>
      <c r="BHI342" s="104"/>
      <c r="BHJ342" s="104"/>
      <c r="BHK342" s="104"/>
      <c r="BHL342" s="104"/>
      <c r="BHM342" s="104"/>
      <c r="BHN342" s="104"/>
      <c r="BHO342" s="104"/>
      <c r="BHP342" s="104"/>
      <c r="BHQ342" s="104"/>
      <c r="BHR342" s="104"/>
      <c r="BHS342" s="104"/>
      <c r="BHT342" s="104"/>
      <c r="BHU342" s="104"/>
      <c r="BHV342" s="104"/>
      <c r="BHW342" s="104"/>
      <c r="BHX342" s="104"/>
      <c r="BHY342" s="104"/>
      <c r="BHZ342" s="104"/>
      <c r="BIA342" s="104"/>
      <c r="BIB342" s="104"/>
      <c r="BIC342" s="104"/>
      <c r="BID342" s="104"/>
      <c r="BIE342" s="104"/>
      <c r="BIF342" s="104"/>
      <c r="BIG342" s="104"/>
      <c r="BIH342" s="104"/>
      <c r="BII342" s="104"/>
      <c r="BIJ342" s="104"/>
      <c r="BIK342" s="104"/>
      <c r="BIL342" s="104"/>
      <c r="BIM342" s="104"/>
      <c r="BIN342" s="104"/>
      <c r="BIO342" s="104"/>
      <c r="BIP342" s="104"/>
      <c r="BIQ342" s="104"/>
      <c r="BIR342" s="104"/>
      <c r="BIS342" s="104"/>
      <c r="BIT342" s="104"/>
      <c r="BIU342" s="104"/>
      <c r="BIV342" s="104"/>
      <c r="BIW342" s="104"/>
      <c r="BIX342" s="104"/>
      <c r="BIY342" s="104"/>
      <c r="BIZ342" s="104"/>
      <c r="BJA342" s="104"/>
      <c r="BJB342" s="104"/>
      <c r="BJC342" s="104"/>
      <c r="BJD342" s="104"/>
      <c r="BJE342" s="104"/>
      <c r="BJF342" s="104"/>
      <c r="BJG342" s="104"/>
      <c r="BJH342" s="104"/>
      <c r="BJI342" s="104"/>
      <c r="BJJ342" s="104"/>
      <c r="BJK342" s="104"/>
      <c r="BJL342" s="104"/>
      <c r="BJM342" s="104"/>
      <c r="BJN342" s="104"/>
      <c r="BJO342" s="104"/>
      <c r="BJP342" s="104"/>
      <c r="BJQ342" s="104"/>
      <c r="BJR342" s="104"/>
      <c r="BJS342" s="104"/>
      <c r="BJT342" s="104"/>
      <c r="BJU342" s="104"/>
      <c r="BJV342" s="104"/>
      <c r="BJW342" s="104"/>
      <c r="BJX342" s="104"/>
      <c r="BJY342" s="104"/>
      <c r="BJZ342" s="104"/>
      <c r="BKA342" s="104"/>
      <c r="BKB342" s="104"/>
      <c r="BKC342" s="104"/>
      <c r="BKD342" s="104"/>
      <c r="BKE342" s="104"/>
      <c r="BKF342" s="104"/>
      <c r="BKG342" s="104"/>
      <c r="BKH342" s="104"/>
      <c r="BKI342" s="104"/>
      <c r="BKJ342" s="104"/>
      <c r="BKK342" s="104"/>
      <c r="BKL342" s="104"/>
      <c r="BKM342" s="104"/>
      <c r="BKN342" s="104"/>
      <c r="BKO342" s="104"/>
      <c r="BKP342" s="104"/>
      <c r="BKQ342" s="104"/>
      <c r="BKR342" s="104"/>
      <c r="BKS342" s="104"/>
      <c r="BKT342" s="104"/>
      <c r="BKU342" s="104"/>
      <c r="BKV342" s="104"/>
      <c r="BKW342" s="104"/>
      <c r="BKX342" s="104"/>
      <c r="BKY342" s="104"/>
      <c r="BKZ342" s="104"/>
      <c r="BLA342" s="104"/>
      <c r="BLB342" s="104"/>
      <c r="BLC342" s="104"/>
      <c r="BLD342" s="104"/>
      <c r="BLE342" s="104"/>
      <c r="BLF342" s="104"/>
      <c r="BLG342" s="104"/>
      <c r="BLH342" s="104"/>
      <c r="BLI342" s="104"/>
      <c r="BLJ342" s="104"/>
      <c r="BLK342" s="104"/>
      <c r="BLL342" s="104"/>
      <c r="BLM342" s="104"/>
      <c r="BLN342" s="104"/>
      <c r="BLO342" s="104"/>
      <c r="BLP342" s="104"/>
      <c r="BLQ342" s="104"/>
      <c r="BLR342" s="104"/>
      <c r="BLS342" s="104"/>
      <c r="BLT342" s="104"/>
      <c r="BLU342" s="104"/>
      <c r="BLV342" s="104"/>
      <c r="BLW342" s="104"/>
      <c r="BLX342" s="104"/>
      <c r="BLY342" s="104"/>
      <c r="BLZ342" s="104"/>
      <c r="BMA342" s="104"/>
      <c r="BMB342" s="104"/>
      <c r="BMC342" s="104"/>
      <c r="BMD342" s="104"/>
      <c r="BME342" s="104"/>
      <c r="BMF342" s="104"/>
      <c r="BMG342" s="104"/>
      <c r="BMH342" s="104"/>
      <c r="BMI342" s="104"/>
      <c r="BMJ342" s="104"/>
      <c r="BMK342" s="104"/>
      <c r="BML342" s="104"/>
      <c r="BMM342" s="104"/>
      <c r="BMN342" s="104"/>
      <c r="BMO342" s="104"/>
      <c r="BMP342" s="104"/>
      <c r="BMQ342" s="104"/>
      <c r="BMR342" s="104"/>
      <c r="BMS342" s="104"/>
      <c r="BMT342" s="104"/>
      <c r="BMU342" s="104"/>
      <c r="BMV342" s="104"/>
      <c r="BMW342" s="104"/>
      <c r="BMX342" s="104"/>
      <c r="BMY342" s="104"/>
      <c r="BMZ342" s="104"/>
      <c r="BNA342" s="104"/>
      <c r="BNB342" s="104"/>
      <c r="BNC342" s="104"/>
      <c r="BND342" s="104"/>
      <c r="BNE342" s="104"/>
      <c r="BNF342" s="104"/>
      <c r="BNG342" s="104"/>
      <c r="BNH342" s="104"/>
      <c r="BNI342" s="104"/>
      <c r="BNJ342" s="104"/>
      <c r="BNK342" s="104"/>
      <c r="BNL342" s="104"/>
      <c r="BNM342" s="104"/>
      <c r="BNN342" s="104"/>
      <c r="BNO342" s="104"/>
      <c r="BNP342" s="104"/>
      <c r="BNQ342" s="104"/>
      <c r="BNR342" s="104"/>
      <c r="BNS342" s="104"/>
      <c r="BNT342" s="104"/>
      <c r="BNU342" s="104"/>
      <c r="BNV342" s="104"/>
      <c r="BNW342" s="104"/>
      <c r="BNX342" s="104"/>
      <c r="BNY342" s="104"/>
      <c r="BNZ342" s="104"/>
      <c r="BOA342" s="104"/>
      <c r="BOB342" s="104"/>
      <c r="BOC342" s="104"/>
      <c r="BOD342" s="104"/>
      <c r="BOE342" s="104"/>
      <c r="BOF342" s="104"/>
      <c r="BOG342" s="104"/>
      <c r="BOH342" s="104"/>
      <c r="BOI342" s="104"/>
      <c r="BOJ342" s="104"/>
      <c r="BOK342" s="104"/>
      <c r="BOL342" s="104"/>
      <c r="BOM342" s="104"/>
      <c r="BON342" s="104"/>
      <c r="BOO342" s="104"/>
      <c r="BOP342" s="104"/>
      <c r="BOQ342" s="104"/>
      <c r="BOR342" s="104"/>
      <c r="BOS342" s="104"/>
      <c r="BOT342" s="104"/>
      <c r="BOU342" s="104"/>
      <c r="BOV342" s="104"/>
      <c r="BOW342" s="104"/>
      <c r="BOX342" s="104"/>
      <c r="BOY342" s="104"/>
      <c r="BOZ342" s="104"/>
      <c r="BPA342" s="104"/>
      <c r="BPB342" s="104"/>
      <c r="BPC342" s="104"/>
      <c r="BPD342" s="104"/>
      <c r="BPE342" s="104"/>
      <c r="BPF342" s="104"/>
      <c r="BPG342" s="104"/>
      <c r="BPH342" s="104"/>
      <c r="BPI342" s="104"/>
      <c r="BPJ342" s="104"/>
      <c r="BPK342" s="104"/>
      <c r="BPL342" s="104"/>
      <c r="BPM342" s="104"/>
      <c r="BPN342" s="104"/>
      <c r="BPO342" s="104"/>
      <c r="BPP342" s="104"/>
      <c r="BPQ342" s="104"/>
      <c r="BPR342" s="104"/>
      <c r="BPS342" s="104"/>
      <c r="BPT342" s="104"/>
      <c r="BPU342" s="104"/>
      <c r="BPV342" s="104"/>
      <c r="BPW342" s="104"/>
      <c r="BPX342" s="104"/>
      <c r="BPY342" s="104"/>
      <c r="BPZ342" s="104"/>
      <c r="BQA342" s="104"/>
      <c r="BQB342" s="104"/>
      <c r="BQC342" s="104"/>
      <c r="BQD342" s="104"/>
      <c r="BQE342" s="104"/>
      <c r="BQF342" s="104"/>
      <c r="BQG342" s="104"/>
      <c r="BQH342" s="104"/>
      <c r="BQI342" s="104"/>
      <c r="BQJ342" s="104"/>
      <c r="BQK342" s="104"/>
      <c r="BQL342" s="104"/>
      <c r="BQM342" s="104"/>
      <c r="BQN342" s="104"/>
      <c r="BQO342" s="104"/>
      <c r="BQP342" s="104"/>
      <c r="BQQ342" s="104"/>
      <c r="BQR342" s="104"/>
      <c r="BQS342" s="104"/>
      <c r="BQT342" s="104"/>
      <c r="BQU342" s="104"/>
      <c r="BQV342" s="104"/>
      <c r="BQW342" s="104"/>
      <c r="BQX342" s="104"/>
      <c r="BQY342" s="104"/>
      <c r="BQZ342" s="104"/>
      <c r="BRA342" s="104"/>
      <c r="BRB342" s="104"/>
      <c r="BRC342" s="104"/>
      <c r="BRD342" s="104"/>
      <c r="BRE342" s="104"/>
      <c r="BRF342" s="104"/>
      <c r="BRG342" s="104"/>
      <c r="BRH342" s="104"/>
      <c r="BRI342" s="104"/>
      <c r="BRJ342" s="104"/>
      <c r="BRK342" s="104"/>
      <c r="BRL342" s="104"/>
      <c r="BRM342" s="104"/>
      <c r="BRN342" s="104"/>
      <c r="BRO342" s="104"/>
      <c r="BRP342" s="104"/>
      <c r="BRQ342" s="104"/>
      <c r="BRR342" s="104"/>
      <c r="BRS342" s="104"/>
      <c r="BRT342" s="104"/>
      <c r="BRU342" s="104"/>
      <c r="BRV342" s="104"/>
      <c r="BRW342" s="104"/>
      <c r="BRX342" s="104"/>
      <c r="BRY342" s="104"/>
      <c r="BRZ342" s="104"/>
      <c r="BSA342" s="104"/>
      <c r="BSB342" s="104"/>
      <c r="BSC342" s="104"/>
      <c r="BSD342" s="104"/>
      <c r="BSE342" s="104"/>
      <c r="BSF342" s="104"/>
      <c r="BSG342" s="104"/>
      <c r="BSH342" s="104"/>
      <c r="BSI342" s="104"/>
      <c r="BSJ342" s="104"/>
      <c r="BSK342" s="104"/>
      <c r="BSL342" s="104"/>
      <c r="BSM342" s="104"/>
      <c r="BSN342" s="104"/>
      <c r="BSO342" s="104"/>
      <c r="BSP342" s="104"/>
      <c r="BSQ342" s="104"/>
      <c r="BSR342" s="104"/>
      <c r="BSS342" s="104"/>
      <c r="BST342" s="104"/>
      <c r="BSU342" s="104"/>
      <c r="BSV342" s="104"/>
      <c r="BSW342" s="104"/>
      <c r="BSX342" s="104"/>
      <c r="BSY342" s="104"/>
      <c r="BSZ342" s="104"/>
      <c r="BTA342" s="104"/>
      <c r="BTB342" s="104"/>
      <c r="BTC342" s="104"/>
      <c r="BTD342" s="104"/>
      <c r="BTE342" s="104"/>
      <c r="BTF342" s="104"/>
      <c r="BTG342" s="104"/>
      <c r="BTH342" s="104"/>
      <c r="BTI342" s="104"/>
      <c r="BTJ342" s="104"/>
      <c r="BTK342" s="104"/>
      <c r="BTL342" s="104"/>
      <c r="BTM342" s="104"/>
      <c r="BTN342" s="104"/>
      <c r="BTO342" s="104"/>
      <c r="BTP342" s="104"/>
      <c r="BTQ342" s="104"/>
      <c r="BTR342" s="104"/>
      <c r="BTS342" s="104"/>
      <c r="BTT342" s="104"/>
      <c r="BTU342" s="104"/>
      <c r="BTV342" s="104"/>
      <c r="BTW342" s="104"/>
      <c r="BTX342" s="104"/>
      <c r="BTY342" s="104"/>
      <c r="BTZ342" s="104"/>
      <c r="BUA342" s="104"/>
      <c r="BUB342" s="104"/>
      <c r="BUC342" s="104"/>
      <c r="BUD342" s="104"/>
      <c r="BUE342" s="104"/>
      <c r="BUF342" s="104"/>
      <c r="BUG342" s="104"/>
      <c r="BUH342" s="104"/>
      <c r="BUI342" s="104"/>
      <c r="BUJ342" s="104"/>
      <c r="BUK342" s="104"/>
      <c r="BUL342" s="104"/>
      <c r="BUM342" s="104"/>
      <c r="BUN342" s="104"/>
      <c r="BUO342" s="104"/>
      <c r="BUP342" s="104"/>
      <c r="BUQ342" s="104"/>
      <c r="BUR342" s="104"/>
      <c r="BUS342" s="104"/>
      <c r="BUT342" s="104"/>
      <c r="BUU342" s="104"/>
      <c r="BUV342" s="104"/>
      <c r="BUW342" s="104"/>
      <c r="BUX342" s="104"/>
      <c r="BUY342" s="104"/>
      <c r="BUZ342" s="104"/>
      <c r="BVA342" s="104"/>
      <c r="BVB342" s="104"/>
      <c r="BVC342" s="104"/>
      <c r="BVD342" s="104"/>
      <c r="BVE342" s="104"/>
      <c r="BVF342" s="104"/>
      <c r="BVG342" s="104"/>
      <c r="BVH342" s="104"/>
      <c r="BVI342" s="104"/>
      <c r="BVJ342" s="104"/>
      <c r="BVK342" s="104"/>
      <c r="BVL342" s="104"/>
      <c r="BVM342" s="104"/>
      <c r="BVN342" s="104"/>
      <c r="BVO342" s="104"/>
      <c r="BVP342" s="104"/>
      <c r="BVQ342" s="104"/>
      <c r="BVR342" s="104"/>
      <c r="BVS342" s="104"/>
      <c r="BVT342" s="104"/>
      <c r="BVU342" s="104"/>
      <c r="BVV342" s="104"/>
      <c r="BVW342" s="104"/>
      <c r="BVX342" s="104"/>
      <c r="BVY342" s="104"/>
      <c r="BVZ342" s="104"/>
      <c r="BWA342" s="104"/>
      <c r="BWB342" s="104"/>
      <c r="BWC342" s="104"/>
      <c r="BWD342" s="104"/>
      <c r="BWE342" s="104"/>
      <c r="BWF342" s="104"/>
      <c r="BWG342" s="104"/>
      <c r="BWH342" s="104"/>
      <c r="BWI342" s="104"/>
      <c r="BWJ342" s="104"/>
      <c r="BWK342" s="104"/>
      <c r="BWL342" s="104"/>
      <c r="BWM342" s="104"/>
      <c r="BWN342" s="104"/>
      <c r="BWO342" s="104"/>
      <c r="BWP342" s="104"/>
      <c r="BWQ342" s="104"/>
      <c r="BWR342" s="104"/>
      <c r="BWS342" s="104"/>
      <c r="BWT342" s="104"/>
      <c r="BWU342" s="104"/>
      <c r="BWV342" s="104"/>
      <c r="BWW342" s="104"/>
      <c r="BWX342" s="104"/>
      <c r="BWY342" s="104"/>
      <c r="BWZ342" s="104"/>
      <c r="BXA342" s="104"/>
      <c r="BXB342" s="104"/>
      <c r="BXC342" s="104"/>
      <c r="BXD342" s="104"/>
      <c r="BXE342" s="104"/>
      <c r="BXF342" s="104"/>
      <c r="BXG342" s="104"/>
      <c r="BXH342" s="104"/>
      <c r="BXI342" s="104"/>
      <c r="BXJ342" s="104"/>
      <c r="BXK342" s="104"/>
      <c r="BXL342" s="104"/>
      <c r="BXM342" s="104"/>
      <c r="BXN342" s="104"/>
      <c r="BXO342" s="104"/>
      <c r="BXP342" s="104"/>
      <c r="BXQ342" s="104"/>
      <c r="BXR342" s="104"/>
      <c r="BXS342" s="104"/>
      <c r="BXT342" s="104"/>
      <c r="BXU342" s="104"/>
      <c r="BXV342" s="104"/>
      <c r="BXW342" s="104"/>
      <c r="BXX342" s="104"/>
      <c r="BXY342" s="104"/>
      <c r="BXZ342" s="104"/>
      <c r="BYA342" s="104"/>
      <c r="BYB342" s="104"/>
      <c r="BYC342" s="104"/>
      <c r="BYD342" s="104"/>
      <c r="BYE342" s="104"/>
      <c r="BYF342" s="104"/>
      <c r="BYG342" s="104"/>
      <c r="BYH342" s="104"/>
      <c r="BYI342" s="104"/>
      <c r="BYJ342" s="104"/>
      <c r="BYK342" s="104"/>
      <c r="BYL342" s="104"/>
      <c r="BYM342" s="104"/>
      <c r="BYN342" s="104"/>
      <c r="BYO342" s="104"/>
      <c r="BYP342" s="104"/>
      <c r="BYQ342" s="104"/>
      <c r="BYR342" s="104"/>
      <c r="BYS342" s="104"/>
      <c r="BYT342" s="104"/>
      <c r="BYU342" s="104"/>
      <c r="BYV342" s="104"/>
      <c r="BYW342" s="104"/>
      <c r="BYX342" s="104"/>
      <c r="BYY342" s="104"/>
      <c r="BYZ342" s="104"/>
      <c r="BZA342" s="104"/>
      <c r="BZB342" s="104"/>
      <c r="BZC342" s="104"/>
      <c r="BZD342" s="104"/>
      <c r="BZE342" s="104"/>
      <c r="BZF342" s="104"/>
      <c r="BZG342" s="104"/>
      <c r="BZH342" s="104"/>
      <c r="BZI342" s="104"/>
      <c r="BZJ342" s="104"/>
      <c r="BZK342" s="104"/>
      <c r="BZL342" s="104"/>
      <c r="BZM342" s="104"/>
      <c r="BZN342" s="104"/>
      <c r="BZO342" s="104"/>
      <c r="BZP342" s="104"/>
      <c r="BZQ342" s="104"/>
      <c r="BZR342" s="104"/>
      <c r="BZS342" s="104"/>
      <c r="BZT342" s="104"/>
      <c r="BZU342" s="104"/>
      <c r="BZV342" s="104"/>
      <c r="BZW342" s="104"/>
      <c r="BZX342" s="104"/>
      <c r="BZY342" s="104"/>
      <c r="BZZ342" s="104"/>
      <c r="CAA342" s="104"/>
      <c r="CAB342" s="104"/>
      <c r="CAC342" s="104"/>
      <c r="CAD342" s="104"/>
      <c r="CAE342" s="104"/>
      <c r="CAF342" s="104"/>
      <c r="CAG342" s="104"/>
      <c r="CAH342" s="104"/>
      <c r="CAI342" s="104"/>
      <c r="CAJ342" s="104"/>
      <c r="CAK342" s="104"/>
      <c r="CAL342" s="104"/>
      <c r="CAM342" s="104"/>
      <c r="CAN342" s="104"/>
      <c r="CAO342" s="104"/>
      <c r="CAP342" s="104"/>
      <c r="CAQ342" s="104"/>
      <c r="CAR342" s="104"/>
      <c r="CAS342" s="104"/>
      <c r="CAT342" s="104"/>
      <c r="CAU342" s="104"/>
      <c r="CAV342" s="104"/>
      <c r="CAW342" s="104"/>
      <c r="CAX342" s="104"/>
      <c r="CAY342" s="104"/>
      <c r="CAZ342" s="104"/>
      <c r="CBA342" s="104"/>
      <c r="CBB342" s="104"/>
      <c r="CBC342" s="104"/>
      <c r="CBD342" s="104"/>
      <c r="CBE342" s="104"/>
      <c r="CBF342" s="104"/>
      <c r="CBG342" s="104"/>
      <c r="CBH342" s="104"/>
      <c r="CBI342" s="104"/>
      <c r="CBJ342" s="104"/>
      <c r="CBK342" s="104"/>
      <c r="CBL342" s="104"/>
      <c r="CBM342" s="104"/>
      <c r="CBN342" s="104"/>
      <c r="CBO342" s="104"/>
      <c r="CBP342" s="104"/>
      <c r="CBQ342" s="104"/>
      <c r="CBR342" s="104"/>
      <c r="CBS342" s="104"/>
      <c r="CBT342" s="104"/>
      <c r="CBU342" s="104"/>
      <c r="CBV342" s="104"/>
      <c r="CBW342" s="104"/>
      <c r="CBX342" s="104"/>
      <c r="CBY342" s="104"/>
      <c r="CBZ342" s="104"/>
      <c r="CCA342" s="104"/>
      <c r="CCB342" s="104"/>
      <c r="CCC342" s="104"/>
      <c r="CCD342" s="104"/>
      <c r="CCE342" s="104"/>
      <c r="CCF342" s="104"/>
      <c r="CCG342" s="104"/>
      <c r="CCH342" s="104"/>
      <c r="CCI342" s="104"/>
      <c r="CCJ342" s="104"/>
      <c r="CCK342" s="104"/>
      <c r="CCL342" s="104"/>
      <c r="CCM342" s="104"/>
      <c r="CCN342" s="104"/>
      <c r="CCO342" s="104"/>
      <c r="CCP342" s="104"/>
      <c r="CCQ342" s="104"/>
      <c r="CCR342" s="104"/>
      <c r="CCS342" s="104"/>
      <c r="CCT342" s="104"/>
      <c r="CCU342" s="104"/>
      <c r="CCV342" s="104"/>
      <c r="CCW342" s="104"/>
      <c r="CCX342" s="104"/>
      <c r="CCY342" s="104"/>
      <c r="CCZ342" s="104"/>
      <c r="CDA342" s="104"/>
      <c r="CDB342" s="104"/>
      <c r="CDC342" s="104"/>
      <c r="CDD342" s="104"/>
      <c r="CDE342" s="104"/>
      <c r="CDF342" s="104"/>
      <c r="CDG342" s="104"/>
      <c r="CDH342" s="104"/>
      <c r="CDI342" s="104"/>
      <c r="CDJ342" s="104"/>
      <c r="CDK342" s="104"/>
      <c r="CDL342" s="104"/>
      <c r="CDM342" s="104"/>
      <c r="CDN342" s="104"/>
      <c r="CDO342" s="104"/>
      <c r="CDP342" s="104"/>
      <c r="CDQ342" s="104"/>
      <c r="CDR342" s="104"/>
      <c r="CDS342" s="104"/>
      <c r="CDT342" s="104"/>
      <c r="CDU342" s="104"/>
      <c r="CDV342" s="104"/>
      <c r="CDW342" s="104"/>
      <c r="CDX342" s="104"/>
      <c r="CDY342" s="104"/>
      <c r="CDZ342" s="104"/>
      <c r="CEA342" s="104"/>
      <c r="CEB342" s="104"/>
      <c r="CEC342" s="104"/>
      <c r="CED342" s="104"/>
      <c r="CEE342" s="104"/>
      <c r="CEF342" s="104"/>
      <c r="CEG342" s="104"/>
      <c r="CEH342" s="104"/>
      <c r="CEI342" s="104"/>
      <c r="CEJ342" s="104"/>
      <c r="CEK342" s="104"/>
      <c r="CEL342" s="104"/>
      <c r="CEM342" s="104"/>
      <c r="CEN342" s="104"/>
      <c r="CEO342" s="104"/>
      <c r="CEP342" s="104"/>
      <c r="CEQ342" s="104"/>
      <c r="CER342" s="104"/>
      <c r="CES342" s="104"/>
      <c r="CET342" s="104"/>
      <c r="CEU342" s="104"/>
      <c r="CEV342" s="104"/>
      <c r="CEW342" s="104"/>
      <c r="CEX342" s="104"/>
      <c r="CEY342" s="104"/>
      <c r="CEZ342" s="104"/>
      <c r="CFA342" s="104"/>
      <c r="CFB342" s="104"/>
      <c r="CFC342" s="104"/>
      <c r="CFD342" s="104"/>
      <c r="CFE342" s="104"/>
      <c r="CFF342" s="104"/>
      <c r="CFG342" s="104"/>
      <c r="CFH342" s="104"/>
      <c r="CFI342" s="104"/>
      <c r="CFJ342" s="104"/>
      <c r="CFK342" s="104"/>
      <c r="CFL342" s="104"/>
      <c r="CFM342" s="104"/>
      <c r="CFN342" s="104"/>
      <c r="CFO342" s="104"/>
      <c r="CFP342" s="104"/>
      <c r="CFQ342" s="104"/>
      <c r="CFR342" s="104"/>
      <c r="CFS342" s="104"/>
      <c r="CFT342" s="104"/>
      <c r="CFU342" s="104"/>
      <c r="CFV342" s="104"/>
      <c r="CFW342" s="104"/>
      <c r="CFX342" s="104"/>
      <c r="CFY342" s="104"/>
      <c r="CFZ342" s="104"/>
      <c r="CGA342" s="104"/>
      <c r="CGB342" s="104"/>
      <c r="CGC342" s="104"/>
      <c r="CGD342" s="104"/>
      <c r="CGE342" s="104"/>
      <c r="CGF342" s="104"/>
      <c r="CGG342" s="104"/>
      <c r="CGH342" s="104"/>
      <c r="CGI342" s="104"/>
      <c r="CGJ342" s="104"/>
      <c r="CGK342" s="104"/>
      <c r="CGL342" s="104"/>
      <c r="CGM342" s="104"/>
      <c r="CGN342" s="104"/>
      <c r="CGO342" s="104"/>
      <c r="CGP342" s="104"/>
      <c r="CGQ342" s="104"/>
      <c r="CGR342" s="104"/>
      <c r="CGS342" s="104"/>
      <c r="CGT342" s="104"/>
      <c r="CGU342" s="104"/>
      <c r="CGV342" s="104"/>
      <c r="CGW342" s="104"/>
      <c r="CGX342" s="104"/>
      <c r="CGY342" s="104"/>
      <c r="CGZ342" s="104"/>
      <c r="CHA342" s="104"/>
      <c r="CHB342" s="104"/>
      <c r="CHC342" s="104"/>
      <c r="CHD342" s="104"/>
      <c r="CHE342" s="104"/>
      <c r="CHF342" s="104"/>
      <c r="CHG342" s="104"/>
      <c r="CHH342" s="104"/>
      <c r="CHI342" s="104"/>
      <c r="CHJ342" s="104"/>
      <c r="CHK342" s="104"/>
      <c r="CHL342" s="104"/>
      <c r="CHM342" s="104"/>
      <c r="CHN342" s="104"/>
      <c r="CHO342" s="104"/>
      <c r="CHP342" s="104"/>
      <c r="CHQ342" s="104"/>
      <c r="CHR342" s="104"/>
      <c r="CHS342" s="104"/>
      <c r="CHT342" s="104"/>
      <c r="CHU342" s="104"/>
      <c r="CHV342" s="104"/>
      <c r="CHW342" s="104"/>
      <c r="CHX342" s="104"/>
      <c r="CHY342" s="104"/>
      <c r="CHZ342" s="104"/>
      <c r="CIA342" s="104"/>
      <c r="CIB342" s="104"/>
      <c r="CIC342" s="104"/>
      <c r="CID342" s="104"/>
      <c r="CIE342" s="104"/>
      <c r="CIF342" s="104"/>
      <c r="CIG342" s="104"/>
      <c r="CIH342" s="104"/>
      <c r="CII342" s="104"/>
      <c r="CIJ342" s="104"/>
      <c r="CIK342" s="104"/>
      <c r="CIL342" s="104"/>
      <c r="CIM342" s="104"/>
      <c r="CIN342" s="104"/>
      <c r="CIO342" s="104"/>
      <c r="CIP342" s="104"/>
      <c r="CIQ342" s="104"/>
      <c r="CIR342" s="104"/>
      <c r="CIS342" s="104"/>
      <c r="CIT342" s="104"/>
      <c r="CIU342" s="104"/>
      <c r="CIV342" s="104"/>
      <c r="CIW342" s="104"/>
      <c r="CIX342" s="104"/>
      <c r="CIY342" s="104"/>
      <c r="CIZ342" s="104"/>
      <c r="CJA342" s="104"/>
      <c r="CJB342" s="104"/>
      <c r="CJC342" s="104"/>
      <c r="CJD342" s="104"/>
      <c r="CJE342" s="104"/>
      <c r="CJF342" s="104"/>
      <c r="CJG342" s="104"/>
      <c r="CJH342" s="104"/>
      <c r="CJI342" s="104"/>
      <c r="CJJ342" s="104"/>
      <c r="CJK342" s="104"/>
      <c r="CJL342" s="104"/>
      <c r="CJM342" s="104"/>
      <c r="CJN342" s="104"/>
      <c r="CJO342" s="104"/>
      <c r="CJP342" s="104"/>
      <c r="CJQ342" s="104"/>
      <c r="CJR342" s="104"/>
      <c r="CJS342" s="104"/>
      <c r="CJT342" s="104"/>
      <c r="CJU342" s="104"/>
      <c r="CJV342" s="104"/>
      <c r="CJW342" s="104"/>
      <c r="CJX342" s="104"/>
      <c r="CJY342" s="104"/>
      <c r="CJZ342" s="104"/>
      <c r="CKA342" s="104"/>
      <c r="CKB342" s="104"/>
      <c r="CKC342" s="104"/>
      <c r="CKD342" s="104"/>
      <c r="CKE342" s="104"/>
      <c r="CKF342" s="104"/>
      <c r="CKG342" s="104"/>
      <c r="CKH342" s="104"/>
      <c r="CKI342" s="104"/>
      <c r="CKJ342" s="104"/>
      <c r="CKK342" s="104"/>
      <c r="CKL342" s="104"/>
      <c r="CKM342" s="104"/>
      <c r="CKN342" s="104"/>
      <c r="CKO342" s="104"/>
      <c r="CKP342" s="104"/>
      <c r="CKQ342" s="104"/>
      <c r="CKR342" s="104"/>
      <c r="CKS342" s="104"/>
      <c r="CKT342" s="104"/>
      <c r="CKU342" s="104"/>
      <c r="CKV342" s="104"/>
      <c r="CKW342" s="104"/>
      <c r="CKX342" s="104"/>
      <c r="CKY342" s="104"/>
      <c r="CKZ342" s="104"/>
      <c r="CLA342" s="104"/>
      <c r="CLB342" s="104"/>
      <c r="CLC342" s="104"/>
      <c r="CLD342" s="104"/>
      <c r="CLE342" s="104"/>
      <c r="CLF342" s="104"/>
      <c r="CLG342" s="104"/>
      <c r="CLH342" s="104"/>
      <c r="CLI342" s="104"/>
      <c r="CLJ342" s="104"/>
      <c r="CLK342" s="104"/>
      <c r="CLL342" s="104"/>
      <c r="CLM342" s="104"/>
      <c r="CLN342" s="104"/>
      <c r="CLO342" s="104"/>
      <c r="CLP342" s="104"/>
      <c r="CLQ342" s="104"/>
      <c r="CLR342" s="104"/>
      <c r="CLS342" s="104"/>
      <c r="CLT342" s="104"/>
      <c r="CLU342" s="104"/>
      <c r="CLV342" s="104"/>
      <c r="CLW342" s="104"/>
      <c r="CLX342" s="104"/>
      <c r="CLY342" s="104"/>
      <c r="CLZ342" s="104"/>
      <c r="CMA342" s="104"/>
      <c r="CMB342" s="104"/>
      <c r="CMC342" s="104"/>
      <c r="CMD342" s="104"/>
      <c r="CME342" s="104"/>
      <c r="CMF342" s="104"/>
      <c r="CMG342" s="104"/>
      <c r="CMH342" s="104"/>
      <c r="CMI342" s="104"/>
      <c r="CMJ342" s="104"/>
      <c r="CMK342" s="104"/>
      <c r="CML342" s="104"/>
      <c r="CMM342" s="104"/>
      <c r="CMN342" s="104"/>
      <c r="CMO342" s="104"/>
      <c r="CMP342" s="104"/>
      <c r="CMQ342" s="104"/>
      <c r="CMR342" s="104"/>
      <c r="CMS342" s="104"/>
      <c r="CMT342" s="104"/>
      <c r="CMU342" s="104"/>
      <c r="CMV342" s="104"/>
      <c r="CMW342" s="104"/>
      <c r="CMX342" s="104"/>
      <c r="CMY342" s="104"/>
      <c r="CMZ342" s="104"/>
      <c r="CNA342" s="104"/>
      <c r="CNB342" s="104"/>
      <c r="CNC342" s="104"/>
      <c r="CND342" s="104"/>
      <c r="CNE342" s="104"/>
      <c r="CNF342" s="104"/>
      <c r="CNG342" s="104"/>
      <c r="CNH342" s="104"/>
      <c r="CNI342" s="104"/>
      <c r="CNJ342" s="104"/>
      <c r="CNK342" s="104"/>
      <c r="CNL342" s="104"/>
      <c r="CNM342" s="104"/>
      <c r="CNN342" s="104"/>
      <c r="CNO342" s="104"/>
      <c r="CNP342" s="104"/>
      <c r="CNQ342" s="104"/>
      <c r="CNR342" s="104"/>
      <c r="CNS342" s="104"/>
      <c r="CNT342" s="104"/>
      <c r="CNU342" s="104"/>
      <c r="CNV342" s="104"/>
      <c r="CNW342" s="104"/>
      <c r="CNX342" s="104"/>
      <c r="CNY342" s="104"/>
      <c r="CNZ342" s="104"/>
      <c r="COA342" s="104"/>
      <c r="COB342" s="104"/>
      <c r="COC342" s="104"/>
      <c r="COD342" s="104"/>
      <c r="COE342" s="104"/>
      <c r="COF342" s="104"/>
      <c r="COG342" s="104"/>
      <c r="COH342" s="104"/>
      <c r="COI342" s="104"/>
      <c r="COJ342" s="104"/>
      <c r="COK342" s="104"/>
      <c r="COL342" s="104"/>
      <c r="COM342" s="104"/>
      <c r="CON342" s="104"/>
      <c r="COO342" s="104"/>
      <c r="COP342" s="104"/>
      <c r="COQ342" s="104"/>
      <c r="COR342" s="104"/>
      <c r="COS342" s="104"/>
      <c r="COT342" s="104"/>
      <c r="COU342" s="104"/>
      <c r="COV342" s="104"/>
      <c r="COW342" s="104"/>
      <c r="COX342" s="104"/>
      <c r="COY342" s="104"/>
      <c r="COZ342" s="104"/>
      <c r="CPA342" s="104"/>
      <c r="CPB342" s="104"/>
      <c r="CPC342" s="104"/>
      <c r="CPD342" s="104"/>
      <c r="CPE342" s="104"/>
      <c r="CPF342" s="104"/>
      <c r="CPG342" s="104"/>
      <c r="CPH342" s="104"/>
      <c r="CPI342" s="104"/>
      <c r="CPJ342" s="104"/>
      <c r="CPK342" s="104"/>
      <c r="CPL342" s="104"/>
      <c r="CPM342" s="104"/>
      <c r="CPN342" s="104"/>
      <c r="CPO342" s="104"/>
      <c r="CPP342" s="104"/>
      <c r="CPQ342" s="104"/>
      <c r="CPR342" s="104"/>
      <c r="CPS342" s="104"/>
      <c r="CPT342" s="104"/>
      <c r="CPU342" s="104"/>
      <c r="CPV342" s="104"/>
      <c r="CPW342" s="104"/>
      <c r="CPX342" s="104"/>
      <c r="CPY342" s="104"/>
      <c r="CPZ342" s="104"/>
      <c r="CQA342" s="104"/>
      <c r="CQB342" s="104"/>
      <c r="CQC342" s="104"/>
      <c r="CQD342" s="104"/>
      <c r="CQE342" s="104"/>
      <c r="CQF342" s="104"/>
      <c r="CQG342" s="104"/>
      <c r="CQH342" s="104"/>
      <c r="CQI342" s="104"/>
      <c r="CQJ342" s="104"/>
      <c r="CQK342" s="104"/>
      <c r="CQL342" s="104"/>
      <c r="CQM342" s="104"/>
      <c r="CQN342" s="104"/>
      <c r="CQO342" s="104"/>
      <c r="CQP342" s="104"/>
      <c r="CQQ342" s="104"/>
      <c r="CQR342" s="104"/>
      <c r="CQS342" s="104"/>
      <c r="CQT342" s="104"/>
      <c r="CQU342" s="104"/>
      <c r="CQV342" s="104"/>
      <c r="CQW342" s="104"/>
      <c r="CQX342" s="104"/>
      <c r="CQY342" s="104"/>
      <c r="CQZ342" s="104"/>
      <c r="CRA342" s="104"/>
      <c r="CRB342" s="104"/>
      <c r="CRC342" s="104"/>
      <c r="CRD342" s="104"/>
      <c r="CRE342" s="104"/>
      <c r="CRF342" s="104"/>
      <c r="CRG342" s="104"/>
      <c r="CRH342" s="104"/>
      <c r="CRI342" s="104"/>
      <c r="CRJ342" s="104"/>
      <c r="CRK342" s="104"/>
      <c r="CRL342" s="104"/>
      <c r="CRM342" s="104"/>
      <c r="CRN342" s="104"/>
      <c r="CRO342" s="104"/>
      <c r="CRP342" s="104"/>
      <c r="CRQ342" s="104"/>
      <c r="CRR342" s="104"/>
      <c r="CRS342" s="104"/>
      <c r="CRT342" s="104"/>
      <c r="CRU342" s="104"/>
      <c r="CRV342" s="104"/>
      <c r="CRW342" s="104"/>
      <c r="CRX342" s="104"/>
      <c r="CRY342" s="104"/>
      <c r="CRZ342" s="104"/>
      <c r="CSA342" s="104"/>
      <c r="CSB342" s="104"/>
      <c r="CSC342" s="104"/>
      <c r="CSD342" s="104"/>
      <c r="CSE342" s="104"/>
      <c r="CSF342" s="104"/>
      <c r="CSG342" s="104"/>
      <c r="CSH342" s="104"/>
      <c r="CSI342" s="104"/>
      <c r="CSJ342" s="104"/>
      <c r="CSK342" s="104"/>
      <c r="CSL342" s="104"/>
      <c r="CSM342" s="104"/>
      <c r="CSN342" s="104"/>
      <c r="CSO342" s="104"/>
      <c r="CSP342" s="104"/>
      <c r="CSQ342" s="104"/>
      <c r="CSR342" s="104"/>
      <c r="CSS342" s="104"/>
      <c r="CST342" s="104"/>
      <c r="CSU342" s="104"/>
      <c r="CSV342" s="104"/>
      <c r="CSW342" s="104"/>
      <c r="CSX342" s="104"/>
      <c r="CSY342" s="104"/>
      <c r="CSZ342" s="104"/>
      <c r="CTA342" s="104"/>
      <c r="CTB342" s="104"/>
      <c r="CTC342" s="104"/>
      <c r="CTD342" s="104"/>
      <c r="CTE342" s="104"/>
      <c r="CTF342" s="104"/>
      <c r="CTG342" s="104"/>
      <c r="CTH342" s="104"/>
      <c r="CTI342" s="104"/>
      <c r="CTJ342" s="104"/>
      <c r="CTK342" s="104"/>
      <c r="CTL342" s="104"/>
      <c r="CTM342" s="104"/>
      <c r="CTN342" s="104"/>
      <c r="CTO342" s="104"/>
      <c r="CTP342" s="104"/>
      <c r="CTQ342" s="104"/>
      <c r="CTR342" s="104"/>
      <c r="CTS342" s="104"/>
      <c r="CTT342" s="104"/>
      <c r="CTU342" s="104"/>
      <c r="CTV342" s="104"/>
      <c r="CTW342" s="104"/>
      <c r="CTX342" s="104"/>
      <c r="CTY342" s="104"/>
      <c r="CTZ342" s="104"/>
      <c r="CUA342" s="104"/>
    </row>
    <row r="343" s="78" customFormat="1" spans="1:2575">
      <c r="A343" s="117"/>
      <c r="B343" s="116"/>
      <c r="C343" s="116"/>
      <c r="D343" s="116"/>
      <c r="E343" s="116"/>
      <c r="F343" s="116"/>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c r="BB343" s="104"/>
      <c r="BC343" s="104"/>
      <c r="BD343" s="104"/>
      <c r="BE343" s="104"/>
      <c r="BF343" s="104"/>
      <c r="BG343" s="104"/>
      <c r="BH343" s="104"/>
      <c r="BI343" s="104"/>
      <c r="BJ343" s="104"/>
      <c r="BK343" s="104"/>
      <c r="BL343" s="104"/>
      <c r="BM343" s="104"/>
      <c r="BN343" s="104"/>
      <c r="BO343" s="104"/>
      <c r="BP343" s="104"/>
      <c r="BQ343" s="104"/>
      <c r="BR343" s="104"/>
      <c r="BS343" s="104"/>
      <c r="BT343" s="104"/>
      <c r="BU343" s="104"/>
      <c r="BV343" s="104"/>
      <c r="BW343" s="104"/>
      <c r="BX343" s="104"/>
      <c r="BY343" s="104"/>
      <c r="BZ343" s="104"/>
      <c r="CA343" s="104"/>
      <c r="CB343" s="104"/>
      <c r="CC343" s="104"/>
      <c r="CD343" s="104"/>
      <c r="CE343" s="104"/>
      <c r="CF343" s="104"/>
      <c r="CG343" s="104"/>
      <c r="CH343" s="104"/>
      <c r="CI343" s="104"/>
      <c r="CJ343" s="104"/>
      <c r="CK343" s="104"/>
      <c r="CL343" s="104"/>
      <c r="CM343" s="104"/>
      <c r="CN343" s="104"/>
      <c r="CO343" s="104"/>
      <c r="CP343" s="104"/>
      <c r="CQ343" s="104"/>
      <c r="CR343" s="104"/>
      <c r="CS343" s="104"/>
      <c r="CT343" s="104"/>
      <c r="CU343" s="104"/>
      <c r="CV343" s="104"/>
      <c r="CW343" s="104"/>
      <c r="CX343" s="104"/>
      <c r="CY343" s="104"/>
      <c r="CZ343" s="104"/>
      <c r="DA343" s="104"/>
      <c r="DB343" s="104"/>
      <c r="DC343" s="104"/>
      <c r="DD343" s="104"/>
      <c r="DE343" s="104"/>
      <c r="DF343" s="104"/>
      <c r="DG343" s="104"/>
      <c r="DH343" s="104"/>
      <c r="DI343" s="104"/>
      <c r="DJ343" s="104"/>
      <c r="DK343" s="104"/>
      <c r="DL343" s="104"/>
      <c r="DM343" s="104"/>
      <c r="DN343" s="104"/>
      <c r="DO343" s="104"/>
      <c r="DP343" s="104"/>
      <c r="DQ343" s="104"/>
      <c r="DR343" s="104"/>
      <c r="DS343" s="104"/>
      <c r="DT343" s="104"/>
      <c r="DU343" s="104"/>
      <c r="DV343" s="104"/>
      <c r="DW343" s="104"/>
      <c r="DX343" s="104"/>
      <c r="DY343" s="104"/>
      <c r="DZ343" s="104"/>
      <c r="EA343" s="104"/>
      <c r="EB343" s="104"/>
      <c r="EC343" s="104"/>
      <c r="ED343" s="104"/>
      <c r="EE343" s="104"/>
      <c r="EF343" s="104"/>
      <c r="EG343" s="104"/>
      <c r="EH343" s="104"/>
      <c r="EI343" s="104"/>
      <c r="EJ343" s="104"/>
      <c r="EK343" s="104"/>
      <c r="EL343" s="104"/>
      <c r="EM343" s="104"/>
      <c r="EN343" s="104"/>
      <c r="EO343" s="104"/>
      <c r="EP343" s="104"/>
      <c r="EQ343" s="104"/>
      <c r="ER343" s="104"/>
      <c r="ES343" s="104"/>
      <c r="ET343" s="104"/>
      <c r="EU343" s="104"/>
      <c r="EV343" s="104"/>
      <c r="EW343" s="104"/>
      <c r="EX343" s="104"/>
      <c r="EY343" s="104"/>
      <c r="EZ343" s="104"/>
      <c r="FA343" s="104"/>
      <c r="FB343" s="104"/>
      <c r="FC343" s="104"/>
      <c r="FD343" s="104"/>
      <c r="FE343" s="104"/>
      <c r="FF343" s="104"/>
      <c r="FG343" s="104"/>
      <c r="FH343" s="104"/>
      <c r="FI343" s="104"/>
      <c r="FJ343" s="104"/>
      <c r="FK343" s="104"/>
      <c r="FL343" s="104"/>
      <c r="FM343" s="104"/>
      <c r="FN343" s="104"/>
      <c r="FO343" s="104"/>
      <c r="FP343" s="104"/>
      <c r="FQ343" s="104"/>
      <c r="FR343" s="104"/>
      <c r="FS343" s="104"/>
      <c r="FT343" s="104"/>
      <c r="FU343" s="104"/>
      <c r="FV343" s="104"/>
      <c r="FW343" s="104"/>
      <c r="FX343" s="104"/>
      <c r="FY343" s="104"/>
      <c r="FZ343" s="104"/>
      <c r="GA343" s="104"/>
      <c r="GB343" s="104"/>
      <c r="GC343" s="104"/>
      <c r="GD343" s="104"/>
      <c r="GE343" s="104"/>
      <c r="GF343" s="104"/>
      <c r="GG343" s="104"/>
      <c r="GH343" s="104"/>
      <c r="GI343" s="104"/>
      <c r="GJ343" s="104"/>
      <c r="GK343" s="104"/>
      <c r="GL343" s="104"/>
      <c r="GM343" s="104"/>
      <c r="GN343" s="104"/>
      <c r="GO343" s="104"/>
      <c r="GP343" s="104"/>
      <c r="GQ343" s="104"/>
      <c r="GR343" s="104"/>
      <c r="GS343" s="104"/>
      <c r="GT343" s="104"/>
      <c r="GU343" s="104"/>
      <c r="GV343" s="104"/>
      <c r="GW343" s="104"/>
      <c r="GX343" s="104"/>
      <c r="GY343" s="104"/>
      <c r="GZ343" s="104"/>
      <c r="HA343" s="104"/>
      <c r="HB343" s="104"/>
      <c r="HC343" s="104"/>
      <c r="HD343" s="104"/>
      <c r="HE343" s="104"/>
      <c r="HF343" s="104"/>
      <c r="HG343" s="104"/>
      <c r="HH343" s="104"/>
      <c r="HI343" s="104"/>
      <c r="HJ343" s="104"/>
      <c r="HK343" s="104"/>
      <c r="HL343" s="104"/>
      <c r="HM343" s="104"/>
      <c r="HN343" s="104"/>
      <c r="HO343" s="104"/>
      <c r="HP343" s="104"/>
      <c r="HQ343" s="104"/>
      <c r="HR343" s="104"/>
      <c r="HS343" s="104"/>
      <c r="HT343" s="104"/>
      <c r="HU343" s="104"/>
      <c r="HV343" s="104"/>
      <c r="HW343" s="104"/>
      <c r="HX343" s="104"/>
      <c r="HY343" s="104"/>
      <c r="HZ343" s="104"/>
      <c r="IA343" s="104"/>
      <c r="IB343" s="104"/>
      <c r="IC343" s="104"/>
      <c r="ID343" s="104"/>
      <c r="IE343" s="104"/>
      <c r="IF343" s="104"/>
      <c r="IG343" s="104"/>
      <c r="IH343" s="104"/>
      <c r="II343" s="104"/>
      <c r="IJ343" s="104"/>
      <c r="IK343" s="104"/>
      <c r="IL343" s="104"/>
      <c r="IM343" s="104"/>
      <c r="IN343" s="104"/>
      <c r="IO343" s="104"/>
      <c r="IP343" s="104"/>
      <c r="IQ343" s="104"/>
      <c r="IR343" s="104"/>
      <c r="IS343" s="104"/>
      <c r="IT343" s="104"/>
      <c r="IU343" s="104"/>
      <c r="IV343" s="104"/>
      <c r="IW343" s="104"/>
      <c r="IX343" s="104"/>
      <c r="IY343" s="104"/>
      <c r="IZ343" s="104"/>
      <c r="JA343" s="104"/>
      <c r="JB343" s="104"/>
      <c r="JC343" s="104"/>
      <c r="JD343" s="104"/>
      <c r="JE343" s="104"/>
      <c r="JF343" s="104"/>
      <c r="JG343" s="104"/>
      <c r="JH343" s="104"/>
      <c r="JI343" s="104"/>
      <c r="JJ343" s="104"/>
      <c r="JK343" s="104"/>
      <c r="JL343" s="104"/>
      <c r="JM343" s="104"/>
      <c r="JN343" s="104"/>
      <c r="JO343" s="104"/>
      <c r="JP343" s="104"/>
      <c r="JQ343" s="104"/>
      <c r="JR343" s="104"/>
      <c r="JS343" s="104"/>
      <c r="JT343" s="104"/>
      <c r="JU343" s="104"/>
      <c r="JV343" s="104"/>
      <c r="JW343" s="104"/>
      <c r="JX343" s="104"/>
      <c r="JY343" s="104"/>
      <c r="JZ343" s="104"/>
      <c r="KA343" s="104"/>
      <c r="KB343" s="104"/>
      <c r="KC343" s="104"/>
      <c r="KD343" s="104"/>
      <c r="KE343" s="104"/>
      <c r="KF343" s="104"/>
      <c r="KG343" s="104"/>
      <c r="KH343" s="104"/>
      <c r="KI343" s="104"/>
      <c r="KJ343" s="104"/>
      <c r="KK343" s="104"/>
      <c r="KL343" s="104"/>
      <c r="KM343" s="104"/>
      <c r="KN343" s="104"/>
      <c r="KO343" s="104"/>
      <c r="KP343" s="104"/>
      <c r="KQ343" s="104"/>
      <c r="KR343" s="104"/>
      <c r="KS343" s="104"/>
      <c r="KT343" s="104"/>
      <c r="KU343" s="104"/>
      <c r="KV343" s="104"/>
      <c r="KW343" s="104"/>
      <c r="KX343" s="104"/>
      <c r="KY343" s="104"/>
      <c r="KZ343" s="104"/>
      <c r="LA343" s="104"/>
      <c r="LB343" s="104"/>
      <c r="LC343" s="104"/>
      <c r="LD343" s="104"/>
      <c r="LE343" s="104"/>
      <c r="LF343" s="104"/>
      <c r="LG343" s="104"/>
      <c r="LH343" s="104"/>
      <c r="LI343" s="104"/>
      <c r="LJ343" s="104"/>
      <c r="LK343" s="104"/>
      <c r="LL343" s="104"/>
      <c r="LM343" s="104"/>
      <c r="LN343" s="104"/>
      <c r="LO343" s="104"/>
      <c r="LP343" s="104"/>
      <c r="LQ343" s="104"/>
      <c r="LR343" s="104"/>
      <c r="LS343" s="104"/>
      <c r="LT343" s="104"/>
      <c r="LU343" s="104"/>
      <c r="LV343" s="104"/>
      <c r="LW343" s="104"/>
      <c r="LX343" s="104"/>
      <c r="LY343" s="104"/>
      <c r="LZ343" s="104"/>
      <c r="MA343" s="104"/>
      <c r="MB343" s="104"/>
      <c r="MC343" s="104"/>
      <c r="MD343" s="104"/>
      <c r="ME343" s="104"/>
      <c r="MF343" s="104"/>
      <c r="MG343" s="104"/>
      <c r="MH343" s="104"/>
      <c r="MI343" s="104"/>
      <c r="MJ343" s="104"/>
      <c r="MK343" s="104"/>
      <c r="ML343" s="104"/>
      <c r="MM343" s="104"/>
      <c r="MN343" s="104"/>
      <c r="MO343" s="104"/>
      <c r="MP343" s="104"/>
      <c r="MQ343" s="104"/>
      <c r="MR343" s="104"/>
      <c r="MS343" s="104"/>
      <c r="MT343" s="104"/>
      <c r="MU343" s="104"/>
      <c r="MV343" s="104"/>
      <c r="MW343" s="104"/>
      <c r="MX343" s="104"/>
      <c r="MY343" s="104"/>
      <c r="MZ343" s="104"/>
      <c r="NA343" s="104"/>
      <c r="NB343" s="104"/>
      <c r="NC343" s="104"/>
      <c r="ND343" s="104"/>
      <c r="NE343" s="104"/>
      <c r="NF343" s="104"/>
      <c r="NG343" s="104"/>
      <c r="NH343" s="104"/>
      <c r="NI343" s="104"/>
      <c r="NJ343" s="104"/>
      <c r="NK343" s="104"/>
      <c r="NL343" s="104"/>
      <c r="NM343" s="104"/>
      <c r="NN343" s="104"/>
      <c r="NO343" s="104"/>
      <c r="NP343" s="104"/>
      <c r="NQ343" s="104"/>
      <c r="NR343" s="104"/>
      <c r="NS343" s="104"/>
      <c r="NT343" s="104"/>
      <c r="NU343" s="104"/>
      <c r="NV343" s="104"/>
      <c r="NW343" s="104"/>
      <c r="NX343" s="104"/>
      <c r="NY343" s="104"/>
      <c r="NZ343" s="104"/>
      <c r="OA343" s="104"/>
      <c r="OB343" s="104"/>
      <c r="OC343" s="104"/>
      <c r="OD343" s="104"/>
      <c r="OE343" s="104"/>
      <c r="OF343" s="104"/>
      <c r="OG343" s="104"/>
      <c r="OH343" s="104"/>
      <c r="OI343" s="104"/>
      <c r="OJ343" s="104"/>
      <c r="OK343" s="104"/>
      <c r="OL343" s="104"/>
      <c r="OM343" s="104"/>
      <c r="ON343" s="104"/>
      <c r="OO343" s="104"/>
      <c r="OP343" s="104"/>
      <c r="OQ343" s="104"/>
      <c r="OR343" s="104"/>
      <c r="OS343" s="104"/>
      <c r="OT343" s="104"/>
      <c r="OU343" s="104"/>
      <c r="OV343" s="104"/>
      <c r="OW343" s="104"/>
      <c r="OX343" s="104"/>
      <c r="OY343" s="104"/>
      <c r="OZ343" s="104"/>
      <c r="PA343" s="104"/>
      <c r="PB343" s="104"/>
      <c r="PC343" s="104"/>
      <c r="PD343" s="104"/>
      <c r="PE343" s="104"/>
      <c r="PF343" s="104"/>
      <c r="PG343" s="104"/>
      <c r="PH343" s="104"/>
      <c r="PI343" s="104"/>
      <c r="PJ343" s="104"/>
      <c r="PK343" s="104"/>
      <c r="PL343" s="104"/>
      <c r="PM343" s="104"/>
      <c r="PN343" s="104"/>
      <c r="PO343" s="104"/>
      <c r="PP343" s="104"/>
      <c r="PQ343" s="104"/>
      <c r="PR343" s="104"/>
      <c r="PS343" s="104"/>
      <c r="PT343" s="104"/>
      <c r="PU343" s="104"/>
      <c r="PV343" s="104"/>
      <c r="PW343" s="104"/>
      <c r="PX343" s="104"/>
      <c r="PY343" s="104"/>
      <c r="PZ343" s="104"/>
      <c r="QA343" s="104"/>
      <c r="QB343" s="104"/>
      <c r="QC343" s="104"/>
      <c r="QD343" s="104"/>
      <c r="QE343" s="104"/>
      <c r="QF343" s="104"/>
      <c r="QG343" s="104"/>
      <c r="QH343" s="104"/>
      <c r="QI343" s="104"/>
      <c r="QJ343" s="104"/>
      <c r="QK343" s="104"/>
      <c r="QL343" s="104"/>
      <c r="QM343" s="104"/>
      <c r="QN343" s="104"/>
      <c r="QO343" s="104"/>
      <c r="QP343" s="104"/>
      <c r="QQ343" s="104"/>
      <c r="QR343" s="104"/>
      <c r="QS343" s="104"/>
      <c r="QT343" s="104"/>
      <c r="QU343" s="104"/>
      <c r="QV343" s="104"/>
      <c r="QW343" s="104"/>
      <c r="QX343" s="104"/>
      <c r="QY343" s="104"/>
      <c r="QZ343" s="104"/>
      <c r="RA343" s="104"/>
      <c r="RB343" s="104"/>
      <c r="RC343" s="104"/>
      <c r="RD343" s="104"/>
      <c r="RE343" s="104"/>
      <c r="RF343" s="104"/>
      <c r="RG343" s="104"/>
      <c r="RH343" s="104"/>
      <c r="RI343" s="104"/>
      <c r="RJ343" s="104"/>
      <c r="RK343" s="104"/>
      <c r="RL343" s="104"/>
      <c r="RM343" s="104"/>
      <c r="RN343" s="104"/>
      <c r="RO343" s="104"/>
      <c r="RP343" s="104"/>
      <c r="RQ343" s="104"/>
      <c r="RR343" s="104"/>
      <c r="RS343" s="104"/>
      <c r="RT343" s="104"/>
      <c r="RU343" s="104"/>
      <c r="RV343" s="104"/>
      <c r="RW343" s="104"/>
      <c r="RX343" s="104"/>
      <c r="RY343" s="104"/>
      <c r="RZ343" s="104"/>
      <c r="SA343" s="104"/>
      <c r="SB343" s="104"/>
      <c r="SC343" s="104"/>
      <c r="SD343" s="104"/>
      <c r="SE343" s="104"/>
      <c r="SF343" s="104"/>
      <c r="SG343" s="104"/>
      <c r="SH343" s="104"/>
      <c r="SI343" s="104"/>
      <c r="SJ343" s="104"/>
      <c r="SK343" s="104"/>
      <c r="SL343" s="104"/>
      <c r="SM343" s="104"/>
      <c r="SN343" s="104"/>
      <c r="SO343" s="104"/>
      <c r="SP343" s="104"/>
      <c r="SQ343" s="104"/>
      <c r="SR343" s="104"/>
      <c r="SS343" s="104"/>
      <c r="ST343" s="104"/>
      <c r="SU343" s="104"/>
      <c r="SV343" s="104"/>
      <c r="SW343" s="104"/>
      <c r="SX343" s="104"/>
      <c r="SY343" s="104"/>
      <c r="SZ343" s="104"/>
      <c r="TA343" s="104"/>
      <c r="TB343" s="104"/>
      <c r="TC343" s="104"/>
      <c r="TD343" s="104"/>
      <c r="TE343" s="104"/>
      <c r="TF343" s="104"/>
      <c r="TG343" s="104"/>
      <c r="TH343" s="104"/>
      <c r="TI343" s="104"/>
      <c r="TJ343" s="104"/>
      <c r="TK343" s="104"/>
      <c r="TL343" s="104"/>
      <c r="TM343" s="104"/>
      <c r="TN343" s="104"/>
      <c r="TO343" s="104"/>
      <c r="TP343" s="104"/>
      <c r="TQ343" s="104"/>
      <c r="TR343" s="104"/>
      <c r="TS343" s="104"/>
      <c r="TT343" s="104"/>
      <c r="TU343" s="104"/>
      <c r="TV343" s="104"/>
      <c r="TW343" s="104"/>
      <c r="TX343" s="104"/>
      <c r="TY343" s="104"/>
      <c r="TZ343" s="104"/>
      <c r="UA343" s="104"/>
      <c r="UB343" s="104"/>
      <c r="UC343" s="104"/>
      <c r="UD343" s="104"/>
      <c r="UE343" s="104"/>
      <c r="UF343" s="104"/>
      <c r="UG343" s="104"/>
      <c r="UH343" s="104"/>
      <c r="UI343" s="104"/>
      <c r="UJ343" s="104"/>
      <c r="UK343" s="104"/>
      <c r="UL343" s="104"/>
      <c r="UM343" s="104"/>
      <c r="UN343" s="104"/>
      <c r="UO343" s="104"/>
      <c r="UP343" s="104"/>
      <c r="UQ343" s="104"/>
      <c r="UR343" s="104"/>
      <c r="US343" s="104"/>
      <c r="UT343" s="104"/>
      <c r="UU343" s="104"/>
      <c r="UV343" s="104"/>
      <c r="UW343" s="104"/>
      <c r="UX343" s="104"/>
      <c r="UY343" s="104"/>
      <c r="UZ343" s="104"/>
      <c r="VA343" s="104"/>
      <c r="VB343" s="104"/>
      <c r="VC343" s="104"/>
      <c r="VD343" s="104"/>
      <c r="VE343" s="104"/>
      <c r="VF343" s="104"/>
      <c r="VG343" s="104"/>
      <c r="VH343" s="104"/>
      <c r="VI343" s="104"/>
      <c r="VJ343" s="104"/>
      <c r="VK343" s="104"/>
      <c r="VL343" s="104"/>
      <c r="VM343" s="104"/>
      <c r="VN343" s="104"/>
      <c r="VO343" s="104"/>
      <c r="VP343" s="104"/>
      <c r="VQ343" s="104"/>
      <c r="VR343" s="104"/>
      <c r="VS343" s="104"/>
      <c r="VT343" s="104"/>
      <c r="VU343" s="104"/>
      <c r="VV343" s="104"/>
      <c r="VW343" s="104"/>
      <c r="VX343" s="104"/>
      <c r="VY343" s="104"/>
      <c r="VZ343" s="104"/>
      <c r="WA343" s="104"/>
      <c r="WB343" s="104"/>
      <c r="WC343" s="104"/>
      <c r="WD343" s="104"/>
      <c r="WE343" s="104"/>
      <c r="WF343" s="104"/>
      <c r="WG343" s="104"/>
      <c r="WH343" s="104"/>
      <c r="WI343" s="104"/>
      <c r="WJ343" s="104"/>
      <c r="WK343" s="104"/>
      <c r="WL343" s="104"/>
      <c r="WM343" s="104"/>
      <c r="WN343" s="104"/>
      <c r="WO343" s="104"/>
      <c r="WP343" s="104"/>
      <c r="WQ343" s="104"/>
      <c r="WR343" s="104"/>
      <c r="WS343" s="104"/>
      <c r="WT343" s="104"/>
      <c r="WU343" s="104"/>
      <c r="WV343" s="104"/>
      <c r="WW343" s="104"/>
      <c r="WX343" s="104"/>
      <c r="WY343" s="104"/>
      <c r="WZ343" s="104"/>
      <c r="XA343" s="104"/>
      <c r="XB343" s="104"/>
      <c r="XC343" s="104"/>
      <c r="XD343" s="104"/>
      <c r="XE343" s="104"/>
      <c r="XF343" s="104"/>
      <c r="XG343" s="104"/>
      <c r="XH343" s="104"/>
      <c r="XI343" s="104"/>
      <c r="XJ343" s="104"/>
      <c r="XK343" s="104"/>
      <c r="XL343" s="104"/>
      <c r="XM343" s="104"/>
      <c r="XN343" s="104"/>
      <c r="XO343" s="104"/>
      <c r="XP343" s="104"/>
      <c r="XQ343" s="104"/>
      <c r="XR343" s="104"/>
      <c r="XS343" s="104"/>
      <c r="XT343" s="104"/>
      <c r="XU343" s="104"/>
      <c r="XV343" s="104"/>
      <c r="XW343" s="104"/>
      <c r="XX343" s="104"/>
      <c r="XY343" s="104"/>
      <c r="XZ343" s="104"/>
      <c r="YA343" s="104"/>
      <c r="YB343" s="104"/>
      <c r="YC343" s="104"/>
      <c r="YD343" s="104"/>
      <c r="YE343" s="104"/>
      <c r="YF343" s="104"/>
      <c r="YG343" s="104"/>
      <c r="YH343" s="104"/>
      <c r="YI343" s="104"/>
      <c r="YJ343" s="104"/>
      <c r="YK343" s="104"/>
      <c r="YL343" s="104"/>
      <c r="YM343" s="104"/>
      <c r="YN343" s="104"/>
      <c r="YO343" s="104"/>
      <c r="YP343" s="104"/>
      <c r="YQ343" s="104"/>
      <c r="YR343" s="104"/>
      <c r="YS343" s="104"/>
      <c r="YT343" s="104"/>
      <c r="YU343" s="104"/>
      <c r="YV343" s="104"/>
      <c r="YW343" s="104"/>
      <c r="YX343" s="104"/>
      <c r="YY343" s="104"/>
      <c r="YZ343" s="104"/>
      <c r="ZA343" s="104"/>
      <c r="ZB343" s="104"/>
      <c r="ZC343" s="104"/>
      <c r="ZD343" s="104"/>
      <c r="ZE343" s="104"/>
      <c r="ZF343" s="104"/>
      <c r="ZG343" s="104"/>
      <c r="ZH343" s="104"/>
      <c r="ZI343" s="104"/>
      <c r="ZJ343" s="104"/>
      <c r="ZK343" s="104"/>
      <c r="ZL343" s="104"/>
      <c r="ZM343" s="104"/>
      <c r="ZN343" s="104"/>
      <c r="ZO343" s="104"/>
      <c r="ZP343" s="104"/>
      <c r="ZQ343" s="104"/>
      <c r="ZR343" s="104"/>
      <c r="ZS343" s="104"/>
      <c r="ZT343" s="104"/>
      <c r="ZU343" s="104"/>
      <c r="ZV343" s="104"/>
      <c r="ZW343" s="104"/>
      <c r="ZX343" s="104"/>
      <c r="ZY343" s="104"/>
      <c r="ZZ343" s="104"/>
      <c r="AAA343" s="104"/>
      <c r="AAB343" s="104"/>
      <c r="AAC343" s="104"/>
      <c r="AAD343" s="104"/>
      <c r="AAE343" s="104"/>
      <c r="AAF343" s="104"/>
      <c r="AAG343" s="104"/>
      <c r="AAH343" s="104"/>
      <c r="AAI343" s="104"/>
      <c r="AAJ343" s="104"/>
      <c r="AAK343" s="104"/>
      <c r="AAL343" s="104"/>
      <c r="AAM343" s="104"/>
      <c r="AAN343" s="104"/>
      <c r="AAO343" s="104"/>
      <c r="AAP343" s="104"/>
      <c r="AAQ343" s="104"/>
      <c r="AAR343" s="104"/>
      <c r="AAS343" s="104"/>
      <c r="AAT343" s="104"/>
      <c r="AAU343" s="104"/>
      <c r="AAV343" s="104"/>
      <c r="AAW343" s="104"/>
      <c r="AAX343" s="104"/>
      <c r="AAY343" s="104"/>
      <c r="AAZ343" s="104"/>
      <c r="ABA343" s="104"/>
      <c r="ABB343" s="104"/>
      <c r="ABC343" s="104"/>
      <c r="ABD343" s="104"/>
      <c r="ABE343" s="104"/>
      <c r="ABF343" s="104"/>
      <c r="ABG343" s="104"/>
      <c r="ABH343" s="104"/>
      <c r="ABI343" s="104"/>
      <c r="ABJ343" s="104"/>
      <c r="ABK343" s="104"/>
      <c r="ABL343" s="104"/>
      <c r="ABM343" s="104"/>
      <c r="ABN343" s="104"/>
      <c r="ABO343" s="104"/>
      <c r="ABP343" s="104"/>
      <c r="ABQ343" s="104"/>
      <c r="ABR343" s="104"/>
      <c r="ABS343" s="104"/>
      <c r="ABT343" s="104"/>
      <c r="ABU343" s="104"/>
      <c r="ABV343" s="104"/>
      <c r="ABW343" s="104"/>
      <c r="ABX343" s="104"/>
      <c r="ABY343" s="104"/>
      <c r="ABZ343" s="104"/>
      <c r="ACA343" s="104"/>
      <c r="ACB343" s="104"/>
      <c r="ACC343" s="104"/>
      <c r="ACD343" s="104"/>
      <c r="ACE343" s="104"/>
      <c r="ACF343" s="104"/>
      <c r="ACG343" s="104"/>
      <c r="ACH343" s="104"/>
      <c r="ACI343" s="104"/>
      <c r="ACJ343" s="104"/>
      <c r="ACK343" s="104"/>
      <c r="ACL343" s="104"/>
      <c r="ACM343" s="104"/>
      <c r="ACN343" s="104"/>
      <c r="ACO343" s="104"/>
      <c r="ACP343" s="104"/>
      <c r="ACQ343" s="104"/>
      <c r="ACR343" s="104"/>
      <c r="ACS343" s="104"/>
      <c r="ACT343" s="104"/>
      <c r="ACU343" s="104"/>
      <c r="ACV343" s="104"/>
      <c r="ACW343" s="104"/>
      <c r="ACX343" s="104"/>
      <c r="ACY343" s="104"/>
      <c r="ACZ343" s="104"/>
      <c r="ADA343" s="104"/>
      <c r="ADB343" s="104"/>
      <c r="ADC343" s="104"/>
      <c r="ADD343" s="104"/>
      <c r="ADE343" s="104"/>
      <c r="ADF343" s="104"/>
      <c r="ADG343" s="104"/>
      <c r="ADH343" s="104"/>
      <c r="ADI343" s="104"/>
      <c r="ADJ343" s="104"/>
      <c r="ADK343" s="104"/>
      <c r="ADL343" s="104"/>
      <c r="ADM343" s="104"/>
      <c r="ADN343" s="104"/>
      <c r="ADO343" s="104"/>
      <c r="ADP343" s="104"/>
      <c r="ADQ343" s="104"/>
      <c r="ADR343" s="104"/>
      <c r="ADS343" s="104"/>
      <c r="ADT343" s="104"/>
      <c r="ADU343" s="104"/>
      <c r="ADV343" s="104"/>
      <c r="ADW343" s="104"/>
      <c r="ADX343" s="104"/>
      <c r="ADY343" s="104"/>
      <c r="ADZ343" s="104"/>
      <c r="AEA343" s="104"/>
      <c r="AEB343" s="104"/>
      <c r="AEC343" s="104"/>
      <c r="AED343" s="104"/>
      <c r="AEE343" s="104"/>
      <c r="AEF343" s="104"/>
      <c r="AEG343" s="104"/>
      <c r="AEH343" s="104"/>
      <c r="AEI343" s="104"/>
      <c r="AEJ343" s="104"/>
      <c r="AEK343" s="104"/>
      <c r="AEL343" s="104"/>
      <c r="AEM343" s="104"/>
      <c r="AEN343" s="104"/>
      <c r="AEO343" s="104"/>
      <c r="AEP343" s="104"/>
      <c r="AEQ343" s="104"/>
      <c r="AER343" s="104"/>
      <c r="AES343" s="104"/>
      <c r="AET343" s="104"/>
      <c r="AEU343" s="104"/>
      <c r="AEV343" s="104"/>
      <c r="AEW343" s="104"/>
      <c r="AEX343" s="104"/>
      <c r="AEY343" s="104"/>
      <c r="AEZ343" s="104"/>
      <c r="AFA343" s="104"/>
      <c r="AFB343" s="104"/>
      <c r="AFC343" s="104"/>
      <c r="AFD343" s="104"/>
      <c r="AFE343" s="104"/>
      <c r="AFF343" s="104"/>
      <c r="AFG343" s="104"/>
      <c r="AFH343" s="104"/>
      <c r="AFI343" s="104"/>
      <c r="AFJ343" s="104"/>
      <c r="AFK343" s="104"/>
      <c r="AFL343" s="104"/>
      <c r="AFM343" s="104"/>
      <c r="AFN343" s="104"/>
      <c r="AFO343" s="104"/>
      <c r="AFP343" s="104"/>
      <c r="AFQ343" s="104"/>
      <c r="AFR343" s="104"/>
      <c r="AFS343" s="104"/>
      <c r="AFT343" s="104"/>
      <c r="AFU343" s="104"/>
      <c r="AFV343" s="104"/>
      <c r="AFW343" s="104"/>
      <c r="AFX343" s="104"/>
      <c r="AFY343" s="104"/>
      <c r="AFZ343" s="104"/>
      <c r="AGA343" s="104"/>
      <c r="AGB343" s="104"/>
      <c r="AGC343" s="104"/>
      <c r="AGD343" s="104"/>
      <c r="AGE343" s="104"/>
      <c r="AGF343" s="104"/>
      <c r="AGG343" s="104"/>
      <c r="AGH343" s="104"/>
      <c r="AGI343" s="104"/>
      <c r="AGJ343" s="104"/>
      <c r="AGK343" s="104"/>
      <c r="AGL343" s="104"/>
      <c r="AGM343" s="104"/>
      <c r="AGN343" s="104"/>
      <c r="AGO343" s="104"/>
      <c r="AGP343" s="104"/>
      <c r="AGQ343" s="104"/>
      <c r="AGR343" s="104"/>
      <c r="AGS343" s="104"/>
      <c r="AGT343" s="104"/>
      <c r="AGU343" s="104"/>
      <c r="AGV343" s="104"/>
      <c r="AGW343" s="104"/>
      <c r="AGX343" s="104"/>
      <c r="AGY343" s="104"/>
      <c r="AGZ343" s="104"/>
      <c r="AHA343" s="104"/>
      <c r="AHB343" s="104"/>
      <c r="AHC343" s="104"/>
      <c r="AHD343" s="104"/>
      <c r="AHE343" s="104"/>
      <c r="AHF343" s="104"/>
      <c r="AHG343" s="104"/>
      <c r="AHH343" s="104"/>
      <c r="AHI343" s="104"/>
      <c r="AHJ343" s="104"/>
      <c r="AHK343" s="104"/>
      <c r="AHL343" s="104"/>
      <c r="AHM343" s="104"/>
      <c r="AHN343" s="104"/>
      <c r="AHO343" s="104"/>
      <c r="AHP343" s="104"/>
      <c r="AHQ343" s="104"/>
      <c r="AHR343" s="104"/>
      <c r="AHS343" s="104"/>
      <c r="AHT343" s="104"/>
      <c r="AHU343" s="104"/>
      <c r="AHV343" s="104"/>
      <c r="AHW343" s="104"/>
      <c r="AHX343" s="104"/>
      <c r="AHY343" s="104"/>
      <c r="AHZ343" s="104"/>
      <c r="AIA343" s="104"/>
      <c r="AIB343" s="104"/>
      <c r="AIC343" s="104"/>
      <c r="AID343" s="104"/>
      <c r="AIE343" s="104"/>
      <c r="AIF343" s="104"/>
      <c r="AIG343" s="104"/>
      <c r="AIH343" s="104"/>
      <c r="AII343" s="104"/>
      <c r="AIJ343" s="104"/>
      <c r="AIK343" s="104"/>
      <c r="AIL343" s="104"/>
      <c r="AIM343" s="104"/>
      <c r="AIN343" s="104"/>
      <c r="AIO343" s="104"/>
      <c r="AIP343" s="104"/>
      <c r="AIQ343" s="104"/>
      <c r="AIR343" s="104"/>
      <c r="AIS343" s="104"/>
      <c r="AIT343" s="104"/>
      <c r="AIU343" s="104"/>
      <c r="AIV343" s="104"/>
      <c r="AIW343" s="104"/>
      <c r="AIX343" s="104"/>
      <c r="AIY343" s="104"/>
      <c r="AIZ343" s="104"/>
      <c r="AJA343" s="104"/>
      <c r="AJB343" s="104"/>
      <c r="AJC343" s="104"/>
      <c r="AJD343" s="104"/>
      <c r="AJE343" s="104"/>
      <c r="AJF343" s="104"/>
      <c r="AJG343" s="104"/>
      <c r="AJH343" s="104"/>
      <c r="AJI343" s="104"/>
      <c r="AJJ343" s="104"/>
      <c r="AJK343" s="104"/>
      <c r="AJL343" s="104"/>
      <c r="AJM343" s="104"/>
      <c r="AJN343" s="104"/>
      <c r="AJO343" s="104"/>
      <c r="AJP343" s="104"/>
      <c r="AJQ343" s="104"/>
      <c r="AJR343" s="104"/>
      <c r="AJS343" s="104"/>
      <c r="AJT343" s="104"/>
      <c r="AJU343" s="104"/>
      <c r="AJV343" s="104"/>
      <c r="AJW343" s="104"/>
      <c r="AJX343" s="104"/>
      <c r="AJY343" s="104"/>
      <c r="AJZ343" s="104"/>
      <c r="AKA343" s="104"/>
      <c r="AKB343" s="104"/>
      <c r="AKC343" s="104"/>
      <c r="AKD343" s="104"/>
      <c r="AKE343" s="104"/>
      <c r="AKF343" s="104"/>
      <c r="AKG343" s="104"/>
      <c r="AKH343" s="104"/>
      <c r="AKI343" s="104"/>
      <c r="AKJ343" s="104"/>
      <c r="AKK343" s="104"/>
      <c r="AKL343" s="104"/>
      <c r="AKM343" s="104"/>
      <c r="AKN343" s="104"/>
      <c r="AKO343" s="104"/>
      <c r="AKP343" s="104"/>
      <c r="AKQ343" s="104"/>
      <c r="AKR343" s="104"/>
      <c r="AKS343" s="104"/>
      <c r="AKT343" s="104"/>
      <c r="AKU343" s="104"/>
      <c r="AKV343" s="104"/>
      <c r="AKW343" s="104"/>
      <c r="AKX343" s="104"/>
      <c r="AKY343" s="104"/>
      <c r="AKZ343" s="104"/>
      <c r="ALA343" s="104"/>
      <c r="ALB343" s="104"/>
      <c r="ALC343" s="104"/>
      <c r="ALD343" s="104"/>
      <c r="ALE343" s="104"/>
      <c r="ALF343" s="104"/>
      <c r="ALG343" s="104"/>
      <c r="ALH343" s="104"/>
      <c r="ALI343" s="104"/>
      <c r="ALJ343" s="104"/>
      <c r="ALK343" s="104"/>
      <c r="ALL343" s="104"/>
      <c r="ALM343" s="104"/>
      <c r="ALN343" s="104"/>
      <c r="ALO343" s="104"/>
      <c r="ALP343" s="104"/>
      <c r="ALQ343" s="104"/>
      <c r="ALR343" s="104"/>
      <c r="ALS343" s="104"/>
      <c r="ALT343" s="104"/>
      <c r="ALU343" s="104"/>
      <c r="ALV343" s="104"/>
      <c r="ALW343" s="104"/>
      <c r="ALX343" s="104"/>
      <c r="ALY343" s="104"/>
      <c r="ALZ343" s="104"/>
      <c r="AMA343" s="104"/>
      <c r="AMB343" s="104"/>
      <c r="AMC343" s="104"/>
      <c r="AMD343" s="104"/>
      <c r="AME343" s="104"/>
      <c r="AMF343" s="104"/>
      <c r="AMG343" s="104"/>
      <c r="AMH343" s="104"/>
      <c r="AMI343" s="104"/>
      <c r="AMJ343" s="104"/>
      <c r="AMK343" s="104"/>
      <c r="AML343" s="104"/>
      <c r="AMM343" s="104"/>
      <c r="AMN343" s="104"/>
      <c r="AMO343" s="104"/>
      <c r="AMP343" s="104"/>
      <c r="AMQ343" s="104"/>
      <c r="AMR343" s="104"/>
      <c r="AMS343" s="104"/>
      <c r="AMT343" s="104"/>
      <c r="AMU343" s="104"/>
      <c r="AMV343" s="104"/>
      <c r="AMW343" s="104"/>
      <c r="AMX343" s="104"/>
      <c r="AMY343" s="104"/>
      <c r="AMZ343" s="104"/>
      <c r="ANA343" s="104"/>
      <c r="ANB343" s="104"/>
      <c r="ANC343" s="104"/>
      <c r="AND343" s="104"/>
      <c r="ANE343" s="104"/>
      <c r="ANF343" s="104"/>
      <c r="ANG343" s="104"/>
      <c r="ANH343" s="104"/>
      <c r="ANI343" s="104"/>
      <c r="ANJ343" s="104"/>
      <c r="ANK343" s="104"/>
      <c r="ANL343" s="104"/>
      <c r="ANM343" s="104"/>
      <c r="ANN343" s="104"/>
      <c r="ANO343" s="104"/>
      <c r="ANP343" s="104"/>
      <c r="ANQ343" s="104"/>
      <c r="ANR343" s="104"/>
      <c r="ANS343" s="104"/>
      <c r="ANT343" s="104"/>
      <c r="ANU343" s="104"/>
      <c r="ANV343" s="104"/>
      <c r="ANW343" s="104"/>
      <c r="ANX343" s="104"/>
      <c r="ANY343" s="104"/>
      <c r="ANZ343" s="104"/>
      <c r="AOA343" s="104"/>
      <c r="AOB343" s="104"/>
      <c r="AOC343" s="104"/>
      <c r="AOD343" s="104"/>
      <c r="AOE343" s="104"/>
      <c r="AOF343" s="104"/>
      <c r="AOG343" s="104"/>
      <c r="AOH343" s="104"/>
      <c r="AOI343" s="104"/>
      <c r="AOJ343" s="104"/>
      <c r="AOK343" s="104"/>
      <c r="AOL343" s="104"/>
      <c r="AOM343" s="104"/>
      <c r="AON343" s="104"/>
      <c r="AOO343" s="104"/>
      <c r="AOP343" s="104"/>
      <c r="AOQ343" s="104"/>
      <c r="AOR343" s="104"/>
      <c r="AOS343" s="104"/>
      <c r="AOT343" s="104"/>
      <c r="AOU343" s="104"/>
      <c r="AOV343" s="104"/>
      <c r="AOW343" s="104"/>
      <c r="AOX343" s="104"/>
      <c r="AOY343" s="104"/>
      <c r="AOZ343" s="104"/>
      <c r="APA343" s="104"/>
      <c r="APB343" s="104"/>
      <c r="APC343" s="104"/>
      <c r="APD343" s="104"/>
      <c r="APE343" s="104"/>
      <c r="APF343" s="104"/>
      <c r="APG343" s="104"/>
      <c r="APH343" s="104"/>
      <c r="API343" s="104"/>
      <c r="APJ343" s="104"/>
      <c r="APK343" s="104"/>
      <c r="APL343" s="104"/>
      <c r="APM343" s="104"/>
      <c r="APN343" s="104"/>
      <c r="APO343" s="104"/>
      <c r="APP343" s="104"/>
      <c r="APQ343" s="104"/>
      <c r="APR343" s="104"/>
      <c r="APS343" s="104"/>
      <c r="APT343" s="104"/>
      <c r="APU343" s="104"/>
      <c r="APV343" s="104"/>
      <c r="APW343" s="104"/>
      <c r="APX343" s="104"/>
      <c r="APY343" s="104"/>
      <c r="APZ343" s="104"/>
      <c r="AQA343" s="104"/>
      <c r="AQB343" s="104"/>
      <c r="AQC343" s="104"/>
      <c r="AQD343" s="104"/>
      <c r="AQE343" s="104"/>
      <c r="AQF343" s="104"/>
      <c r="AQG343" s="104"/>
      <c r="AQH343" s="104"/>
      <c r="AQI343" s="104"/>
      <c r="AQJ343" s="104"/>
      <c r="AQK343" s="104"/>
      <c r="AQL343" s="104"/>
      <c r="AQM343" s="104"/>
      <c r="AQN343" s="104"/>
      <c r="AQO343" s="104"/>
      <c r="AQP343" s="104"/>
      <c r="AQQ343" s="104"/>
      <c r="AQR343" s="104"/>
      <c r="AQS343" s="104"/>
      <c r="AQT343" s="104"/>
      <c r="AQU343" s="104"/>
      <c r="AQV343" s="104"/>
      <c r="AQW343" s="104"/>
      <c r="AQX343" s="104"/>
      <c r="AQY343" s="104"/>
      <c r="AQZ343" s="104"/>
      <c r="ARA343" s="104"/>
      <c r="ARB343" s="104"/>
      <c r="ARC343" s="104"/>
      <c r="ARD343" s="104"/>
      <c r="ARE343" s="104"/>
      <c r="ARF343" s="104"/>
      <c r="ARG343" s="104"/>
      <c r="ARH343" s="104"/>
      <c r="ARI343" s="104"/>
      <c r="ARJ343" s="104"/>
      <c r="ARK343" s="104"/>
      <c r="ARL343" s="104"/>
      <c r="ARM343" s="104"/>
      <c r="ARN343" s="104"/>
      <c r="ARO343" s="104"/>
      <c r="ARP343" s="104"/>
      <c r="ARQ343" s="104"/>
      <c r="ARR343" s="104"/>
      <c r="ARS343" s="104"/>
      <c r="ART343" s="104"/>
      <c r="ARU343" s="104"/>
      <c r="ARV343" s="104"/>
      <c r="ARW343" s="104"/>
      <c r="ARX343" s="104"/>
      <c r="ARY343" s="104"/>
      <c r="ARZ343" s="104"/>
      <c r="ASA343" s="104"/>
      <c r="ASB343" s="104"/>
      <c r="ASC343" s="104"/>
      <c r="ASD343" s="104"/>
      <c r="ASE343" s="104"/>
      <c r="ASF343" s="104"/>
      <c r="ASG343" s="104"/>
      <c r="ASH343" s="104"/>
      <c r="ASI343" s="104"/>
      <c r="ASJ343" s="104"/>
      <c r="ASK343" s="104"/>
      <c r="ASL343" s="104"/>
      <c r="ASM343" s="104"/>
      <c r="ASN343" s="104"/>
      <c r="ASO343" s="104"/>
      <c r="ASP343" s="104"/>
      <c r="ASQ343" s="104"/>
      <c r="ASR343" s="104"/>
      <c r="ASS343" s="104"/>
      <c r="AST343" s="104"/>
      <c r="ASU343" s="104"/>
      <c r="ASV343" s="104"/>
      <c r="ASW343" s="104"/>
      <c r="ASX343" s="104"/>
      <c r="ASY343" s="104"/>
      <c r="ASZ343" s="104"/>
      <c r="ATA343" s="104"/>
      <c r="ATB343" s="104"/>
      <c r="ATC343" s="104"/>
      <c r="ATD343" s="104"/>
      <c r="ATE343" s="104"/>
      <c r="ATF343" s="104"/>
      <c r="ATG343" s="104"/>
      <c r="ATH343" s="104"/>
      <c r="ATI343" s="104"/>
      <c r="ATJ343" s="104"/>
      <c r="ATK343" s="104"/>
      <c r="ATL343" s="104"/>
      <c r="ATM343" s="104"/>
      <c r="ATN343" s="104"/>
      <c r="ATO343" s="104"/>
      <c r="ATP343" s="104"/>
      <c r="ATQ343" s="104"/>
      <c r="ATR343" s="104"/>
      <c r="ATS343" s="104"/>
      <c r="ATT343" s="104"/>
      <c r="ATU343" s="104"/>
      <c r="ATV343" s="104"/>
      <c r="ATW343" s="104"/>
      <c r="ATX343" s="104"/>
      <c r="ATY343" s="104"/>
      <c r="ATZ343" s="104"/>
      <c r="AUA343" s="104"/>
      <c r="AUB343" s="104"/>
      <c r="AUC343" s="104"/>
      <c r="AUD343" s="104"/>
      <c r="AUE343" s="104"/>
      <c r="AUF343" s="104"/>
      <c r="AUG343" s="104"/>
      <c r="AUH343" s="104"/>
      <c r="AUI343" s="104"/>
      <c r="AUJ343" s="104"/>
      <c r="AUK343" s="104"/>
      <c r="AUL343" s="104"/>
      <c r="AUM343" s="104"/>
      <c r="AUN343" s="104"/>
      <c r="AUO343" s="104"/>
      <c r="AUP343" s="104"/>
      <c r="AUQ343" s="104"/>
      <c r="AUR343" s="104"/>
      <c r="AUS343" s="104"/>
      <c r="AUT343" s="104"/>
      <c r="AUU343" s="104"/>
      <c r="AUV343" s="104"/>
      <c r="AUW343" s="104"/>
      <c r="AUX343" s="104"/>
      <c r="AUY343" s="104"/>
      <c r="AUZ343" s="104"/>
      <c r="AVA343" s="104"/>
      <c r="AVB343" s="104"/>
      <c r="AVC343" s="104"/>
      <c r="AVD343" s="104"/>
      <c r="AVE343" s="104"/>
      <c r="AVF343" s="104"/>
      <c r="AVG343" s="104"/>
      <c r="AVH343" s="104"/>
      <c r="AVI343" s="104"/>
      <c r="AVJ343" s="104"/>
      <c r="AVK343" s="104"/>
      <c r="AVL343" s="104"/>
      <c r="AVM343" s="104"/>
      <c r="AVN343" s="104"/>
      <c r="AVO343" s="104"/>
      <c r="AVP343" s="104"/>
      <c r="AVQ343" s="104"/>
      <c r="AVR343" s="104"/>
      <c r="AVS343" s="104"/>
      <c r="AVT343" s="104"/>
      <c r="AVU343" s="104"/>
      <c r="AVV343" s="104"/>
      <c r="AVW343" s="104"/>
      <c r="AVX343" s="104"/>
      <c r="AVY343" s="104"/>
      <c r="AVZ343" s="104"/>
      <c r="AWA343" s="104"/>
      <c r="AWB343" s="104"/>
      <c r="AWC343" s="104"/>
      <c r="AWD343" s="104"/>
      <c r="AWE343" s="104"/>
      <c r="AWF343" s="104"/>
      <c r="AWG343" s="104"/>
      <c r="AWH343" s="104"/>
      <c r="AWI343" s="104"/>
      <c r="AWJ343" s="104"/>
      <c r="AWK343" s="104"/>
      <c r="AWL343" s="104"/>
      <c r="AWM343" s="104"/>
      <c r="AWN343" s="104"/>
      <c r="AWO343" s="104"/>
      <c r="AWP343" s="104"/>
      <c r="AWQ343" s="104"/>
      <c r="AWR343" s="104"/>
      <c r="AWS343" s="104"/>
      <c r="AWT343" s="104"/>
      <c r="AWU343" s="104"/>
      <c r="AWV343" s="104"/>
      <c r="AWW343" s="104"/>
      <c r="AWX343" s="104"/>
      <c r="AWY343" s="104"/>
      <c r="AWZ343" s="104"/>
      <c r="AXA343" s="104"/>
      <c r="AXB343" s="104"/>
      <c r="AXC343" s="104"/>
      <c r="AXD343" s="104"/>
      <c r="AXE343" s="104"/>
      <c r="AXF343" s="104"/>
      <c r="AXG343" s="104"/>
      <c r="AXH343" s="104"/>
      <c r="AXI343" s="104"/>
      <c r="AXJ343" s="104"/>
      <c r="AXK343" s="104"/>
      <c r="AXL343" s="104"/>
      <c r="AXM343" s="104"/>
      <c r="AXN343" s="104"/>
      <c r="AXO343" s="104"/>
      <c r="AXP343" s="104"/>
      <c r="AXQ343" s="104"/>
      <c r="AXR343" s="104"/>
      <c r="AXS343" s="104"/>
      <c r="AXT343" s="104"/>
      <c r="AXU343" s="104"/>
      <c r="AXV343" s="104"/>
      <c r="AXW343" s="104"/>
      <c r="AXX343" s="104"/>
      <c r="AXY343" s="104"/>
      <c r="AXZ343" s="104"/>
      <c r="AYA343" s="104"/>
      <c r="AYB343" s="104"/>
      <c r="AYC343" s="104"/>
      <c r="AYD343" s="104"/>
      <c r="AYE343" s="104"/>
      <c r="AYF343" s="104"/>
      <c r="AYG343" s="104"/>
      <c r="AYH343" s="104"/>
      <c r="AYI343" s="104"/>
      <c r="AYJ343" s="104"/>
      <c r="AYK343" s="104"/>
      <c r="AYL343" s="104"/>
      <c r="AYM343" s="104"/>
      <c r="AYN343" s="104"/>
      <c r="AYO343" s="104"/>
      <c r="AYP343" s="104"/>
      <c r="AYQ343" s="104"/>
      <c r="AYR343" s="104"/>
      <c r="AYS343" s="104"/>
      <c r="AYT343" s="104"/>
      <c r="AYU343" s="104"/>
      <c r="AYV343" s="104"/>
      <c r="AYW343" s="104"/>
      <c r="AYX343" s="104"/>
      <c r="AYY343" s="104"/>
      <c r="AYZ343" s="104"/>
      <c r="AZA343" s="104"/>
      <c r="AZB343" s="104"/>
      <c r="AZC343" s="104"/>
      <c r="AZD343" s="104"/>
      <c r="AZE343" s="104"/>
      <c r="AZF343" s="104"/>
      <c r="AZG343" s="104"/>
      <c r="AZH343" s="104"/>
      <c r="AZI343" s="104"/>
      <c r="AZJ343" s="104"/>
      <c r="AZK343" s="104"/>
      <c r="AZL343" s="104"/>
      <c r="AZM343" s="104"/>
      <c r="AZN343" s="104"/>
      <c r="AZO343" s="104"/>
      <c r="AZP343" s="104"/>
      <c r="AZQ343" s="104"/>
      <c r="AZR343" s="104"/>
      <c r="AZS343" s="104"/>
      <c r="AZT343" s="104"/>
      <c r="AZU343" s="104"/>
      <c r="AZV343" s="104"/>
      <c r="AZW343" s="104"/>
      <c r="AZX343" s="104"/>
      <c r="AZY343" s="104"/>
      <c r="AZZ343" s="104"/>
      <c r="BAA343" s="104"/>
      <c r="BAB343" s="104"/>
      <c r="BAC343" s="104"/>
      <c r="BAD343" s="104"/>
      <c r="BAE343" s="104"/>
      <c r="BAF343" s="104"/>
      <c r="BAG343" s="104"/>
      <c r="BAH343" s="104"/>
      <c r="BAI343" s="104"/>
      <c r="BAJ343" s="104"/>
      <c r="BAK343" s="104"/>
      <c r="BAL343" s="104"/>
      <c r="BAM343" s="104"/>
      <c r="BAN343" s="104"/>
      <c r="BAO343" s="104"/>
      <c r="BAP343" s="104"/>
      <c r="BAQ343" s="104"/>
      <c r="BAR343" s="104"/>
      <c r="BAS343" s="104"/>
      <c r="BAT343" s="104"/>
      <c r="BAU343" s="104"/>
      <c r="BAV343" s="104"/>
      <c r="BAW343" s="104"/>
      <c r="BAX343" s="104"/>
      <c r="BAY343" s="104"/>
      <c r="BAZ343" s="104"/>
      <c r="BBA343" s="104"/>
      <c r="BBB343" s="104"/>
      <c r="BBC343" s="104"/>
      <c r="BBD343" s="104"/>
      <c r="BBE343" s="104"/>
      <c r="BBF343" s="104"/>
      <c r="BBG343" s="104"/>
      <c r="BBH343" s="104"/>
      <c r="BBI343" s="104"/>
      <c r="BBJ343" s="104"/>
      <c r="BBK343" s="104"/>
      <c r="BBL343" s="104"/>
      <c r="BBM343" s="104"/>
      <c r="BBN343" s="104"/>
      <c r="BBO343" s="104"/>
      <c r="BBP343" s="104"/>
      <c r="BBQ343" s="104"/>
      <c r="BBR343" s="104"/>
      <c r="BBS343" s="104"/>
      <c r="BBT343" s="104"/>
      <c r="BBU343" s="104"/>
      <c r="BBV343" s="104"/>
      <c r="BBW343" s="104"/>
      <c r="BBX343" s="104"/>
      <c r="BBY343" s="104"/>
      <c r="BBZ343" s="104"/>
      <c r="BCA343" s="104"/>
      <c r="BCB343" s="104"/>
      <c r="BCC343" s="104"/>
      <c r="BCD343" s="104"/>
      <c r="BCE343" s="104"/>
      <c r="BCF343" s="104"/>
      <c r="BCG343" s="104"/>
      <c r="BCH343" s="104"/>
      <c r="BCI343" s="104"/>
      <c r="BCJ343" s="104"/>
      <c r="BCK343" s="104"/>
      <c r="BCL343" s="104"/>
      <c r="BCM343" s="104"/>
      <c r="BCN343" s="104"/>
      <c r="BCO343" s="104"/>
      <c r="BCP343" s="104"/>
      <c r="BCQ343" s="104"/>
      <c r="BCR343" s="104"/>
      <c r="BCS343" s="104"/>
      <c r="BCT343" s="104"/>
      <c r="BCU343" s="104"/>
      <c r="BCV343" s="104"/>
      <c r="BCW343" s="104"/>
      <c r="BCX343" s="104"/>
      <c r="BCY343" s="104"/>
      <c r="BCZ343" s="104"/>
      <c r="BDA343" s="104"/>
      <c r="BDB343" s="104"/>
      <c r="BDC343" s="104"/>
      <c r="BDD343" s="104"/>
      <c r="BDE343" s="104"/>
      <c r="BDF343" s="104"/>
      <c r="BDG343" s="104"/>
      <c r="BDH343" s="104"/>
      <c r="BDI343" s="104"/>
      <c r="BDJ343" s="104"/>
      <c r="BDK343" s="104"/>
      <c r="BDL343" s="104"/>
      <c r="BDM343" s="104"/>
      <c r="BDN343" s="104"/>
      <c r="BDO343" s="104"/>
      <c r="BDP343" s="104"/>
      <c r="BDQ343" s="104"/>
      <c r="BDR343" s="104"/>
      <c r="BDS343" s="104"/>
      <c r="BDT343" s="104"/>
      <c r="BDU343" s="104"/>
      <c r="BDV343" s="104"/>
      <c r="BDW343" s="104"/>
      <c r="BDX343" s="104"/>
      <c r="BDY343" s="104"/>
      <c r="BDZ343" s="104"/>
      <c r="BEA343" s="104"/>
      <c r="BEB343" s="104"/>
      <c r="BEC343" s="104"/>
      <c r="BED343" s="104"/>
      <c r="BEE343" s="104"/>
      <c r="BEF343" s="104"/>
      <c r="BEG343" s="104"/>
      <c r="BEH343" s="104"/>
      <c r="BEI343" s="104"/>
      <c r="BEJ343" s="104"/>
      <c r="BEK343" s="104"/>
      <c r="BEL343" s="104"/>
      <c r="BEM343" s="104"/>
      <c r="BEN343" s="104"/>
      <c r="BEO343" s="104"/>
      <c r="BEP343" s="104"/>
      <c r="BEQ343" s="104"/>
      <c r="BER343" s="104"/>
      <c r="BES343" s="104"/>
      <c r="BET343" s="104"/>
      <c r="BEU343" s="104"/>
      <c r="BEV343" s="104"/>
      <c r="BEW343" s="104"/>
      <c r="BEX343" s="104"/>
      <c r="BEY343" s="104"/>
      <c r="BEZ343" s="104"/>
      <c r="BFA343" s="104"/>
      <c r="BFB343" s="104"/>
      <c r="BFC343" s="104"/>
      <c r="BFD343" s="104"/>
      <c r="BFE343" s="104"/>
      <c r="BFF343" s="104"/>
      <c r="BFG343" s="104"/>
      <c r="BFH343" s="104"/>
      <c r="BFI343" s="104"/>
      <c r="BFJ343" s="104"/>
      <c r="BFK343" s="104"/>
      <c r="BFL343" s="104"/>
      <c r="BFM343" s="104"/>
      <c r="BFN343" s="104"/>
      <c r="BFO343" s="104"/>
      <c r="BFP343" s="104"/>
      <c r="BFQ343" s="104"/>
      <c r="BFR343" s="104"/>
      <c r="BFS343" s="104"/>
      <c r="BFT343" s="104"/>
      <c r="BFU343" s="104"/>
      <c r="BFV343" s="104"/>
      <c r="BFW343" s="104"/>
      <c r="BFX343" s="104"/>
      <c r="BFY343" s="104"/>
      <c r="BFZ343" s="104"/>
      <c r="BGA343" s="104"/>
      <c r="BGB343" s="104"/>
      <c r="BGC343" s="104"/>
      <c r="BGD343" s="104"/>
      <c r="BGE343" s="104"/>
      <c r="BGF343" s="104"/>
      <c r="BGG343" s="104"/>
      <c r="BGH343" s="104"/>
      <c r="BGI343" s="104"/>
      <c r="BGJ343" s="104"/>
      <c r="BGK343" s="104"/>
      <c r="BGL343" s="104"/>
      <c r="BGM343" s="104"/>
      <c r="BGN343" s="104"/>
      <c r="BGO343" s="104"/>
      <c r="BGP343" s="104"/>
      <c r="BGQ343" s="104"/>
      <c r="BGR343" s="104"/>
      <c r="BGS343" s="104"/>
      <c r="BGT343" s="104"/>
      <c r="BGU343" s="104"/>
      <c r="BGV343" s="104"/>
      <c r="BGW343" s="104"/>
      <c r="BGX343" s="104"/>
      <c r="BGY343" s="104"/>
      <c r="BGZ343" s="104"/>
      <c r="BHA343" s="104"/>
      <c r="BHB343" s="104"/>
      <c r="BHC343" s="104"/>
      <c r="BHD343" s="104"/>
      <c r="BHE343" s="104"/>
      <c r="BHF343" s="104"/>
      <c r="BHG343" s="104"/>
      <c r="BHH343" s="104"/>
      <c r="BHI343" s="104"/>
      <c r="BHJ343" s="104"/>
      <c r="BHK343" s="104"/>
      <c r="BHL343" s="104"/>
      <c r="BHM343" s="104"/>
      <c r="BHN343" s="104"/>
      <c r="BHO343" s="104"/>
      <c r="BHP343" s="104"/>
      <c r="BHQ343" s="104"/>
      <c r="BHR343" s="104"/>
      <c r="BHS343" s="104"/>
      <c r="BHT343" s="104"/>
      <c r="BHU343" s="104"/>
      <c r="BHV343" s="104"/>
      <c r="BHW343" s="104"/>
      <c r="BHX343" s="104"/>
      <c r="BHY343" s="104"/>
      <c r="BHZ343" s="104"/>
      <c r="BIA343" s="104"/>
      <c r="BIB343" s="104"/>
      <c r="BIC343" s="104"/>
      <c r="BID343" s="104"/>
      <c r="BIE343" s="104"/>
      <c r="BIF343" s="104"/>
      <c r="BIG343" s="104"/>
      <c r="BIH343" s="104"/>
      <c r="BII343" s="104"/>
      <c r="BIJ343" s="104"/>
      <c r="BIK343" s="104"/>
      <c r="BIL343" s="104"/>
      <c r="BIM343" s="104"/>
      <c r="BIN343" s="104"/>
      <c r="BIO343" s="104"/>
      <c r="BIP343" s="104"/>
      <c r="BIQ343" s="104"/>
      <c r="BIR343" s="104"/>
      <c r="BIS343" s="104"/>
      <c r="BIT343" s="104"/>
      <c r="BIU343" s="104"/>
      <c r="BIV343" s="104"/>
      <c r="BIW343" s="104"/>
      <c r="BIX343" s="104"/>
      <c r="BIY343" s="104"/>
      <c r="BIZ343" s="104"/>
      <c r="BJA343" s="104"/>
      <c r="BJB343" s="104"/>
      <c r="BJC343" s="104"/>
      <c r="BJD343" s="104"/>
      <c r="BJE343" s="104"/>
      <c r="BJF343" s="104"/>
      <c r="BJG343" s="104"/>
      <c r="BJH343" s="104"/>
      <c r="BJI343" s="104"/>
      <c r="BJJ343" s="104"/>
      <c r="BJK343" s="104"/>
      <c r="BJL343" s="104"/>
      <c r="BJM343" s="104"/>
      <c r="BJN343" s="104"/>
      <c r="BJO343" s="104"/>
      <c r="BJP343" s="104"/>
      <c r="BJQ343" s="104"/>
      <c r="BJR343" s="104"/>
      <c r="BJS343" s="104"/>
      <c r="BJT343" s="104"/>
      <c r="BJU343" s="104"/>
      <c r="BJV343" s="104"/>
      <c r="BJW343" s="104"/>
      <c r="BJX343" s="104"/>
      <c r="BJY343" s="104"/>
      <c r="BJZ343" s="104"/>
      <c r="BKA343" s="104"/>
      <c r="BKB343" s="104"/>
      <c r="BKC343" s="104"/>
      <c r="BKD343" s="104"/>
      <c r="BKE343" s="104"/>
      <c r="BKF343" s="104"/>
      <c r="BKG343" s="104"/>
      <c r="BKH343" s="104"/>
      <c r="BKI343" s="104"/>
      <c r="BKJ343" s="104"/>
      <c r="BKK343" s="104"/>
      <c r="BKL343" s="104"/>
      <c r="BKM343" s="104"/>
      <c r="BKN343" s="104"/>
      <c r="BKO343" s="104"/>
      <c r="BKP343" s="104"/>
      <c r="BKQ343" s="104"/>
      <c r="BKR343" s="104"/>
      <c r="BKS343" s="104"/>
      <c r="BKT343" s="104"/>
      <c r="BKU343" s="104"/>
      <c r="BKV343" s="104"/>
      <c r="BKW343" s="104"/>
      <c r="BKX343" s="104"/>
      <c r="BKY343" s="104"/>
      <c r="BKZ343" s="104"/>
      <c r="BLA343" s="104"/>
      <c r="BLB343" s="104"/>
      <c r="BLC343" s="104"/>
      <c r="BLD343" s="104"/>
      <c r="BLE343" s="104"/>
      <c r="BLF343" s="104"/>
      <c r="BLG343" s="104"/>
      <c r="BLH343" s="104"/>
      <c r="BLI343" s="104"/>
      <c r="BLJ343" s="104"/>
      <c r="BLK343" s="104"/>
      <c r="BLL343" s="104"/>
      <c r="BLM343" s="104"/>
      <c r="BLN343" s="104"/>
      <c r="BLO343" s="104"/>
      <c r="BLP343" s="104"/>
      <c r="BLQ343" s="104"/>
      <c r="BLR343" s="104"/>
      <c r="BLS343" s="104"/>
      <c r="BLT343" s="104"/>
      <c r="BLU343" s="104"/>
      <c r="BLV343" s="104"/>
      <c r="BLW343" s="104"/>
      <c r="BLX343" s="104"/>
      <c r="BLY343" s="104"/>
      <c r="BLZ343" s="104"/>
      <c r="BMA343" s="104"/>
      <c r="BMB343" s="104"/>
      <c r="BMC343" s="104"/>
      <c r="BMD343" s="104"/>
      <c r="BME343" s="104"/>
      <c r="BMF343" s="104"/>
      <c r="BMG343" s="104"/>
      <c r="BMH343" s="104"/>
      <c r="BMI343" s="104"/>
      <c r="BMJ343" s="104"/>
      <c r="BMK343" s="104"/>
      <c r="BML343" s="104"/>
      <c r="BMM343" s="104"/>
      <c r="BMN343" s="104"/>
      <c r="BMO343" s="104"/>
      <c r="BMP343" s="104"/>
      <c r="BMQ343" s="104"/>
      <c r="BMR343" s="104"/>
      <c r="BMS343" s="104"/>
      <c r="BMT343" s="104"/>
      <c r="BMU343" s="104"/>
      <c r="BMV343" s="104"/>
      <c r="BMW343" s="104"/>
      <c r="BMX343" s="104"/>
      <c r="BMY343" s="104"/>
      <c r="BMZ343" s="104"/>
      <c r="BNA343" s="104"/>
      <c r="BNB343" s="104"/>
      <c r="BNC343" s="104"/>
      <c r="BND343" s="104"/>
      <c r="BNE343" s="104"/>
      <c r="BNF343" s="104"/>
      <c r="BNG343" s="104"/>
      <c r="BNH343" s="104"/>
      <c r="BNI343" s="104"/>
      <c r="BNJ343" s="104"/>
      <c r="BNK343" s="104"/>
      <c r="BNL343" s="104"/>
      <c r="BNM343" s="104"/>
      <c r="BNN343" s="104"/>
      <c r="BNO343" s="104"/>
      <c r="BNP343" s="104"/>
      <c r="BNQ343" s="104"/>
      <c r="BNR343" s="104"/>
      <c r="BNS343" s="104"/>
      <c r="BNT343" s="104"/>
      <c r="BNU343" s="104"/>
      <c r="BNV343" s="104"/>
      <c r="BNW343" s="104"/>
      <c r="BNX343" s="104"/>
      <c r="BNY343" s="104"/>
      <c r="BNZ343" s="104"/>
      <c r="BOA343" s="104"/>
      <c r="BOB343" s="104"/>
      <c r="BOC343" s="104"/>
      <c r="BOD343" s="104"/>
      <c r="BOE343" s="104"/>
      <c r="BOF343" s="104"/>
      <c r="BOG343" s="104"/>
      <c r="BOH343" s="104"/>
      <c r="BOI343" s="104"/>
      <c r="BOJ343" s="104"/>
      <c r="BOK343" s="104"/>
      <c r="BOL343" s="104"/>
      <c r="BOM343" s="104"/>
      <c r="BON343" s="104"/>
      <c r="BOO343" s="104"/>
      <c r="BOP343" s="104"/>
      <c r="BOQ343" s="104"/>
      <c r="BOR343" s="104"/>
      <c r="BOS343" s="104"/>
      <c r="BOT343" s="104"/>
      <c r="BOU343" s="104"/>
      <c r="BOV343" s="104"/>
      <c r="BOW343" s="104"/>
      <c r="BOX343" s="104"/>
      <c r="BOY343" s="104"/>
      <c r="BOZ343" s="104"/>
      <c r="BPA343" s="104"/>
      <c r="BPB343" s="104"/>
      <c r="BPC343" s="104"/>
      <c r="BPD343" s="104"/>
      <c r="BPE343" s="104"/>
      <c r="BPF343" s="104"/>
      <c r="BPG343" s="104"/>
      <c r="BPH343" s="104"/>
      <c r="BPI343" s="104"/>
      <c r="BPJ343" s="104"/>
      <c r="BPK343" s="104"/>
      <c r="BPL343" s="104"/>
      <c r="BPM343" s="104"/>
      <c r="BPN343" s="104"/>
      <c r="BPO343" s="104"/>
      <c r="BPP343" s="104"/>
      <c r="BPQ343" s="104"/>
      <c r="BPR343" s="104"/>
      <c r="BPS343" s="104"/>
      <c r="BPT343" s="104"/>
      <c r="BPU343" s="104"/>
      <c r="BPV343" s="104"/>
      <c r="BPW343" s="104"/>
      <c r="BPX343" s="104"/>
      <c r="BPY343" s="104"/>
      <c r="BPZ343" s="104"/>
      <c r="BQA343" s="104"/>
      <c r="BQB343" s="104"/>
      <c r="BQC343" s="104"/>
      <c r="BQD343" s="104"/>
      <c r="BQE343" s="104"/>
      <c r="BQF343" s="104"/>
      <c r="BQG343" s="104"/>
      <c r="BQH343" s="104"/>
      <c r="BQI343" s="104"/>
      <c r="BQJ343" s="104"/>
      <c r="BQK343" s="104"/>
      <c r="BQL343" s="104"/>
      <c r="BQM343" s="104"/>
      <c r="BQN343" s="104"/>
      <c r="BQO343" s="104"/>
      <c r="BQP343" s="104"/>
      <c r="BQQ343" s="104"/>
      <c r="BQR343" s="104"/>
      <c r="BQS343" s="104"/>
      <c r="BQT343" s="104"/>
      <c r="BQU343" s="104"/>
      <c r="BQV343" s="104"/>
      <c r="BQW343" s="104"/>
      <c r="BQX343" s="104"/>
      <c r="BQY343" s="104"/>
      <c r="BQZ343" s="104"/>
      <c r="BRA343" s="104"/>
      <c r="BRB343" s="104"/>
      <c r="BRC343" s="104"/>
      <c r="BRD343" s="104"/>
      <c r="BRE343" s="104"/>
      <c r="BRF343" s="104"/>
      <c r="BRG343" s="104"/>
      <c r="BRH343" s="104"/>
      <c r="BRI343" s="104"/>
      <c r="BRJ343" s="104"/>
      <c r="BRK343" s="104"/>
      <c r="BRL343" s="104"/>
      <c r="BRM343" s="104"/>
      <c r="BRN343" s="104"/>
      <c r="BRO343" s="104"/>
      <c r="BRP343" s="104"/>
      <c r="BRQ343" s="104"/>
      <c r="BRR343" s="104"/>
      <c r="BRS343" s="104"/>
      <c r="BRT343" s="104"/>
      <c r="BRU343" s="104"/>
      <c r="BRV343" s="104"/>
      <c r="BRW343" s="104"/>
      <c r="BRX343" s="104"/>
      <c r="BRY343" s="104"/>
      <c r="BRZ343" s="104"/>
      <c r="BSA343" s="104"/>
      <c r="BSB343" s="104"/>
      <c r="BSC343" s="104"/>
      <c r="BSD343" s="104"/>
      <c r="BSE343" s="104"/>
      <c r="BSF343" s="104"/>
      <c r="BSG343" s="104"/>
      <c r="BSH343" s="104"/>
      <c r="BSI343" s="104"/>
      <c r="BSJ343" s="104"/>
      <c r="BSK343" s="104"/>
      <c r="BSL343" s="104"/>
      <c r="BSM343" s="104"/>
      <c r="BSN343" s="104"/>
      <c r="BSO343" s="104"/>
      <c r="BSP343" s="104"/>
      <c r="BSQ343" s="104"/>
      <c r="BSR343" s="104"/>
      <c r="BSS343" s="104"/>
      <c r="BST343" s="104"/>
      <c r="BSU343" s="104"/>
      <c r="BSV343" s="104"/>
      <c r="BSW343" s="104"/>
      <c r="BSX343" s="104"/>
      <c r="BSY343" s="104"/>
      <c r="BSZ343" s="104"/>
      <c r="BTA343" s="104"/>
      <c r="BTB343" s="104"/>
      <c r="BTC343" s="104"/>
      <c r="BTD343" s="104"/>
      <c r="BTE343" s="104"/>
      <c r="BTF343" s="104"/>
      <c r="BTG343" s="104"/>
      <c r="BTH343" s="104"/>
      <c r="BTI343" s="104"/>
      <c r="BTJ343" s="104"/>
      <c r="BTK343" s="104"/>
      <c r="BTL343" s="104"/>
      <c r="BTM343" s="104"/>
      <c r="BTN343" s="104"/>
      <c r="BTO343" s="104"/>
      <c r="BTP343" s="104"/>
      <c r="BTQ343" s="104"/>
      <c r="BTR343" s="104"/>
      <c r="BTS343" s="104"/>
      <c r="BTT343" s="104"/>
      <c r="BTU343" s="104"/>
      <c r="BTV343" s="104"/>
      <c r="BTW343" s="104"/>
      <c r="BTX343" s="104"/>
      <c r="BTY343" s="104"/>
      <c r="BTZ343" s="104"/>
      <c r="BUA343" s="104"/>
      <c r="BUB343" s="104"/>
      <c r="BUC343" s="104"/>
      <c r="BUD343" s="104"/>
      <c r="BUE343" s="104"/>
      <c r="BUF343" s="104"/>
      <c r="BUG343" s="104"/>
      <c r="BUH343" s="104"/>
      <c r="BUI343" s="104"/>
      <c r="BUJ343" s="104"/>
      <c r="BUK343" s="104"/>
      <c r="BUL343" s="104"/>
      <c r="BUM343" s="104"/>
      <c r="BUN343" s="104"/>
      <c r="BUO343" s="104"/>
      <c r="BUP343" s="104"/>
      <c r="BUQ343" s="104"/>
      <c r="BUR343" s="104"/>
      <c r="BUS343" s="104"/>
      <c r="BUT343" s="104"/>
      <c r="BUU343" s="104"/>
      <c r="BUV343" s="104"/>
      <c r="BUW343" s="104"/>
      <c r="BUX343" s="104"/>
      <c r="BUY343" s="104"/>
      <c r="BUZ343" s="104"/>
      <c r="BVA343" s="104"/>
      <c r="BVB343" s="104"/>
      <c r="BVC343" s="104"/>
      <c r="BVD343" s="104"/>
      <c r="BVE343" s="104"/>
      <c r="BVF343" s="104"/>
      <c r="BVG343" s="104"/>
      <c r="BVH343" s="104"/>
      <c r="BVI343" s="104"/>
      <c r="BVJ343" s="104"/>
      <c r="BVK343" s="104"/>
      <c r="BVL343" s="104"/>
      <c r="BVM343" s="104"/>
      <c r="BVN343" s="104"/>
      <c r="BVO343" s="104"/>
      <c r="BVP343" s="104"/>
      <c r="BVQ343" s="104"/>
      <c r="BVR343" s="104"/>
      <c r="BVS343" s="104"/>
      <c r="BVT343" s="104"/>
      <c r="BVU343" s="104"/>
      <c r="BVV343" s="104"/>
      <c r="BVW343" s="104"/>
      <c r="BVX343" s="104"/>
      <c r="BVY343" s="104"/>
      <c r="BVZ343" s="104"/>
      <c r="BWA343" s="104"/>
      <c r="BWB343" s="104"/>
      <c r="BWC343" s="104"/>
      <c r="BWD343" s="104"/>
      <c r="BWE343" s="104"/>
      <c r="BWF343" s="104"/>
      <c r="BWG343" s="104"/>
      <c r="BWH343" s="104"/>
      <c r="BWI343" s="104"/>
      <c r="BWJ343" s="104"/>
      <c r="BWK343" s="104"/>
      <c r="BWL343" s="104"/>
      <c r="BWM343" s="104"/>
      <c r="BWN343" s="104"/>
      <c r="BWO343" s="104"/>
      <c r="BWP343" s="104"/>
      <c r="BWQ343" s="104"/>
      <c r="BWR343" s="104"/>
      <c r="BWS343" s="104"/>
      <c r="BWT343" s="104"/>
      <c r="BWU343" s="104"/>
      <c r="BWV343" s="104"/>
      <c r="BWW343" s="104"/>
      <c r="BWX343" s="104"/>
      <c r="BWY343" s="104"/>
      <c r="BWZ343" s="104"/>
      <c r="BXA343" s="104"/>
      <c r="BXB343" s="104"/>
      <c r="BXC343" s="104"/>
      <c r="BXD343" s="104"/>
      <c r="BXE343" s="104"/>
      <c r="BXF343" s="104"/>
      <c r="BXG343" s="104"/>
      <c r="BXH343" s="104"/>
      <c r="BXI343" s="104"/>
      <c r="BXJ343" s="104"/>
      <c r="BXK343" s="104"/>
      <c r="BXL343" s="104"/>
      <c r="BXM343" s="104"/>
      <c r="BXN343" s="104"/>
      <c r="BXO343" s="104"/>
      <c r="BXP343" s="104"/>
      <c r="BXQ343" s="104"/>
      <c r="BXR343" s="104"/>
      <c r="BXS343" s="104"/>
      <c r="BXT343" s="104"/>
      <c r="BXU343" s="104"/>
      <c r="BXV343" s="104"/>
      <c r="BXW343" s="104"/>
      <c r="BXX343" s="104"/>
      <c r="BXY343" s="104"/>
      <c r="BXZ343" s="104"/>
      <c r="BYA343" s="104"/>
      <c r="BYB343" s="104"/>
      <c r="BYC343" s="104"/>
      <c r="BYD343" s="104"/>
      <c r="BYE343" s="104"/>
      <c r="BYF343" s="104"/>
      <c r="BYG343" s="104"/>
      <c r="BYH343" s="104"/>
      <c r="BYI343" s="104"/>
      <c r="BYJ343" s="104"/>
      <c r="BYK343" s="104"/>
      <c r="BYL343" s="104"/>
      <c r="BYM343" s="104"/>
      <c r="BYN343" s="104"/>
      <c r="BYO343" s="104"/>
      <c r="BYP343" s="104"/>
      <c r="BYQ343" s="104"/>
      <c r="BYR343" s="104"/>
      <c r="BYS343" s="104"/>
      <c r="BYT343" s="104"/>
      <c r="BYU343" s="104"/>
      <c r="BYV343" s="104"/>
      <c r="BYW343" s="104"/>
      <c r="BYX343" s="104"/>
      <c r="BYY343" s="104"/>
      <c r="BYZ343" s="104"/>
      <c r="BZA343" s="104"/>
      <c r="BZB343" s="104"/>
      <c r="BZC343" s="104"/>
      <c r="BZD343" s="104"/>
      <c r="BZE343" s="104"/>
      <c r="BZF343" s="104"/>
      <c r="BZG343" s="104"/>
      <c r="BZH343" s="104"/>
      <c r="BZI343" s="104"/>
      <c r="BZJ343" s="104"/>
      <c r="BZK343" s="104"/>
      <c r="BZL343" s="104"/>
      <c r="BZM343" s="104"/>
      <c r="BZN343" s="104"/>
      <c r="BZO343" s="104"/>
      <c r="BZP343" s="104"/>
      <c r="BZQ343" s="104"/>
      <c r="BZR343" s="104"/>
      <c r="BZS343" s="104"/>
      <c r="BZT343" s="104"/>
      <c r="BZU343" s="104"/>
      <c r="BZV343" s="104"/>
      <c r="BZW343" s="104"/>
      <c r="BZX343" s="104"/>
      <c r="BZY343" s="104"/>
      <c r="BZZ343" s="104"/>
      <c r="CAA343" s="104"/>
      <c r="CAB343" s="104"/>
      <c r="CAC343" s="104"/>
      <c r="CAD343" s="104"/>
      <c r="CAE343" s="104"/>
      <c r="CAF343" s="104"/>
      <c r="CAG343" s="104"/>
      <c r="CAH343" s="104"/>
      <c r="CAI343" s="104"/>
      <c r="CAJ343" s="104"/>
      <c r="CAK343" s="104"/>
      <c r="CAL343" s="104"/>
      <c r="CAM343" s="104"/>
      <c r="CAN343" s="104"/>
      <c r="CAO343" s="104"/>
      <c r="CAP343" s="104"/>
      <c r="CAQ343" s="104"/>
      <c r="CAR343" s="104"/>
      <c r="CAS343" s="104"/>
      <c r="CAT343" s="104"/>
      <c r="CAU343" s="104"/>
      <c r="CAV343" s="104"/>
      <c r="CAW343" s="104"/>
      <c r="CAX343" s="104"/>
      <c r="CAY343" s="104"/>
      <c r="CAZ343" s="104"/>
      <c r="CBA343" s="104"/>
      <c r="CBB343" s="104"/>
      <c r="CBC343" s="104"/>
      <c r="CBD343" s="104"/>
      <c r="CBE343" s="104"/>
      <c r="CBF343" s="104"/>
      <c r="CBG343" s="104"/>
      <c r="CBH343" s="104"/>
      <c r="CBI343" s="104"/>
      <c r="CBJ343" s="104"/>
      <c r="CBK343" s="104"/>
      <c r="CBL343" s="104"/>
      <c r="CBM343" s="104"/>
      <c r="CBN343" s="104"/>
      <c r="CBO343" s="104"/>
      <c r="CBP343" s="104"/>
      <c r="CBQ343" s="104"/>
      <c r="CBR343" s="104"/>
      <c r="CBS343" s="104"/>
      <c r="CBT343" s="104"/>
      <c r="CBU343" s="104"/>
      <c r="CBV343" s="104"/>
      <c r="CBW343" s="104"/>
      <c r="CBX343" s="104"/>
      <c r="CBY343" s="104"/>
      <c r="CBZ343" s="104"/>
      <c r="CCA343" s="104"/>
      <c r="CCB343" s="104"/>
      <c r="CCC343" s="104"/>
      <c r="CCD343" s="104"/>
      <c r="CCE343" s="104"/>
      <c r="CCF343" s="104"/>
      <c r="CCG343" s="104"/>
      <c r="CCH343" s="104"/>
      <c r="CCI343" s="104"/>
      <c r="CCJ343" s="104"/>
      <c r="CCK343" s="104"/>
      <c r="CCL343" s="104"/>
      <c r="CCM343" s="104"/>
      <c r="CCN343" s="104"/>
      <c r="CCO343" s="104"/>
      <c r="CCP343" s="104"/>
      <c r="CCQ343" s="104"/>
      <c r="CCR343" s="104"/>
      <c r="CCS343" s="104"/>
      <c r="CCT343" s="104"/>
      <c r="CCU343" s="104"/>
      <c r="CCV343" s="104"/>
      <c r="CCW343" s="104"/>
      <c r="CCX343" s="104"/>
      <c r="CCY343" s="104"/>
      <c r="CCZ343" s="104"/>
      <c r="CDA343" s="104"/>
      <c r="CDB343" s="104"/>
      <c r="CDC343" s="104"/>
      <c r="CDD343" s="104"/>
      <c r="CDE343" s="104"/>
      <c r="CDF343" s="104"/>
      <c r="CDG343" s="104"/>
      <c r="CDH343" s="104"/>
      <c r="CDI343" s="104"/>
      <c r="CDJ343" s="104"/>
      <c r="CDK343" s="104"/>
      <c r="CDL343" s="104"/>
      <c r="CDM343" s="104"/>
      <c r="CDN343" s="104"/>
      <c r="CDO343" s="104"/>
      <c r="CDP343" s="104"/>
      <c r="CDQ343" s="104"/>
      <c r="CDR343" s="104"/>
      <c r="CDS343" s="104"/>
      <c r="CDT343" s="104"/>
      <c r="CDU343" s="104"/>
      <c r="CDV343" s="104"/>
      <c r="CDW343" s="104"/>
      <c r="CDX343" s="104"/>
      <c r="CDY343" s="104"/>
      <c r="CDZ343" s="104"/>
      <c r="CEA343" s="104"/>
      <c r="CEB343" s="104"/>
      <c r="CEC343" s="104"/>
      <c r="CED343" s="104"/>
      <c r="CEE343" s="104"/>
      <c r="CEF343" s="104"/>
      <c r="CEG343" s="104"/>
      <c r="CEH343" s="104"/>
      <c r="CEI343" s="104"/>
      <c r="CEJ343" s="104"/>
      <c r="CEK343" s="104"/>
      <c r="CEL343" s="104"/>
      <c r="CEM343" s="104"/>
      <c r="CEN343" s="104"/>
      <c r="CEO343" s="104"/>
      <c r="CEP343" s="104"/>
      <c r="CEQ343" s="104"/>
      <c r="CER343" s="104"/>
      <c r="CES343" s="104"/>
      <c r="CET343" s="104"/>
      <c r="CEU343" s="104"/>
      <c r="CEV343" s="104"/>
      <c r="CEW343" s="104"/>
      <c r="CEX343" s="104"/>
      <c r="CEY343" s="104"/>
      <c r="CEZ343" s="104"/>
      <c r="CFA343" s="104"/>
      <c r="CFB343" s="104"/>
      <c r="CFC343" s="104"/>
      <c r="CFD343" s="104"/>
      <c r="CFE343" s="104"/>
      <c r="CFF343" s="104"/>
      <c r="CFG343" s="104"/>
      <c r="CFH343" s="104"/>
      <c r="CFI343" s="104"/>
      <c r="CFJ343" s="104"/>
      <c r="CFK343" s="104"/>
      <c r="CFL343" s="104"/>
      <c r="CFM343" s="104"/>
      <c r="CFN343" s="104"/>
      <c r="CFO343" s="104"/>
      <c r="CFP343" s="104"/>
      <c r="CFQ343" s="104"/>
      <c r="CFR343" s="104"/>
      <c r="CFS343" s="104"/>
      <c r="CFT343" s="104"/>
      <c r="CFU343" s="104"/>
      <c r="CFV343" s="104"/>
      <c r="CFW343" s="104"/>
      <c r="CFX343" s="104"/>
      <c r="CFY343" s="104"/>
      <c r="CFZ343" s="104"/>
      <c r="CGA343" s="104"/>
      <c r="CGB343" s="104"/>
      <c r="CGC343" s="104"/>
      <c r="CGD343" s="104"/>
      <c r="CGE343" s="104"/>
      <c r="CGF343" s="104"/>
      <c r="CGG343" s="104"/>
      <c r="CGH343" s="104"/>
      <c r="CGI343" s="104"/>
      <c r="CGJ343" s="104"/>
      <c r="CGK343" s="104"/>
      <c r="CGL343" s="104"/>
      <c r="CGM343" s="104"/>
      <c r="CGN343" s="104"/>
      <c r="CGO343" s="104"/>
      <c r="CGP343" s="104"/>
      <c r="CGQ343" s="104"/>
      <c r="CGR343" s="104"/>
      <c r="CGS343" s="104"/>
      <c r="CGT343" s="104"/>
      <c r="CGU343" s="104"/>
      <c r="CGV343" s="104"/>
      <c r="CGW343" s="104"/>
      <c r="CGX343" s="104"/>
      <c r="CGY343" s="104"/>
      <c r="CGZ343" s="104"/>
      <c r="CHA343" s="104"/>
      <c r="CHB343" s="104"/>
      <c r="CHC343" s="104"/>
      <c r="CHD343" s="104"/>
      <c r="CHE343" s="104"/>
      <c r="CHF343" s="104"/>
      <c r="CHG343" s="104"/>
      <c r="CHH343" s="104"/>
      <c r="CHI343" s="104"/>
      <c r="CHJ343" s="104"/>
      <c r="CHK343" s="104"/>
      <c r="CHL343" s="104"/>
      <c r="CHM343" s="104"/>
      <c r="CHN343" s="104"/>
      <c r="CHO343" s="104"/>
      <c r="CHP343" s="104"/>
      <c r="CHQ343" s="104"/>
      <c r="CHR343" s="104"/>
      <c r="CHS343" s="104"/>
      <c r="CHT343" s="104"/>
      <c r="CHU343" s="104"/>
      <c r="CHV343" s="104"/>
      <c r="CHW343" s="104"/>
      <c r="CHX343" s="104"/>
      <c r="CHY343" s="104"/>
      <c r="CHZ343" s="104"/>
      <c r="CIA343" s="104"/>
      <c r="CIB343" s="104"/>
      <c r="CIC343" s="104"/>
      <c r="CID343" s="104"/>
      <c r="CIE343" s="104"/>
      <c r="CIF343" s="104"/>
      <c r="CIG343" s="104"/>
      <c r="CIH343" s="104"/>
      <c r="CII343" s="104"/>
      <c r="CIJ343" s="104"/>
      <c r="CIK343" s="104"/>
      <c r="CIL343" s="104"/>
      <c r="CIM343" s="104"/>
      <c r="CIN343" s="104"/>
      <c r="CIO343" s="104"/>
      <c r="CIP343" s="104"/>
      <c r="CIQ343" s="104"/>
      <c r="CIR343" s="104"/>
      <c r="CIS343" s="104"/>
      <c r="CIT343" s="104"/>
      <c r="CIU343" s="104"/>
      <c r="CIV343" s="104"/>
      <c r="CIW343" s="104"/>
      <c r="CIX343" s="104"/>
      <c r="CIY343" s="104"/>
      <c r="CIZ343" s="104"/>
      <c r="CJA343" s="104"/>
      <c r="CJB343" s="104"/>
      <c r="CJC343" s="104"/>
      <c r="CJD343" s="104"/>
      <c r="CJE343" s="104"/>
      <c r="CJF343" s="104"/>
      <c r="CJG343" s="104"/>
      <c r="CJH343" s="104"/>
      <c r="CJI343" s="104"/>
      <c r="CJJ343" s="104"/>
      <c r="CJK343" s="104"/>
      <c r="CJL343" s="104"/>
      <c r="CJM343" s="104"/>
      <c r="CJN343" s="104"/>
      <c r="CJO343" s="104"/>
      <c r="CJP343" s="104"/>
      <c r="CJQ343" s="104"/>
      <c r="CJR343" s="104"/>
      <c r="CJS343" s="104"/>
      <c r="CJT343" s="104"/>
      <c r="CJU343" s="104"/>
      <c r="CJV343" s="104"/>
      <c r="CJW343" s="104"/>
      <c r="CJX343" s="104"/>
      <c r="CJY343" s="104"/>
      <c r="CJZ343" s="104"/>
      <c r="CKA343" s="104"/>
      <c r="CKB343" s="104"/>
      <c r="CKC343" s="104"/>
      <c r="CKD343" s="104"/>
      <c r="CKE343" s="104"/>
      <c r="CKF343" s="104"/>
      <c r="CKG343" s="104"/>
      <c r="CKH343" s="104"/>
      <c r="CKI343" s="104"/>
      <c r="CKJ343" s="104"/>
      <c r="CKK343" s="104"/>
      <c r="CKL343" s="104"/>
      <c r="CKM343" s="104"/>
      <c r="CKN343" s="104"/>
      <c r="CKO343" s="104"/>
      <c r="CKP343" s="104"/>
      <c r="CKQ343" s="104"/>
      <c r="CKR343" s="104"/>
      <c r="CKS343" s="104"/>
      <c r="CKT343" s="104"/>
      <c r="CKU343" s="104"/>
      <c r="CKV343" s="104"/>
      <c r="CKW343" s="104"/>
      <c r="CKX343" s="104"/>
      <c r="CKY343" s="104"/>
      <c r="CKZ343" s="104"/>
      <c r="CLA343" s="104"/>
      <c r="CLB343" s="104"/>
      <c r="CLC343" s="104"/>
      <c r="CLD343" s="104"/>
      <c r="CLE343" s="104"/>
      <c r="CLF343" s="104"/>
      <c r="CLG343" s="104"/>
      <c r="CLH343" s="104"/>
      <c r="CLI343" s="104"/>
      <c r="CLJ343" s="104"/>
      <c r="CLK343" s="104"/>
      <c r="CLL343" s="104"/>
      <c r="CLM343" s="104"/>
      <c r="CLN343" s="104"/>
      <c r="CLO343" s="104"/>
      <c r="CLP343" s="104"/>
      <c r="CLQ343" s="104"/>
      <c r="CLR343" s="104"/>
      <c r="CLS343" s="104"/>
      <c r="CLT343" s="104"/>
      <c r="CLU343" s="104"/>
      <c r="CLV343" s="104"/>
      <c r="CLW343" s="104"/>
      <c r="CLX343" s="104"/>
      <c r="CLY343" s="104"/>
      <c r="CLZ343" s="104"/>
      <c r="CMA343" s="104"/>
      <c r="CMB343" s="104"/>
      <c r="CMC343" s="104"/>
      <c r="CMD343" s="104"/>
      <c r="CME343" s="104"/>
      <c r="CMF343" s="104"/>
      <c r="CMG343" s="104"/>
      <c r="CMH343" s="104"/>
      <c r="CMI343" s="104"/>
      <c r="CMJ343" s="104"/>
      <c r="CMK343" s="104"/>
      <c r="CML343" s="104"/>
      <c r="CMM343" s="104"/>
      <c r="CMN343" s="104"/>
      <c r="CMO343" s="104"/>
      <c r="CMP343" s="104"/>
      <c r="CMQ343" s="104"/>
      <c r="CMR343" s="104"/>
      <c r="CMS343" s="104"/>
      <c r="CMT343" s="104"/>
      <c r="CMU343" s="104"/>
      <c r="CMV343" s="104"/>
      <c r="CMW343" s="104"/>
      <c r="CMX343" s="104"/>
      <c r="CMY343" s="104"/>
      <c r="CMZ343" s="104"/>
      <c r="CNA343" s="104"/>
      <c r="CNB343" s="104"/>
      <c r="CNC343" s="104"/>
      <c r="CND343" s="104"/>
      <c r="CNE343" s="104"/>
      <c r="CNF343" s="104"/>
      <c r="CNG343" s="104"/>
      <c r="CNH343" s="104"/>
      <c r="CNI343" s="104"/>
      <c r="CNJ343" s="104"/>
      <c r="CNK343" s="104"/>
      <c r="CNL343" s="104"/>
      <c r="CNM343" s="104"/>
      <c r="CNN343" s="104"/>
      <c r="CNO343" s="104"/>
      <c r="CNP343" s="104"/>
      <c r="CNQ343" s="104"/>
      <c r="CNR343" s="104"/>
      <c r="CNS343" s="104"/>
      <c r="CNT343" s="104"/>
      <c r="CNU343" s="104"/>
      <c r="CNV343" s="104"/>
      <c r="CNW343" s="104"/>
      <c r="CNX343" s="104"/>
      <c r="CNY343" s="104"/>
      <c r="CNZ343" s="104"/>
      <c r="COA343" s="104"/>
      <c r="COB343" s="104"/>
      <c r="COC343" s="104"/>
      <c r="COD343" s="104"/>
      <c r="COE343" s="104"/>
      <c r="COF343" s="104"/>
      <c r="COG343" s="104"/>
      <c r="COH343" s="104"/>
      <c r="COI343" s="104"/>
      <c r="COJ343" s="104"/>
      <c r="COK343" s="104"/>
      <c r="COL343" s="104"/>
      <c r="COM343" s="104"/>
      <c r="CON343" s="104"/>
      <c r="COO343" s="104"/>
      <c r="COP343" s="104"/>
      <c r="COQ343" s="104"/>
      <c r="COR343" s="104"/>
      <c r="COS343" s="104"/>
      <c r="COT343" s="104"/>
      <c r="COU343" s="104"/>
      <c r="COV343" s="104"/>
      <c r="COW343" s="104"/>
      <c r="COX343" s="104"/>
      <c r="COY343" s="104"/>
      <c r="COZ343" s="104"/>
      <c r="CPA343" s="104"/>
      <c r="CPB343" s="104"/>
      <c r="CPC343" s="104"/>
      <c r="CPD343" s="104"/>
      <c r="CPE343" s="104"/>
      <c r="CPF343" s="104"/>
      <c r="CPG343" s="104"/>
      <c r="CPH343" s="104"/>
      <c r="CPI343" s="104"/>
      <c r="CPJ343" s="104"/>
      <c r="CPK343" s="104"/>
      <c r="CPL343" s="104"/>
      <c r="CPM343" s="104"/>
      <c r="CPN343" s="104"/>
      <c r="CPO343" s="104"/>
      <c r="CPP343" s="104"/>
      <c r="CPQ343" s="104"/>
      <c r="CPR343" s="104"/>
      <c r="CPS343" s="104"/>
      <c r="CPT343" s="104"/>
      <c r="CPU343" s="104"/>
      <c r="CPV343" s="104"/>
      <c r="CPW343" s="104"/>
      <c r="CPX343" s="104"/>
      <c r="CPY343" s="104"/>
      <c r="CPZ343" s="104"/>
      <c r="CQA343" s="104"/>
      <c r="CQB343" s="104"/>
      <c r="CQC343" s="104"/>
      <c r="CQD343" s="104"/>
      <c r="CQE343" s="104"/>
      <c r="CQF343" s="104"/>
      <c r="CQG343" s="104"/>
      <c r="CQH343" s="104"/>
      <c r="CQI343" s="104"/>
      <c r="CQJ343" s="104"/>
      <c r="CQK343" s="104"/>
      <c r="CQL343" s="104"/>
      <c r="CQM343" s="104"/>
      <c r="CQN343" s="104"/>
      <c r="CQO343" s="104"/>
      <c r="CQP343" s="104"/>
      <c r="CQQ343" s="104"/>
      <c r="CQR343" s="104"/>
      <c r="CQS343" s="104"/>
      <c r="CQT343" s="104"/>
      <c r="CQU343" s="104"/>
      <c r="CQV343" s="104"/>
      <c r="CQW343" s="104"/>
      <c r="CQX343" s="104"/>
      <c r="CQY343" s="104"/>
      <c r="CQZ343" s="104"/>
      <c r="CRA343" s="104"/>
      <c r="CRB343" s="104"/>
      <c r="CRC343" s="104"/>
      <c r="CRD343" s="104"/>
      <c r="CRE343" s="104"/>
      <c r="CRF343" s="104"/>
      <c r="CRG343" s="104"/>
      <c r="CRH343" s="104"/>
      <c r="CRI343" s="104"/>
      <c r="CRJ343" s="104"/>
      <c r="CRK343" s="104"/>
      <c r="CRL343" s="104"/>
      <c r="CRM343" s="104"/>
      <c r="CRN343" s="104"/>
      <c r="CRO343" s="104"/>
      <c r="CRP343" s="104"/>
      <c r="CRQ343" s="104"/>
      <c r="CRR343" s="104"/>
      <c r="CRS343" s="104"/>
      <c r="CRT343" s="104"/>
      <c r="CRU343" s="104"/>
      <c r="CRV343" s="104"/>
      <c r="CRW343" s="104"/>
      <c r="CRX343" s="104"/>
      <c r="CRY343" s="104"/>
      <c r="CRZ343" s="104"/>
      <c r="CSA343" s="104"/>
      <c r="CSB343" s="104"/>
      <c r="CSC343" s="104"/>
      <c r="CSD343" s="104"/>
      <c r="CSE343" s="104"/>
      <c r="CSF343" s="104"/>
      <c r="CSG343" s="104"/>
      <c r="CSH343" s="104"/>
      <c r="CSI343" s="104"/>
      <c r="CSJ343" s="104"/>
      <c r="CSK343" s="104"/>
      <c r="CSL343" s="104"/>
      <c r="CSM343" s="104"/>
      <c r="CSN343" s="104"/>
      <c r="CSO343" s="104"/>
      <c r="CSP343" s="104"/>
      <c r="CSQ343" s="104"/>
      <c r="CSR343" s="104"/>
      <c r="CSS343" s="104"/>
      <c r="CST343" s="104"/>
      <c r="CSU343" s="104"/>
      <c r="CSV343" s="104"/>
      <c r="CSW343" s="104"/>
      <c r="CSX343" s="104"/>
      <c r="CSY343" s="104"/>
      <c r="CSZ343" s="104"/>
      <c r="CTA343" s="104"/>
      <c r="CTB343" s="104"/>
      <c r="CTC343" s="104"/>
      <c r="CTD343" s="104"/>
      <c r="CTE343" s="104"/>
      <c r="CTF343" s="104"/>
      <c r="CTG343" s="104"/>
      <c r="CTH343" s="104"/>
      <c r="CTI343" s="104"/>
      <c r="CTJ343" s="104"/>
      <c r="CTK343" s="104"/>
      <c r="CTL343" s="104"/>
      <c r="CTM343" s="104"/>
      <c r="CTN343" s="104"/>
      <c r="CTO343" s="104"/>
      <c r="CTP343" s="104"/>
      <c r="CTQ343" s="104"/>
      <c r="CTR343" s="104"/>
      <c r="CTS343" s="104"/>
      <c r="CTT343" s="104"/>
      <c r="CTU343" s="104"/>
      <c r="CTV343" s="104"/>
      <c r="CTW343" s="104"/>
      <c r="CTX343" s="104"/>
      <c r="CTY343" s="104"/>
      <c r="CTZ343" s="104"/>
      <c r="CUA343" s="104"/>
    </row>
    <row r="344" s="78" customFormat="1" spans="1:2575">
      <c r="A344" s="117"/>
      <c r="B344" s="116"/>
      <c r="C344" s="116"/>
      <c r="D344" s="116"/>
      <c r="E344" s="116"/>
      <c r="F344" s="116"/>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c r="BB344" s="104"/>
      <c r="BC344" s="104"/>
      <c r="BD344" s="104"/>
      <c r="BE344" s="104"/>
      <c r="BF344" s="104"/>
      <c r="BG344" s="104"/>
      <c r="BH344" s="104"/>
      <c r="BI344" s="104"/>
      <c r="BJ344" s="104"/>
      <c r="BK344" s="104"/>
      <c r="BL344" s="104"/>
      <c r="BM344" s="104"/>
      <c r="BN344" s="104"/>
      <c r="BO344" s="104"/>
      <c r="BP344" s="104"/>
      <c r="BQ344" s="104"/>
      <c r="BR344" s="104"/>
      <c r="BS344" s="104"/>
      <c r="BT344" s="104"/>
      <c r="BU344" s="104"/>
      <c r="BV344" s="104"/>
      <c r="BW344" s="104"/>
      <c r="BX344" s="104"/>
      <c r="BY344" s="104"/>
      <c r="BZ344" s="104"/>
      <c r="CA344" s="104"/>
      <c r="CB344" s="104"/>
      <c r="CC344" s="104"/>
      <c r="CD344" s="104"/>
      <c r="CE344" s="104"/>
      <c r="CF344" s="104"/>
      <c r="CG344" s="104"/>
      <c r="CH344" s="104"/>
      <c r="CI344" s="104"/>
      <c r="CJ344" s="104"/>
      <c r="CK344" s="104"/>
      <c r="CL344" s="104"/>
      <c r="CM344" s="104"/>
      <c r="CN344" s="104"/>
      <c r="CO344" s="104"/>
      <c r="CP344" s="104"/>
      <c r="CQ344" s="104"/>
      <c r="CR344" s="104"/>
      <c r="CS344" s="104"/>
      <c r="CT344" s="104"/>
      <c r="CU344" s="104"/>
      <c r="CV344" s="104"/>
      <c r="CW344" s="104"/>
      <c r="CX344" s="104"/>
      <c r="CY344" s="104"/>
      <c r="CZ344" s="104"/>
      <c r="DA344" s="104"/>
      <c r="DB344" s="104"/>
      <c r="DC344" s="104"/>
      <c r="DD344" s="104"/>
      <c r="DE344" s="104"/>
      <c r="DF344" s="104"/>
      <c r="DG344" s="104"/>
      <c r="DH344" s="104"/>
      <c r="DI344" s="104"/>
      <c r="DJ344" s="104"/>
      <c r="DK344" s="104"/>
      <c r="DL344" s="104"/>
      <c r="DM344" s="104"/>
      <c r="DN344" s="104"/>
      <c r="DO344" s="104"/>
      <c r="DP344" s="104"/>
      <c r="DQ344" s="104"/>
      <c r="DR344" s="104"/>
      <c r="DS344" s="104"/>
      <c r="DT344" s="104"/>
      <c r="DU344" s="104"/>
      <c r="DV344" s="104"/>
      <c r="DW344" s="104"/>
      <c r="DX344" s="104"/>
      <c r="DY344" s="104"/>
      <c r="DZ344" s="104"/>
      <c r="EA344" s="104"/>
      <c r="EB344" s="104"/>
      <c r="EC344" s="104"/>
      <c r="ED344" s="104"/>
      <c r="EE344" s="104"/>
      <c r="EF344" s="104"/>
      <c r="EG344" s="104"/>
      <c r="EH344" s="104"/>
      <c r="EI344" s="104"/>
      <c r="EJ344" s="104"/>
      <c r="EK344" s="104"/>
      <c r="EL344" s="104"/>
      <c r="EM344" s="104"/>
      <c r="EN344" s="104"/>
      <c r="EO344" s="104"/>
      <c r="EP344" s="104"/>
      <c r="EQ344" s="104"/>
      <c r="ER344" s="104"/>
      <c r="ES344" s="104"/>
      <c r="ET344" s="104"/>
      <c r="EU344" s="104"/>
      <c r="EV344" s="104"/>
      <c r="EW344" s="104"/>
      <c r="EX344" s="104"/>
      <c r="EY344" s="104"/>
      <c r="EZ344" s="104"/>
      <c r="FA344" s="104"/>
      <c r="FB344" s="104"/>
      <c r="FC344" s="104"/>
      <c r="FD344" s="104"/>
      <c r="FE344" s="104"/>
      <c r="FF344" s="104"/>
      <c r="FG344" s="104"/>
      <c r="FH344" s="104"/>
      <c r="FI344" s="104"/>
      <c r="FJ344" s="104"/>
      <c r="FK344" s="104"/>
      <c r="FL344" s="104"/>
      <c r="FM344" s="104"/>
      <c r="FN344" s="104"/>
      <c r="FO344" s="104"/>
      <c r="FP344" s="104"/>
      <c r="FQ344" s="104"/>
      <c r="FR344" s="104"/>
      <c r="FS344" s="104"/>
      <c r="FT344" s="104"/>
      <c r="FU344" s="104"/>
      <c r="FV344" s="104"/>
      <c r="FW344" s="104"/>
      <c r="FX344" s="104"/>
      <c r="FY344" s="104"/>
      <c r="FZ344" s="104"/>
      <c r="GA344" s="104"/>
      <c r="GB344" s="104"/>
      <c r="GC344" s="104"/>
      <c r="GD344" s="104"/>
      <c r="GE344" s="104"/>
      <c r="GF344" s="104"/>
      <c r="GG344" s="104"/>
      <c r="GH344" s="104"/>
      <c r="GI344" s="104"/>
      <c r="GJ344" s="104"/>
      <c r="GK344" s="104"/>
      <c r="GL344" s="104"/>
      <c r="GM344" s="104"/>
      <c r="GN344" s="104"/>
      <c r="GO344" s="104"/>
      <c r="GP344" s="104"/>
      <c r="GQ344" s="104"/>
      <c r="GR344" s="104"/>
      <c r="GS344" s="104"/>
      <c r="GT344" s="104"/>
      <c r="GU344" s="104"/>
      <c r="GV344" s="104"/>
      <c r="GW344" s="104"/>
      <c r="GX344" s="104"/>
      <c r="GY344" s="104"/>
      <c r="GZ344" s="104"/>
      <c r="HA344" s="104"/>
      <c r="HB344" s="104"/>
      <c r="HC344" s="104"/>
      <c r="HD344" s="104"/>
      <c r="HE344" s="104"/>
      <c r="HF344" s="104"/>
      <c r="HG344" s="104"/>
      <c r="HH344" s="104"/>
      <c r="HI344" s="104"/>
      <c r="HJ344" s="104"/>
      <c r="HK344" s="104"/>
      <c r="HL344" s="104"/>
      <c r="HM344" s="104"/>
      <c r="HN344" s="104"/>
      <c r="HO344" s="104"/>
      <c r="HP344" s="104"/>
      <c r="HQ344" s="104"/>
      <c r="HR344" s="104"/>
      <c r="HS344" s="104"/>
      <c r="HT344" s="104"/>
      <c r="HU344" s="104"/>
      <c r="HV344" s="104"/>
      <c r="HW344" s="104"/>
      <c r="HX344" s="104"/>
      <c r="HY344" s="104"/>
      <c r="HZ344" s="104"/>
      <c r="IA344" s="104"/>
      <c r="IB344" s="104"/>
      <c r="IC344" s="104"/>
      <c r="ID344" s="104"/>
      <c r="IE344" s="104"/>
      <c r="IF344" s="104"/>
      <c r="IG344" s="104"/>
      <c r="IH344" s="104"/>
      <c r="II344" s="104"/>
      <c r="IJ344" s="104"/>
      <c r="IK344" s="104"/>
      <c r="IL344" s="104"/>
      <c r="IM344" s="104"/>
      <c r="IN344" s="104"/>
      <c r="IO344" s="104"/>
      <c r="IP344" s="104"/>
      <c r="IQ344" s="104"/>
      <c r="IR344" s="104"/>
      <c r="IS344" s="104"/>
      <c r="IT344" s="104"/>
      <c r="IU344" s="104"/>
      <c r="IV344" s="104"/>
      <c r="IW344" s="104"/>
      <c r="IX344" s="104"/>
      <c r="IY344" s="104"/>
      <c r="IZ344" s="104"/>
      <c r="JA344" s="104"/>
      <c r="JB344" s="104"/>
      <c r="JC344" s="104"/>
      <c r="JD344" s="104"/>
      <c r="JE344" s="104"/>
      <c r="JF344" s="104"/>
      <c r="JG344" s="104"/>
      <c r="JH344" s="104"/>
      <c r="JI344" s="104"/>
      <c r="JJ344" s="104"/>
      <c r="JK344" s="104"/>
      <c r="JL344" s="104"/>
      <c r="JM344" s="104"/>
      <c r="JN344" s="104"/>
      <c r="JO344" s="104"/>
      <c r="JP344" s="104"/>
      <c r="JQ344" s="104"/>
      <c r="JR344" s="104"/>
      <c r="JS344" s="104"/>
      <c r="JT344" s="104"/>
      <c r="JU344" s="104"/>
      <c r="JV344" s="104"/>
      <c r="JW344" s="104"/>
      <c r="JX344" s="104"/>
      <c r="JY344" s="104"/>
      <c r="JZ344" s="104"/>
      <c r="KA344" s="104"/>
      <c r="KB344" s="104"/>
      <c r="KC344" s="104"/>
      <c r="KD344" s="104"/>
      <c r="KE344" s="104"/>
      <c r="KF344" s="104"/>
      <c r="KG344" s="104"/>
      <c r="KH344" s="104"/>
      <c r="KI344" s="104"/>
      <c r="KJ344" s="104"/>
      <c r="KK344" s="104"/>
      <c r="KL344" s="104"/>
      <c r="KM344" s="104"/>
      <c r="KN344" s="104"/>
      <c r="KO344" s="104"/>
      <c r="KP344" s="104"/>
      <c r="KQ344" s="104"/>
      <c r="KR344" s="104"/>
      <c r="KS344" s="104"/>
      <c r="KT344" s="104"/>
      <c r="KU344" s="104"/>
      <c r="KV344" s="104"/>
      <c r="KW344" s="104"/>
      <c r="KX344" s="104"/>
      <c r="KY344" s="104"/>
      <c r="KZ344" s="104"/>
      <c r="LA344" s="104"/>
      <c r="LB344" s="104"/>
      <c r="LC344" s="104"/>
      <c r="LD344" s="104"/>
      <c r="LE344" s="104"/>
      <c r="LF344" s="104"/>
      <c r="LG344" s="104"/>
      <c r="LH344" s="104"/>
      <c r="LI344" s="104"/>
      <c r="LJ344" s="104"/>
      <c r="LK344" s="104"/>
      <c r="LL344" s="104"/>
      <c r="LM344" s="104"/>
      <c r="LN344" s="104"/>
      <c r="LO344" s="104"/>
      <c r="LP344" s="104"/>
      <c r="LQ344" s="104"/>
      <c r="LR344" s="104"/>
      <c r="LS344" s="104"/>
      <c r="LT344" s="104"/>
      <c r="LU344" s="104"/>
      <c r="LV344" s="104"/>
      <c r="LW344" s="104"/>
      <c r="LX344" s="104"/>
      <c r="LY344" s="104"/>
      <c r="LZ344" s="104"/>
      <c r="MA344" s="104"/>
      <c r="MB344" s="104"/>
      <c r="MC344" s="104"/>
      <c r="MD344" s="104"/>
      <c r="ME344" s="104"/>
      <c r="MF344" s="104"/>
      <c r="MG344" s="104"/>
      <c r="MH344" s="104"/>
      <c r="MI344" s="104"/>
      <c r="MJ344" s="104"/>
      <c r="MK344" s="104"/>
      <c r="ML344" s="104"/>
      <c r="MM344" s="104"/>
      <c r="MN344" s="104"/>
      <c r="MO344" s="104"/>
      <c r="MP344" s="104"/>
      <c r="MQ344" s="104"/>
      <c r="MR344" s="104"/>
      <c r="MS344" s="104"/>
      <c r="MT344" s="104"/>
      <c r="MU344" s="104"/>
      <c r="MV344" s="104"/>
      <c r="MW344" s="104"/>
      <c r="MX344" s="104"/>
      <c r="MY344" s="104"/>
      <c r="MZ344" s="104"/>
      <c r="NA344" s="104"/>
      <c r="NB344" s="104"/>
      <c r="NC344" s="104"/>
      <c r="ND344" s="104"/>
      <c r="NE344" s="104"/>
      <c r="NF344" s="104"/>
      <c r="NG344" s="104"/>
      <c r="NH344" s="104"/>
      <c r="NI344" s="104"/>
      <c r="NJ344" s="104"/>
      <c r="NK344" s="104"/>
      <c r="NL344" s="104"/>
      <c r="NM344" s="104"/>
      <c r="NN344" s="104"/>
      <c r="NO344" s="104"/>
      <c r="NP344" s="104"/>
      <c r="NQ344" s="104"/>
      <c r="NR344" s="104"/>
      <c r="NS344" s="104"/>
      <c r="NT344" s="104"/>
      <c r="NU344" s="104"/>
      <c r="NV344" s="104"/>
      <c r="NW344" s="104"/>
      <c r="NX344" s="104"/>
      <c r="NY344" s="104"/>
      <c r="NZ344" s="104"/>
      <c r="OA344" s="104"/>
      <c r="OB344" s="104"/>
      <c r="OC344" s="104"/>
      <c r="OD344" s="104"/>
      <c r="OE344" s="104"/>
      <c r="OF344" s="104"/>
      <c r="OG344" s="104"/>
      <c r="OH344" s="104"/>
      <c r="OI344" s="104"/>
      <c r="OJ344" s="104"/>
      <c r="OK344" s="104"/>
      <c r="OL344" s="104"/>
      <c r="OM344" s="104"/>
      <c r="ON344" s="104"/>
      <c r="OO344" s="104"/>
      <c r="OP344" s="104"/>
      <c r="OQ344" s="104"/>
      <c r="OR344" s="104"/>
      <c r="OS344" s="104"/>
      <c r="OT344" s="104"/>
      <c r="OU344" s="104"/>
      <c r="OV344" s="104"/>
      <c r="OW344" s="104"/>
      <c r="OX344" s="104"/>
      <c r="OY344" s="104"/>
      <c r="OZ344" s="104"/>
      <c r="PA344" s="104"/>
      <c r="PB344" s="104"/>
      <c r="PC344" s="104"/>
      <c r="PD344" s="104"/>
      <c r="PE344" s="104"/>
      <c r="PF344" s="104"/>
      <c r="PG344" s="104"/>
      <c r="PH344" s="104"/>
      <c r="PI344" s="104"/>
      <c r="PJ344" s="104"/>
      <c r="PK344" s="104"/>
      <c r="PL344" s="104"/>
      <c r="PM344" s="104"/>
      <c r="PN344" s="104"/>
      <c r="PO344" s="104"/>
      <c r="PP344" s="104"/>
      <c r="PQ344" s="104"/>
      <c r="PR344" s="104"/>
      <c r="PS344" s="104"/>
      <c r="PT344" s="104"/>
      <c r="PU344" s="104"/>
      <c r="PV344" s="104"/>
      <c r="PW344" s="104"/>
      <c r="PX344" s="104"/>
      <c r="PY344" s="104"/>
      <c r="PZ344" s="104"/>
      <c r="QA344" s="104"/>
      <c r="QB344" s="104"/>
      <c r="QC344" s="104"/>
      <c r="QD344" s="104"/>
      <c r="QE344" s="104"/>
      <c r="QF344" s="104"/>
      <c r="QG344" s="104"/>
      <c r="QH344" s="104"/>
      <c r="QI344" s="104"/>
      <c r="QJ344" s="104"/>
      <c r="QK344" s="104"/>
      <c r="QL344" s="104"/>
      <c r="QM344" s="104"/>
      <c r="QN344" s="104"/>
      <c r="QO344" s="104"/>
      <c r="QP344" s="104"/>
      <c r="QQ344" s="104"/>
      <c r="QR344" s="104"/>
      <c r="QS344" s="104"/>
      <c r="QT344" s="104"/>
      <c r="QU344" s="104"/>
      <c r="QV344" s="104"/>
      <c r="QW344" s="104"/>
      <c r="QX344" s="104"/>
      <c r="QY344" s="104"/>
      <c r="QZ344" s="104"/>
      <c r="RA344" s="104"/>
      <c r="RB344" s="104"/>
      <c r="RC344" s="104"/>
      <c r="RD344" s="104"/>
      <c r="RE344" s="104"/>
      <c r="RF344" s="104"/>
      <c r="RG344" s="104"/>
      <c r="RH344" s="104"/>
      <c r="RI344" s="104"/>
      <c r="RJ344" s="104"/>
      <c r="RK344" s="104"/>
      <c r="RL344" s="104"/>
      <c r="RM344" s="104"/>
      <c r="RN344" s="104"/>
      <c r="RO344" s="104"/>
      <c r="RP344" s="104"/>
      <c r="RQ344" s="104"/>
      <c r="RR344" s="104"/>
      <c r="RS344" s="104"/>
      <c r="RT344" s="104"/>
      <c r="RU344" s="104"/>
      <c r="RV344" s="104"/>
      <c r="RW344" s="104"/>
      <c r="RX344" s="104"/>
      <c r="RY344" s="104"/>
      <c r="RZ344" s="104"/>
      <c r="SA344" s="104"/>
      <c r="SB344" s="104"/>
      <c r="SC344" s="104"/>
      <c r="SD344" s="104"/>
      <c r="SE344" s="104"/>
      <c r="SF344" s="104"/>
      <c r="SG344" s="104"/>
      <c r="SH344" s="104"/>
      <c r="SI344" s="104"/>
      <c r="SJ344" s="104"/>
      <c r="SK344" s="104"/>
      <c r="SL344" s="104"/>
      <c r="SM344" s="104"/>
      <c r="SN344" s="104"/>
      <c r="SO344" s="104"/>
      <c r="SP344" s="104"/>
      <c r="SQ344" s="104"/>
      <c r="SR344" s="104"/>
      <c r="SS344" s="104"/>
      <c r="ST344" s="104"/>
      <c r="SU344" s="104"/>
      <c r="SV344" s="104"/>
      <c r="SW344" s="104"/>
      <c r="SX344" s="104"/>
      <c r="SY344" s="104"/>
      <c r="SZ344" s="104"/>
      <c r="TA344" s="104"/>
      <c r="TB344" s="104"/>
      <c r="TC344" s="104"/>
      <c r="TD344" s="104"/>
      <c r="TE344" s="104"/>
      <c r="TF344" s="104"/>
      <c r="TG344" s="104"/>
      <c r="TH344" s="104"/>
      <c r="TI344" s="104"/>
      <c r="TJ344" s="104"/>
      <c r="TK344" s="104"/>
      <c r="TL344" s="104"/>
      <c r="TM344" s="104"/>
      <c r="TN344" s="104"/>
      <c r="TO344" s="104"/>
      <c r="TP344" s="104"/>
      <c r="TQ344" s="104"/>
      <c r="TR344" s="104"/>
      <c r="TS344" s="104"/>
      <c r="TT344" s="104"/>
      <c r="TU344" s="104"/>
      <c r="TV344" s="104"/>
      <c r="TW344" s="104"/>
      <c r="TX344" s="104"/>
      <c r="TY344" s="104"/>
      <c r="TZ344" s="104"/>
      <c r="UA344" s="104"/>
      <c r="UB344" s="104"/>
      <c r="UC344" s="104"/>
      <c r="UD344" s="104"/>
      <c r="UE344" s="104"/>
      <c r="UF344" s="104"/>
      <c r="UG344" s="104"/>
      <c r="UH344" s="104"/>
      <c r="UI344" s="104"/>
      <c r="UJ344" s="104"/>
      <c r="UK344" s="104"/>
      <c r="UL344" s="104"/>
      <c r="UM344" s="104"/>
      <c r="UN344" s="104"/>
      <c r="UO344" s="104"/>
      <c r="UP344" s="104"/>
      <c r="UQ344" s="104"/>
      <c r="UR344" s="104"/>
      <c r="US344" s="104"/>
      <c r="UT344" s="104"/>
      <c r="UU344" s="104"/>
      <c r="UV344" s="104"/>
      <c r="UW344" s="104"/>
      <c r="UX344" s="104"/>
      <c r="UY344" s="104"/>
      <c r="UZ344" s="104"/>
      <c r="VA344" s="104"/>
      <c r="VB344" s="104"/>
      <c r="VC344" s="104"/>
      <c r="VD344" s="104"/>
      <c r="VE344" s="104"/>
      <c r="VF344" s="104"/>
      <c r="VG344" s="104"/>
      <c r="VH344" s="104"/>
      <c r="VI344" s="104"/>
      <c r="VJ344" s="104"/>
      <c r="VK344" s="104"/>
      <c r="VL344" s="104"/>
      <c r="VM344" s="104"/>
      <c r="VN344" s="104"/>
      <c r="VO344" s="104"/>
      <c r="VP344" s="104"/>
      <c r="VQ344" s="104"/>
      <c r="VR344" s="104"/>
      <c r="VS344" s="104"/>
      <c r="VT344" s="104"/>
      <c r="VU344" s="104"/>
      <c r="VV344" s="104"/>
      <c r="VW344" s="104"/>
      <c r="VX344" s="104"/>
      <c r="VY344" s="104"/>
      <c r="VZ344" s="104"/>
      <c r="WA344" s="104"/>
      <c r="WB344" s="104"/>
      <c r="WC344" s="104"/>
      <c r="WD344" s="104"/>
      <c r="WE344" s="104"/>
      <c r="WF344" s="104"/>
      <c r="WG344" s="104"/>
      <c r="WH344" s="104"/>
      <c r="WI344" s="104"/>
      <c r="WJ344" s="104"/>
      <c r="WK344" s="104"/>
      <c r="WL344" s="104"/>
      <c r="WM344" s="104"/>
      <c r="WN344" s="104"/>
      <c r="WO344" s="104"/>
      <c r="WP344" s="104"/>
      <c r="WQ344" s="104"/>
      <c r="WR344" s="104"/>
      <c r="WS344" s="104"/>
      <c r="WT344" s="104"/>
      <c r="WU344" s="104"/>
      <c r="WV344" s="104"/>
      <c r="WW344" s="104"/>
      <c r="WX344" s="104"/>
      <c r="WY344" s="104"/>
      <c r="WZ344" s="104"/>
      <c r="XA344" s="104"/>
      <c r="XB344" s="104"/>
      <c r="XC344" s="104"/>
      <c r="XD344" s="104"/>
      <c r="XE344" s="104"/>
      <c r="XF344" s="104"/>
      <c r="XG344" s="104"/>
      <c r="XH344" s="104"/>
      <c r="XI344" s="104"/>
      <c r="XJ344" s="104"/>
      <c r="XK344" s="104"/>
      <c r="XL344" s="104"/>
      <c r="XM344" s="104"/>
      <c r="XN344" s="104"/>
      <c r="XO344" s="104"/>
      <c r="XP344" s="104"/>
      <c r="XQ344" s="104"/>
      <c r="XR344" s="104"/>
      <c r="XS344" s="104"/>
      <c r="XT344" s="104"/>
      <c r="XU344" s="104"/>
      <c r="XV344" s="104"/>
      <c r="XW344" s="104"/>
      <c r="XX344" s="104"/>
      <c r="XY344" s="104"/>
      <c r="XZ344" s="104"/>
      <c r="YA344" s="104"/>
      <c r="YB344" s="104"/>
      <c r="YC344" s="104"/>
      <c r="YD344" s="104"/>
      <c r="YE344" s="104"/>
      <c r="YF344" s="104"/>
      <c r="YG344" s="104"/>
      <c r="YH344" s="104"/>
      <c r="YI344" s="104"/>
      <c r="YJ344" s="104"/>
      <c r="YK344" s="104"/>
      <c r="YL344" s="104"/>
      <c r="YM344" s="104"/>
      <c r="YN344" s="104"/>
      <c r="YO344" s="104"/>
      <c r="YP344" s="104"/>
      <c r="YQ344" s="104"/>
      <c r="YR344" s="104"/>
      <c r="YS344" s="104"/>
      <c r="YT344" s="104"/>
      <c r="YU344" s="104"/>
      <c r="YV344" s="104"/>
      <c r="YW344" s="104"/>
      <c r="YX344" s="104"/>
      <c r="YY344" s="104"/>
      <c r="YZ344" s="104"/>
      <c r="ZA344" s="104"/>
      <c r="ZB344" s="104"/>
      <c r="ZC344" s="104"/>
      <c r="ZD344" s="104"/>
      <c r="ZE344" s="104"/>
      <c r="ZF344" s="104"/>
      <c r="ZG344" s="104"/>
      <c r="ZH344" s="104"/>
      <c r="ZI344" s="104"/>
      <c r="ZJ344" s="104"/>
      <c r="ZK344" s="104"/>
      <c r="ZL344" s="104"/>
      <c r="ZM344" s="104"/>
      <c r="ZN344" s="104"/>
      <c r="ZO344" s="104"/>
      <c r="ZP344" s="104"/>
      <c r="ZQ344" s="104"/>
      <c r="ZR344" s="104"/>
      <c r="ZS344" s="104"/>
      <c r="ZT344" s="104"/>
      <c r="ZU344" s="104"/>
      <c r="ZV344" s="104"/>
      <c r="ZW344" s="104"/>
      <c r="ZX344" s="104"/>
      <c r="ZY344" s="104"/>
      <c r="ZZ344" s="104"/>
      <c r="AAA344" s="104"/>
      <c r="AAB344" s="104"/>
      <c r="AAC344" s="104"/>
      <c r="AAD344" s="104"/>
      <c r="AAE344" s="104"/>
      <c r="AAF344" s="104"/>
      <c r="AAG344" s="104"/>
      <c r="AAH344" s="104"/>
      <c r="AAI344" s="104"/>
      <c r="AAJ344" s="104"/>
      <c r="AAK344" s="104"/>
      <c r="AAL344" s="104"/>
      <c r="AAM344" s="104"/>
      <c r="AAN344" s="104"/>
      <c r="AAO344" s="104"/>
      <c r="AAP344" s="104"/>
      <c r="AAQ344" s="104"/>
      <c r="AAR344" s="104"/>
      <c r="AAS344" s="104"/>
      <c r="AAT344" s="104"/>
      <c r="AAU344" s="104"/>
      <c r="AAV344" s="104"/>
      <c r="AAW344" s="104"/>
      <c r="AAX344" s="104"/>
      <c r="AAY344" s="104"/>
      <c r="AAZ344" s="104"/>
      <c r="ABA344" s="104"/>
      <c r="ABB344" s="104"/>
      <c r="ABC344" s="104"/>
      <c r="ABD344" s="104"/>
      <c r="ABE344" s="104"/>
      <c r="ABF344" s="104"/>
      <c r="ABG344" s="104"/>
      <c r="ABH344" s="104"/>
      <c r="ABI344" s="104"/>
      <c r="ABJ344" s="104"/>
      <c r="ABK344" s="104"/>
      <c r="ABL344" s="104"/>
      <c r="ABM344" s="104"/>
      <c r="ABN344" s="104"/>
      <c r="ABO344" s="104"/>
      <c r="ABP344" s="104"/>
      <c r="ABQ344" s="104"/>
      <c r="ABR344" s="104"/>
      <c r="ABS344" s="104"/>
      <c r="ABT344" s="104"/>
      <c r="ABU344" s="104"/>
      <c r="ABV344" s="104"/>
      <c r="ABW344" s="104"/>
      <c r="ABX344" s="104"/>
      <c r="ABY344" s="104"/>
      <c r="ABZ344" s="104"/>
      <c r="ACA344" s="104"/>
      <c r="ACB344" s="104"/>
      <c r="ACC344" s="104"/>
      <c r="ACD344" s="104"/>
      <c r="ACE344" s="104"/>
      <c r="ACF344" s="104"/>
      <c r="ACG344" s="104"/>
      <c r="ACH344" s="104"/>
      <c r="ACI344" s="104"/>
      <c r="ACJ344" s="104"/>
      <c r="ACK344" s="104"/>
      <c r="ACL344" s="104"/>
      <c r="ACM344" s="104"/>
      <c r="ACN344" s="104"/>
      <c r="ACO344" s="104"/>
      <c r="ACP344" s="104"/>
      <c r="ACQ344" s="104"/>
      <c r="ACR344" s="104"/>
      <c r="ACS344" s="104"/>
      <c r="ACT344" s="104"/>
      <c r="ACU344" s="104"/>
      <c r="ACV344" s="104"/>
      <c r="ACW344" s="104"/>
      <c r="ACX344" s="104"/>
      <c r="ACY344" s="104"/>
      <c r="ACZ344" s="104"/>
      <c r="ADA344" s="104"/>
      <c r="ADB344" s="104"/>
      <c r="ADC344" s="104"/>
      <c r="ADD344" s="104"/>
      <c r="ADE344" s="104"/>
      <c r="ADF344" s="104"/>
      <c r="ADG344" s="104"/>
      <c r="ADH344" s="104"/>
      <c r="ADI344" s="104"/>
      <c r="ADJ344" s="104"/>
      <c r="ADK344" s="104"/>
      <c r="ADL344" s="104"/>
      <c r="ADM344" s="104"/>
      <c r="ADN344" s="104"/>
      <c r="ADO344" s="104"/>
      <c r="ADP344" s="104"/>
      <c r="ADQ344" s="104"/>
      <c r="ADR344" s="104"/>
      <c r="ADS344" s="104"/>
      <c r="ADT344" s="104"/>
      <c r="ADU344" s="104"/>
      <c r="ADV344" s="104"/>
      <c r="ADW344" s="104"/>
      <c r="ADX344" s="104"/>
      <c r="ADY344" s="104"/>
      <c r="ADZ344" s="104"/>
      <c r="AEA344" s="104"/>
      <c r="AEB344" s="104"/>
      <c r="AEC344" s="104"/>
      <c r="AED344" s="104"/>
      <c r="AEE344" s="104"/>
      <c r="AEF344" s="104"/>
      <c r="AEG344" s="104"/>
      <c r="AEH344" s="104"/>
      <c r="AEI344" s="104"/>
      <c r="AEJ344" s="104"/>
      <c r="AEK344" s="104"/>
      <c r="AEL344" s="104"/>
      <c r="AEM344" s="104"/>
      <c r="AEN344" s="104"/>
      <c r="AEO344" s="104"/>
      <c r="AEP344" s="104"/>
      <c r="AEQ344" s="104"/>
      <c r="AER344" s="104"/>
      <c r="AES344" s="104"/>
      <c r="AET344" s="104"/>
      <c r="AEU344" s="104"/>
      <c r="AEV344" s="104"/>
      <c r="AEW344" s="104"/>
      <c r="AEX344" s="104"/>
      <c r="AEY344" s="104"/>
      <c r="AEZ344" s="104"/>
      <c r="AFA344" s="104"/>
      <c r="AFB344" s="104"/>
      <c r="AFC344" s="104"/>
      <c r="AFD344" s="104"/>
      <c r="AFE344" s="104"/>
      <c r="AFF344" s="104"/>
      <c r="AFG344" s="104"/>
      <c r="AFH344" s="104"/>
      <c r="AFI344" s="104"/>
      <c r="AFJ344" s="104"/>
      <c r="AFK344" s="104"/>
      <c r="AFL344" s="104"/>
      <c r="AFM344" s="104"/>
      <c r="AFN344" s="104"/>
      <c r="AFO344" s="104"/>
      <c r="AFP344" s="104"/>
      <c r="AFQ344" s="104"/>
      <c r="AFR344" s="104"/>
      <c r="AFS344" s="104"/>
      <c r="AFT344" s="104"/>
      <c r="AFU344" s="104"/>
      <c r="AFV344" s="104"/>
      <c r="AFW344" s="104"/>
      <c r="AFX344" s="104"/>
      <c r="AFY344" s="104"/>
      <c r="AFZ344" s="104"/>
      <c r="AGA344" s="104"/>
      <c r="AGB344" s="104"/>
      <c r="AGC344" s="104"/>
      <c r="AGD344" s="104"/>
      <c r="AGE344" s="104"/>
      <c r="AGF344" s="104"/>
      <c r="AGG344" s="104"/>
      <c r="AGH344" s="104"/>
      <c r="AGI344" s="104"/>
      <c r="AGJ344" s="104"/>
      <c r="AGK344" s="104"/>
      <c r="AGL344" s="104"/>
      <c r="AGM344" s="104"/>
      <c r="AGN344" s="104"/>
      <c r="AGO344" s="104"/>
      <c r="AGP344" s="104"/>
      <c r="AGQ344" s="104"/>
      <c r="AGR344" s="104"/>
      <c r="AGS344" s="104"/>
      <c r="AGT344" s="104"/>
      <c r="AGU344" s="104"/>
      <c r="AGV344" s="104"/>
      <c r="AGW344" s="104"/>
      <c r="AGX344" s="104"/>
      <c r="AGY344" s="104"/>
      <c r="AGZ344" s="104"/>
      <c r="AHA344" s="104"/>
      <c r="AHB344" s="104"/>
      <c r="AHC344" s="104"/>
      <c r="AHD344" s="104"/>
      <c r="AHE344" s="104"/>
      <c r="AHF344" s="104"/>
      <c r="AHG344" s="104"/>
      <c r="AHH344" s="104"/>
      <c r="AHI344" s="104"/>
      <c r="AHJ344" s="104"/>
      <c r="AHK344" s="104"/>
      <c r="AHL344" s="104"/>
      <c r="AHM344" s="104"/>
      <c r="AHN344" s="104"/>
      <c r="AHO344" s="104"/>
      <c r="AHP344" s="104"/>
      <c r="AHQ344" s="104"/>
      <c r="AHR344" s="104"/>
      <c r="AHS344" s="104"/>
      <c r="AHT344" s="104"/>
      <c r="AHU344" s="104"/>
      <c r="AHV344" s="104"/>
      <c r="AHW344" s="104"/>
      <c r="AHX344" s="104"/>
      <c r="AHY344" s="104"/>
      <c r="AHZ344" s="104"/>
      <c r="AIA344" s="104"/>
      <c r="AIB344" s="104"/>
      <c r="AIC344" s="104"/>
      <c r="AID344" s="104"/>
      <c r="AIE344" s="104"/>
      <c r="AIF344" s="104"/>
      <c r="AIG344" s="104"/>
      <c r="AIH344" s="104"/>
      <c r="AII344" s="104"/>
      <c r="AIJ344" s="104"/>
      <c r="AIK344" s="104"/>
      <c r="AIL344" s="104"/>
      <c r="AIM344" s="104"/>
      <c r="AIN344" s="104"/>
      <c r="AIO344" s="104"/>
      <c r="AIP344" s="104"/>
      <c r="AIQ344" s="104"/>
      <c r="AIR344" s="104"/>
      <c r="AIS344" s="104"/>
      <c r="AIT344" s="104"/>
      <c r="AIU344" s="104"/>
      <c r="AIV344" s="104"/>
      <c r="AIW344" s="104"/>
      <c r="AIX344" s="104"/>
      <c r="AIY344" s="104"/>
      <c r="AIZ344" s="104"/>
      <c r="AJA344" s="104"/>
      <c r="AJB344" s="104"/>
      <c r="AJC344" s="104"/>
      <c r="AJD344" s="104"/>
      <c r="AJE344" s="104"/>
      <c r="AJF344" s="104"/>
      <c r="AJG344" s="104"/>
      <c r="AJH344" s="104"/>
      <c r="AJI344" s="104"/>
      <c r="AJJ344" s="104"/>
      <c r="AJK344" s="104"/>
      <c r="AJL344" s="104"/>
      <c r="AJM344" s="104"/>
      <c r="AJN344" s="104"/>
      <c r="AJO344" s="104"/>
      <c r="AJP344" s="104"/>
      <c r="AJQ344" s="104"/>
      <c r="AJR344" s="104"/>
      <c r="AJS344" s="104"/>
      <c r="AJT344" s="104"/>
      <c r="AJU344" s="104"/>
      <c r="AJV344" s="104"/>
      <c r="AJW344" s="104"/>
      <c r="AJX344" s="104"/>
      <c r="AJY344" s="104"/>
      <c r="AJZ344" s="104"/>
      <c r="AKA344" s="104"/>
      <c r="AKB344" s="104"/>
      <c r="AKC344" s="104"/>
      <c r="AKD344" s="104"/>
      <c r="AKE344" s="104"/>
      <c r="AKF344" s="104"/>
      <c r="AKG344" s="104"/>
      <c r="AKH344" s="104"/>
      <c r="AKI344" s="104"/>
      <c r="AKJ344" s="104"/>
      <c r="AKK344" s="104"/>
      <c r="AKL344" s="104"/>
      <c r="AKM344" s="104"/>
      <c r="AKN344" s="104"/>
      <c r="AKO344" s="104"/>
      <c r="AKP344" s="104"/>
      <c r="AKQ344" s="104"/>
      <c r="AKR344" s="104"/>
      <c r="AKS344" s="104"/>
      <c r="AKT344" s="104"/>
      <c r="AKU344" s="104"/>
      <c r="AKV344" s="104"/>
      <c r="AKW344" s="104"/>
      <c r="AKX344" s="104"/>
      <c r="AKY344" s="104"/>
      <c r="AKZ344" s="104"/>
      <c r="ALA344" s="104"/>
      <c r="ALB344" s="104"/>
      <c r="ALC344" s="104"/>
      <c r="ALD344" s="104"/>
      <c r="ALE344" s="104"/>
      <c r="ALF344" s="104"/>
      <c r="ALG344" s="104"/>
      <c r="ALH344" s="104"/>
      <c r="ALI344" s="104"/>
      <c r="ALJ344" s="104"/>
      <c r="ALK344" s="104"/>
      <c r="ALL344" s="104"/>
      <c r="ALM344" s="104"/>
      <c r="ALN344" s="104"/>
      <c r="ALO344" s="104"/>
      <c r="ALP344" s="104"/>
      <c r="ALQ344" s="104"/>
      <c r="ALR344" s="104"/>
      <c r="ALS344" s="104"/>
      <c r="ALT344" s="104"/>
      <c r="ALU344" s="104"/>
      <c r="ALV344" s="104"/>
      <c r="ALW344" s="104"/>
      <c r="ALX344" s="104"/>
      <c r="ALY344" s="104"/>
      <c r="ALZ344" s="104"/>
      <c r="AMA344" s="104"/>
      <c r="AMB344" s="104"/>
      <c r="AMC344" s="104"/>
      <c r="AMD344" s="104"/>
      <c r="AME344" s="104"/>
      <c r="AMF344" s="104"/>
      <c r="AMG344" s="104"/>
      <c r="AMH344" s="104"/>
      <c r="AMI344" s="104"/>
      <c r="AMJ344" s="104"/>
      <c r="AMK344" s="104"/>
      <c r="AML344" s="104"/>
      <c r="AMM344" s="104"/>
      <c r="AMN344" s="104"/>
      <c r="AMO344" s="104"/>
      <c r="AMP344" s="104"/>
      <c r="AMQ344" s="104"/>
      <c r="AMR344" s="104"/>
      <c r="AMS344" s="104"/>
      <c r="AMT344" s="104"/>
      <c r="AMU344" s="104"/>
      <c r="AMV344" s="104"/>
      <c r="AMW344" s="104"/>
      <c r="AMX344" s="104"/>
      <c r="AMY344" s="104"/>
      <c r="AMZ344" s="104"/>
      <c r="ANA344" s="104"/>
      <c r="ANB344" s="104"/>
      <c r="ANC344" s="104"/>
      <c r="AND344" s="104"/>
      <c r="ANE344" s="104"/>
      <c r="ANF344" s="104"/>
      <c r="ANG344" s="104"/>
      <c r="ANH344" s="104"/>
      <c r="ANI344" s="104"/>
      <c r="ANJ344" s="104"/>
      <c r="ANK344" s="104"/>
      <c r="ANL344" s="104"/>
      <c r="ANM344" s="104"/>
      <c r="ANN344" s="104"/>
      <c r="ANO344" s="104"/>
      <c r="ANP344" s="104"/>
      <c r="ANQ344" s="104"/>
      <c r="ANR344" s="104"/>
      <c r="ANS344" s="104"/>
      <c r="ANT344" s="104"/>
      <c r="ANU344" s="104"/>
      <c r="ANV344" s="104"/>
      <c r="ANW344" s="104"/>
      <c r="ANX344" s="104"/>
      <c r="ANY344" s="104"/>
      <c r="ANZ344" s="104"/>
      <c r="AOA344" s="104"/>
      <c r="AOB344" s="104"/>
      <c r="AOC344" s="104"/>
      <c r="AOD344" s="104"/>
      <c r="AOE344" s="104"/>
      <c r="AOF344" s="104"/>
      <c r="AOG344" s="104"/>
      <c r="AOH344" s="104"/>
      <c r="AOI344" s="104"/>
      <c r="AOJ344" s="104"/>
      <c r="AOK344" s="104"/>
      <c r="AOL344" s="104"/>
      <c r="AOM344" s="104"/>
      <c r="AON344" s="104"/>
      <c r="AOO344" s="104"/>
      <c r="AOP344" s="104"/>
      <c r="AOQ344" s="104"/>
      <c r="AOR344" s="104"/>
      <c r="AOS344" s="104"/>
      <c r="AOT344" s="104"/>
      <c r="AOU344" s="104"/>
      <c r="AOV344" s="104"/>
      <c r="AOW344" s="104"/>
      <c r="AOX344" s="104"/>
      <c r="AOY344" s="104"/>
      <c r="AOZ344" s="104"/>
      <c r="APA344" s="104"/>
      <c r="APB344" s="104"/>
      <c r="APC344" s="104"/>
      <c r="APD344" s="104"/>
      <c r="APE344" s="104"/>
      <c r="APF344" s="104"/>
      <c r="APG344" s="104"/>
      <c r="APH344" s="104"/>
      <c r="API344" s="104"/>
      <c r="APJ344" s="104"/>
      <c r="APK344" s="104"/>
      <c r="APL344" s="104"/>
      <c r="APM344" s="104"/>
      <c r="APN344" s="104"/>
      <c r="APO344" s="104"/>
      <c r="APP344" s="104"/>
      <c r="APQ344" s="104"/>
      <c r="APR344" s="104"/>
      <c r="APS344" s="104"/>
      <c r="APT344" s="104"/>
      <c r="APU344" s="104"/>
      <c r="APV344" s="104"/>
      <c r="APW344" s="104"/>
      <c r="APX344" s="104"/>
      <c r="APY344" s="104"/>
      <c r="APZ344" s="104"/>
      <c r="AQA344" s="104"/>
      <c r="AQB344" s="104"/>
      <c r="AQC344" s="104"/>
      <c r="AQD344" s="104"/>
      <c r="AQE344" s="104"/>
      <c r="AQF344" s="104"/>
      <c r="AQG344" s="104"/>
      <c r="AQH344" s="104"/>
      <c r="AQI344" s="104"/>
      <c r="AQJ344" s="104"/>
      <c r="AQK344" s="104"/>
      <c r="AQL344" s="104"/>
      <c r="AQM344" s="104"/>
      <c r="AQN344" s="104"/>
      <c r="AQO344" s="104"/>
      <c r="AQP344" s="104"/>
      <c r="AQQ344" s="104"/>
      <c r="AQR344" s="104"/>
      <c r="AQS344" s="104"/>
      <c r="AQT344" s="104"/>
      <c r="AQU344" s="104"/>
      <c r="AQV344" s="104"/>
      <c r="AQW344" s="104"/>
      <c r="AQX344" s="104"/>
      <c r="AQY344" s="104"/>
      <c r="AQZ344" s="104"/>
      <c r="ARA344" s="104"/>
      <c r="ARB344" s="104"/>
      <c r="ARC344" s="104"/>
      <c r="ARD344" s="104"/>
      <c r="ARE344" s="104"/>
      <c r="ARF344" s="104"/>
      <c r="ARG344" s="104"/>
      <c r="ARH344" s="104"/>
      <c r="ARI344" s="104"/>
      <c r="ARJ344" s="104"/>
      <c r="ARK344" s="104"/>
      <c r="ARL344" s="104"/>
      <c r="ARM344" s="104"/>
      <c r="ARN344" s="104"/>
      <c r="ARO344" s="104"/>
      <c r="ARP344" s="104"/>
      <c r="ARQ344" s="104"/>
      <c r="ARR344" s="104"/>
      <c r="ARS344" s="104"/>
      <c r="ART344" s="104"/>
      <c r="ARU344" s="104"/>
      <c r="ARV344" s="104"/>
      <c r="ARW344" s="104"/>
      <c r="ARX344" s="104"/>
      <c r="ARY344" s="104"/>
      <c r="ARZ344" s="104"/>
      <c r="ASA344" s="104"/>
      <c r="ASB344" s="104"/>
      <c r="ASC344" s="104"/>
      <c r="ASD344" s="104"/>
      <c r="ASE344" s="104"/>
      <c r="ASF344" s="104"/>
      <c r="ASG344" s="104"/>
      <c r="ASH344" s="104"/>
      <c r="ASI344" s="104"/>
      <c r="ASJ344" s="104"/>
      <c r="ASK344" s="104"/>
      <c r="ASL344" s="104"/>
      <c r="ASM344" s="104"/>
      <c r="ASN344" s="104"/>
      <c r="ASO344" s="104"/>
      <c r="ASP344" s="104"/>
      <c r="ASQ344" s="104"/>
      <c r="ASR344" s="104"/>
      <c r="ASS344" s="104"/>
      <c r="AST344" s="104"/>
      <c r="ASU344" s="104"/>
      <c r="ASV344" s="104"/>
      <c r="ASW344" s="104"/>
      <c r="ASX344" s="104"/>
      <c r="ASY344" s="104"/>
      <c r="ASZ344" s="104"/>
      <c r="ATA344" s="104"/>
      <c r="ATB344" s="104"/>
      <c r="ATC344" s="104"/>
      <c r="ATD344" s="104"/>
      <c r="ATE344" s="104"/>
      <c r="ATF344" s="104"/>
      <c r="ATG344" s="104"/>
      <c r="ATH344" s="104"/>
      <c r="ATI344" s="104"/>
      <c r="ATJ344" s="104"/>
      <c r="ATK344" s="104"/>
      <c r="ATL344" s="104"/>
      <c r="ATM344" s="104"/>
      <c r="ATN344" s="104"/>
      <c r="ATO344" s="104"/>
      <c r="ATP344" s="104"/>
      <c r="ATQ344" s="104"/>
      <c r="ATR344" s="104"/>
      <c r="ATS344" s="104"/>
      <c r="ATT344" s="104"/>
      <c r="ATU344" s="104"/>
      <c r="ATV344" s="104"/>
      <c r="ATW344" s="104"/>
      <c r="ATX344" s="104"/>
      <c r="ATY344" s="104"/>
      <c r="ATZ344" s="104"/>
      <c r="AUA344" s="104"/>
      <c r="AUB344" s="104"/>
      <c r="AUC344" s="104"/>
      <c r="AUD344" s="104"/>
      <c r="AUE344" s="104"/>
      <c r="AUF344" s="104"/>
      <c r="AUG344" s="104"/>
      <c r="AUH344" s="104"/>
      <c r="AUI344" s="104"/>
      <c r="AUJ344" s="104"/>
      <c r="AUK344" s="104"/>
      <c r="AUL344" s="104"/>
      <c r="AUM344" s="104"/>
      <c r="AUN344" s="104"/>
      <c r="AUO344" s="104"/>
      <c r="AUP344" s="104"/>
      <c r="AUQ344" s="104"/>
      <c r="AUR344" s="104"/>
      <c r="AUS344" s="104"/>
      <c r="AUT344" s="104"/>
      <c r="AUU344" s="104"/>
      <c r="AUV344" s="104"/>
      <c r="AUW344" s="104"/>
      <c r="AUX344" s="104"/>
      <c r="AUY344" s="104"/>
      <c r="AUZ344" s="104"/>
      <c r="AVA344" s="104"/>
      <c r="AVB344" s="104"/>
      <c r="AVC344" s="104"/>
      <c r="AVD344" s="104"/>
      <c r="AVE344" s="104"/>
      <c r="AVF344" s="104"/>
      <c r="AVG344" s="104"/>
      <c r="AVH344" s="104"/>
      <c r="AVI344" s="104"/>
      <c r="AVJ344" s="104"/>
      <c r="AVK344" s="104"/>
      <c r="AVL344" s="104"/>
      <c r="AVM344" s="104"/>
      <c r="AVN344" s="104"/>
      <c r="AVO344" s="104"/>
      <c r="AVP344" s="104"/>
      <c r="AVQ344" s="104"/>
      <c r="AVR344" s="104"/>
      <c r="AVS344" s="104"/>
      <c r="AVT344" s="104"/>
      <c r="AVU344" s="104"/>
      <c r="AVV344" s="104"/>
      <c r="AVW344" s="104"/>
      <c r="AVX344" s="104"/>
      <c r="AVY344" s="104"/>
      <c r="AVZ344" s="104"/>
      <c r="AWA344" s="104"/>
      <c r="AWB344" s="104"/>
      <c r="AWC344" s="104"/>
      <c r="AWD344" s="104"/>
      <c r="AWE344" s="104"/>
      <c r="AWF344" s="104"/>
      <c r="AWG344" s="104"/>
      <c r="AWH344" s="104"/>
      <c r="AWI344" s="104"/>
      <c r="AWJ344" s="104"/>
      <c r="AWK344" s="104"/>
      <c r="AWL344" s="104"/>
      <c r="AWM344" s="104"/>
      <c r="AWN344" s="104"/>
      <c r="AWO344" s="104"/>
      <c r="AWP344" s="104"/>
      <c r="AWQ344" s="104"/>
      <c r="AWR344" s="104"/>
      <c r="AWS344" s="104"/>
      <c r="AWT344" s="104"/>
      <c r="AWU344" s="104"/>
      <c r="AWV344" s="104"/>
      <c r="AWW344" s="104"/>
      <c r="AWX344" s="104"/>
      <c r="AWY344" s="104"/>
      <c r="AWZ344" s="104"/>
      <c r="AXA344" s="104"/>
      <c r="AXB344" s="104"/>
      <c r="AXC344" s="104"/>
      <c r="AXD344" s="104"/>
      <c r="AXE344" s="104"/>
      <c r="AXF344" s="104"/>
      <c r="AXG344" s="104"/>
      <c r="AXH344" s="104"/>
      <c r="AXI344" s="104"/>
      <c r="AXJ344" s="104"/>
      <c r="AXK344" s="104"/>
      <c r="AXL344" s="104"/>
      <c r="AXM344" s="104"/>
      <c r="AXN344" s="104"/>
      <c r="AXO344" s="104"/>
      <c r="AXP344" s="104"/>
      <c r="AXQ344" s="104"/>
      <c r="AXR344" s="104"/>
      <c r="AXS344" s="104"/>
      <c r="AXT344" s="104"/>
      <c r="AXU344" s="104"/>
      <c r="AXV344" s="104"/>
      <c r="AXW344" s="104"/>
      <c r="AXX344" s="104"/>
      <c r="AXY344" s="104"/>
      <c r="AXZ344" s="104"/>
      <c r="AYA344" s="104"/>
      <c r="AYB344" s="104"/>
      <c r="AYC344" s="104"/>
      <c r="AYD344" s="104"/>
      <c r="AYE344" s="104"/>
      <c r="AYF344" s="104"/>
      <c r="AYG344" s="104"/>
      <c r="AYH344" s="104"/>
      <c r="AYI344" s="104"/>
      <c r="AYJ344" s="104"/>
      <c r="AYK344" s="104"/>
      <c r="AYL344" s="104"/>
      <c r="AYM344" s="104"/>
      <c r="AYN344" s="104"/>
      <c r="AYO344" s="104"/>
      <c r="AYP344" s="104"/>
      <c r="AYQ344" s="104"/>
      <c r="AYR344" s="104"/>
      <c r="AYS344" s="104"/>
      <c r="AYT344" s="104"/>
      <c r="AYU344" s="104"/>
      <c r="AYV344" s="104"/>
      <c r="AYW344" s="104"/>
      <c r="AYX344" s="104"/>
      <c r="AYY344" s="104"/>
      <c r="AYZ344" s="104"/>
      <c r="AZA344" s="104"/>
      <c r="AZB344" s="104"/>
      <c r="AZC344" s="104"/>
      <c r="AZD344" s="104"/>
      <c r="AZE344" s="104"/>
      <c r="AZF344" s="104"/>
      <c r="AZG344" s="104"/>
      <c r="AZH344" s="104"/>
      <c r="AZI344" s="104"/>
      <c r="AZJ344" s="104"/>
      <c r="AZK344" s="104"/>
      <c r="AZL344" s="104"/>
      <c r="AZM344" s="104"/>
      <c r="AZN344" s="104"/>
      <c r="AZO344" s="104"/>
      <c r="AZP344" s="104"/>
      <c r="AZQ344" s="104"/>
      <c r="AZR344" s="104"/>
      <c r="AZS344" s="104"/>
      <c r="AZT344" s="104"/>
      <c r="AZU344" s="104"/>
      <c r="AZV344" s="104"/>
      <c r="AZW344" s="104"/>
      <c r="AZX344" s="104"/>
      <c r="AZY344" s="104"/>
      <c r="AZZ344" s="104"/>
      <c r="BAA344" s="104"/>
      <c r="BAB344" s="104"/>
      <c r="BAC344" s="104"/>
      <c r="BAD344" s="104"/>
      <c r="BAE344" s="104"/>
      <c r="BAF344" s="104"/>
      <c r="BAG344" s="104"/>
      <c r="BAH344" s="104"/>
      <c r="BAI344" s="104"/>
      <c r="BAJ344" s="104"/>
      <c r="BAK344" s="104"/>
      <c r="BAL344" s="104"/>
      <c r="BAM344" s="104"/>
      <c r="BAN344" s="104"/>
      <c r="BAO344" s="104"/>
      <c r="BAP344" s="104"/>
      <c r="BAQ344" s="104"/>
      <c r="BAR344" s="104"/>
      <c r="BAS344" s="104"/>
      <c r="BAT344" s="104"/>
      <c r="BAU344" s="104"/>
      <c r="BAV344" s="104"/>
      <c r="BAW344" s="104"/>
      <c r="BAX344" s="104"/>
      <c r="BAY344" s="104"/>
      <c r="BAZ344" s="104"/>
      <c r="BBA344" s="104"/>
      <c r="BBB344" s="104"/>
      <c r="BBC344" s="104"/>
      <c r="BBD344" s="104"/>
      <c r="BBE344" s="104"/>
      <c r="BBF344" s="104"/>
      <c r="BBG344" s="104"/>
      <c r="BBH344" s="104"/>
      <c r="BBI344" s="104"/>
      <c r="BBJ344" s="104"/>
      <c r="BBK344" s="104"/>
      <c r="BBL344" s="104"/>
      <c r="BBM344" s="104"/>
      <c r="BBN344" s="104"/>
      <c r="BBO344" s="104"/>
      <c r="BBP344" s="104"/>
      <c r="BBQ344" s="104"/>
      <c r="BBR344" s="104"/>
      <c r="BBS344" s="104"/>
      <c r="BBT344" s="104"/>
      <c r="BBU344" s="104"/>
      <c r="BBV344" s="104"/>
      <c r="BBW344" s="104"/>
      <c r="BBX344" s="104"/>
      <c r="BBY344" s="104"/>
      <c r="BBZ344" s="104"/>
      <c r="BCA344" s="104"/>
      <c r="BCB344" s="104"/>
      <c r="BCC344" s="104"/>
      <c r="BCD344" s="104"/>
      <c r="BCE344" s="104"/>
      <c r="BCF344" s="104"/>
      <c r="BCG344" s="104"/>
      <c r="BCH344" s="104"/>
      <c r="BCI344" s="104"/>
      <c r="BCJ344" s="104"/>
      <c r="BCK344" s="104"/>
      <c r="BCL344" s="104"/>
      <c r="BCM344" s="104"/>
      <c r="BCN344" s="104"/>
      <c r="BCO344" s="104"/>
      <c r="BCP344" s="104"/>
      <c r="BCQ344" s="104"/>
      <c r="BCR344" s="104"/>
      <c r="BCS344" s="104"/>
      <c r="BCT344" s="104"/>
      <c r="BCU344" s="104"/>
      <c r="BCV344" s="104"/>
      <c r="BCW344" s="104"/>
      <c r="BCX344" s="104"/>
      <c r="BCY344" s="104"/>
      <c r="BCZ344" s="104"/>
      <c r="BDA344" s="104"/>
      <c r="BDB344" s="104"/>
      <c r="BDC344" s="104"/>
      <c r="BDD344" s="104"/>
      <c r="BDE344" s="104"/>
      <c r="BDF344" s="104"/>
      <c r="BDG344" s="104"/>
      <c r="BDH344" s="104"/>
      <c r="BDI344" s="104"/>
      <c r="BDJ344" s="104"/>
      <c r="BDK344" s="104"/>
      <c r="BDL344" s="104"/>
      <c r="BDM344" s="104"/>
      <c r="BDN344" s="104"/>
      <c r="BDO344" s="104"/>
      <c r="BDP344" s="104"/>
      <c r="BDQ344" s="104"/>
      <c r="BDR344" s="104"/>
      <c r="BDS344" s="104"/>
      <c r="BDT344" s="104"/>
      <c r="BDU344" s="104"/>
      <c r="BDV344" s="104"/>
      <c r="BDW344" s="104"/>
      <c r="BDX344" s="104"/>
      <c r="BDY344" s="104"/>
      <c r="BDZ344" s="104"/>
      <c r="BEA344" s="104"/>
      <c r="BEB344" s="104"/>
      <c r="BEC344" s="104"/>
      <c r="BED344" s="104"/>
      <c r="BEE344" s="104"/>
      <c r="BEF344" s="104"/>
      <c r="BEG344" s="104"/>
      <c r="BEH344" s="104"/>
      <c r="BEI344" s="104"/>
      <c r="BEJ344" s="104"/>
      <c r="BEK344" s="104"/>
      <c r="BEL344" s="104"/>
      <c r="BEM344" s="104"/>
      <c r="BEN344" s="104"/>
      <c r="BEO344" s="104"/>
      <c r="BEP344" s="104"/>
      <c r="BEQ344" s="104"/>
      <c r="BER344" s="104"/>
      <c r="BES344" s="104"/>
      <c r="BET344" s="104"/>
      <c r="BEU344" s="104"/>
      <c r="BEV344" s="104"/>
      <c r="BEW344" s="104"/>
      <c r="BEX344" s="104"/>
      <c r="BEY344" s="104"/>
      <c r="BEZ344" s="104"/>
      <c r="BFA344" s="104"/>
      <c r="BFB344" s="104"/>
      <c r="BFC344" s="104"/>
      <c r="BFD344" s="104"/>
      <c r="BFE344" s="104"/>
      <c r="BFF344" s="104"/>
      <c r="BFG344" s="104"/>
      <c r="BFH344" s="104"/>
      <c r="BFI344" s="104"/>
      <c r="BFJ344" s="104"/>
      <c r="BFK344" s="104"/>
      <c r="BFL344" s="104"/>
      <c r="BFM344" s="104"/>
      <c r="BFN344" s="104"/>
      <c r="BFO344" s="104"/>
      <c r="BFP344" s="104"/>
      <c r="BFQ344" s="104"/>
      <c r="BFR344" s="104"/>
      <c r="BFS344" s="104"/>
      <c r="BFT344" s="104"/>
      <c r="BFU344" s="104"/>
      <c r="BFV344" s="104"/>
      <c r="BFW344" s="104"/>
      <c r="BFX344" s="104"/>
      <c r="BFY344" s="104"/>
      <c r="BFZ344" s="104"/>
      <c r="BGA344" s="104"/>
      <c r="BGB344" s="104"/>
      <c r="BGC344" s="104"/>
      <c r="BGD344" s="104"/>
      <c r="BGE344" s="104"/>
      <c r="BGF344" s="104"/>
      <c r="BGG344" s="104"/>
      <c r="BGH344" s="104"/>
      <c r="BGI344" s="104"/>
      <c r="BGJ344" s="104"/>
      <c r="BGK344" s="104"/>
      <c r="BGL344" s="104"/>
      <c r="BGM344" s="104"/>
      <c r="BGN344" s="104"/>
      <c r="BGO344" s="104"/>
      <c r="BGP344" s="104"/>
      <c r="BGQ344" s="104"/>
      <c r="BGR344" s="104"/>
      <c r="BGS344" s="104"/>
      <c r="BGT344" s="104"/>
      <c r="BGU344" s="104"/>
      <c r="BGV344" s="104"/>
      <c r="BGW344" s="104"/>
      <c r="BGX344" s="104"/>
      <c r="BGY344" s="104"/>
      <c r="BGZ344" s="104"/>
      <c r="BHA344" s="104"/>
      <c r="BHB344" s="104"/>
      <c r="BHC344" s="104"/>
      <c r="BHD344" s="104"/>
      <c r="BHE344" s="104"/>
      <c r="BHF344" s="104"/>
      <c r="BHG344" s="104"/>
      <c r="BHH344" s="104"/>
      <c r="BHI344" s="104"/>
      <c r="BHJ344" s="104"/>
      <c r="BHK344" s="104"/>
      <c r="BHL344" s="104"/>
      <c r="BHM344" s="104"/>
      <c r="BHN344" s="104"/>
      <c r="BHO344" s="104"/>
      <c r="BHP344" s="104"/>
      <c r="BHQ344" s="104"/>
      <c r="BHR344" s="104"/>
      <c r="BHS344" s="104"/>
      <c r="BHT344" s="104"/>
      <c r="BHU344" s="104"/>
      <c r="BHV344" s="104"/>
      <c r="BHW344" s="104"/>
      <c r="BHX344" s="104"/>
      <c r="BHY344" s="104"/>
      <c r="BHZ344" s="104"/>
      <c r="BIA344" s="104"/>
      <c r="BIB344" s="104"/>
      <c r="BIC344" s="104"/>
      <c r="BID344" s="104"/>
      <c r="BIE344" s="104"/>
      <c r="BIF344" s="104"/>
      <c r="BIG344" s="104"/>
      <c r="BIH344" s="104"/>
      <c r="BII344" s="104"/>
      <c r="BIJ344" s="104"/>
      <c r="BIK344" s="104"/>
      <c r="BIL344" s="104"/>
      <c r="BIM344" s="104"/>
      <c r="BIN344" s="104"/>
      <c r="BIO344" s="104"/>
      <c r="BIP344" s="104"/>
      <c r="BIQ344" s="104"/>
      <c r="BIR344" s="104"/>
      <c r="BIS344" s="104"/>
      <c r="BIT344" s="104"/>
      <c r="BIU344" s="104"/>
      <c r="BIV344" s="104"/>
      <c r="BIW344" s="104"/>
      <c r="BIX344" s="104"/>
      <c r="BIY344" s="104"/>
      <c r="BIZ344" s="104"/>
      <c r="BJA344" s="104"/>
      <c r="BJB344" s="104"/>
      <c r="BJC344" s="104"/>
      <c r="BJD344" s="104"/>
      <c r="BJE344" s="104"/>
      <c r="BJF344" s="104"/>
      <c r="BJG344" s="104"/>
      <c r="BJH344" s="104"/>
      <c r="BJI344" s="104"/>
      <c r="BJJ344" s="104"/>
      <c r="BJK344" s="104"/>
      <c r="BJL344" s="104"/>
      <c r="BJM344" s="104"/>
      <c r="BJN344" s="104"/>
      <c r="BJO344" s="104"/>
      <c r="BJP344" s="104"/>
      <c r="BJQ344" s="104"/>
      <c r="BJR344" s="104"/>
      <c r="BJS344" s="104"/>
      <c r="BJT344" s="104"/>
      <c r="BJU344" s="104"/>
      <c r="BJV344" s="104"/>
      <c r="BJW344" s="104"/>
      <c r="BJX344" s="104"/>
      <c r="BJY344" s="104"/>
      <c r="BJZ344" s="104"/>
      <c r="BKA344" s="104"/>
      <c r="BKB344" s="104"/>
      <c r="BKC344" s="104"/>
      <c r="BKD344" s="104"/>
      <c r="BKE344" s="104"/>
      <c r="BKF344" s="104"/>
      <c r="BKG344" s="104"/>
      <c r="BKH344" s="104"/>
      <c r="BKI344" s="104"/>
      <c r="BKJ344" s="104"/>
      <c r="BKK344" s="104"/>
      <c r="BKL344" s="104"/>
      <c r="BKM344" s="104"/>
      <c r="BKN344" s="104"/>
      <c r="BKO344" s="104"/>
      <c r="BKP344" s="104"/>
      <c r="BKQ344" s="104"/>
      <c r="BKR344" s="104"/>
      <c r="BKS344" s="104"/>
      <c r="BKT344" s="104"/>
      <c r="BKU344" s="104"/>
      <c r="BKV344" s="104"/>
      <c r="BKW344" s="104"/>
      <c r="BKX344" s="104"/>
      <c r="BKY344" s="104"/>
      <c r="BKZ344" s="104"/>
      <c r="BLA344" s="104"/>
      <c r="BLB344" s="104"/>
      <c r="BLC344" s="104"/>
      <c r="BLD344" s="104"/>
      <c r="BLE344" s="104"/>
      <c r="BLF344" s="104"/>
      <c r="BLG344" s="104"/>
      <c r="BLH344" s="104"/>
      <c r="BLI344" s="104"/>
      <c r="BLJ344" s="104"/>
      <c r="BLK344" s="104"/>
      <c r="BLL344" s="104"/>
      <c r="BLM344" s="104"/>
      <c r="BLN344" s="104"/>
      <c r="BLO344" s="104"/>
      <c r="BLP344" s="104"/>
      <c r="BLQ344" s="104"/>
      <c r="BLR344" s="104"/>
      <c r="BLS344" s="104"/>
      <c r="BLT344" s="104"/>
      <c r="BLU344" s="104"/>
      <c r="BLV344" s="104"/>
      <c r="BLW344" s="104"/>
      <c r="BLX344" s="104"/>
      <c r="BLY344" s="104"/>
      <c r="BLZ344" s="104"/>
      <c r="BMA344" s="104"/>
      <c r="BMB344" s="104"/>
      <c r="BMC344" s="104"/>
      <c r="BMD344" s="104"/>
      <c r="BME344" s="104"/>
      <c r="BMF344" s="104"/>
      <c r="BMG344" s="104"/>
      <c r="BMH344" s="104"/>
      <c r="BMI344" s="104"/>
      <c r="BMJ344" s="104"/>
      <c r="BMK344" s="104"/>
      <c r="BML344" s="104"/>
      <c r="BMM344" s="104"/>
      <c r="BMN344" s="104"/>
      <c r="BMO344" s="104"/>
      <c r="BMP344" s="104"/>
      <c r="BMQ344" s="104"/>
      <c r="BMR344" s="104"/>
      <c r="BMS344" s="104"/>
      <c r="BMT344" s="104"/>
      <c r="BMU344" s="104"/>
      <c r="BMV344" s="104"/>
      <c r="BMW344" s="104"/>
      <c r="BMX344" s="104"/>
      <c r="BMY344" s="104"/>
      <c r="BMZ344" s="104"/>
      <c r="BNA344" s="104"/>
      <c r="BNB344" s="104"/>
      <c r="BNC344" s="104"/>
      <c r="BND344" s="104"/>
      <c r="BNE344" s="104"/>
      <c r="BNF344" s="104"/>
      <c r="BNG344" s="104"/>
      <c r="BNH344" s="104"/>
      <c r="BNI344" s="104"/>
      <c r="BNJ344" s="104"/>
      <c r="BNK344" s="104"/>
      <c r="BNL344" s="104"/>
      <c r="BNM344" s="104"/>
      <c r="BNN344" s="104"/>
      <c r="BNO344" s="104"/>
      <c r="BNP344" s="104"/>
      <c r="BNQ344" s="104"/>
      <c r="BNR344" s="104"/>
      <c r="BNS344" s="104"/>
      <c r="BNT344" s="104"/>
      <c r="BNU344" s="104"/>
      <c r="BNV344" s="104"/>
      <c r="BNW344" s="104"/>
      <c r="BNX344" s="104"/>
      <c r="BNY344" s="104"/>
      <c r="BNZ344" s="104"/>
      <c r="BOA344" s="104"/>
      <c r="BOB344" s="104"/>
      <c r="BOC344" s="104"/>
      <c r="BOD344" s="104"/>
      <c r="BOE344" s="104"/>
      <c r="BOF344" s="104"/>
      <c r="BOG344" s="104"/>
      <c r="BOH344" s="104"/>
      <c r="BOI344" s="104"/>
      <c r="BOJ344" s="104"/>
      <c r="BOK344" s="104"/>
      <c r="BOL344" s="104"/>
      <c r="BOM344" s="104"/>
      <c r="BON344" s="104"/>
      <c r="BOO344" s="104"/>
      <c r="BOP344" s="104"/>
      <c r="BOQ344" s="104"/>
      <c r="BOR344" s="104"/>
      <c r="BOS344" s="104"/>
      <c r="BOT344" s="104"/>
      <c r="BOU344" s="104"/>
      <c r="BOV344" s="104"/>
      <c r="BOW344" s="104"/>
      <c r="BOX344" s="104"/>
      <c r="BOY344" s="104"/>
      <c r="BOZ344" s="104"/>
      <c r="BPA344" s="104"/>
      <c r="BPB344" s="104"/>
      <c r="BPC344" s="104"/>
      <c r="BPD344" s="104"/>
      <c r="BPE344" s="104"/>
      <c r="BPF344" s="104"/>
      <c r="BPG344" s="104"/>
      <c r="BPH344" s="104"/>
      <c r="BPI344" s="104"/>
      <c r="BPJ344" s="104"/>
      <c r="BPK344" s="104"/>
      <c r="BPL344" s="104"/>
      <c r="BPM344" s="104"/>
      <c r="BPN344" s="104"/>
      <c r="BPO344" s="104"/>
      <c r="BPP344" s="104"/>
      <c r="BPQ344" s="104"/>
      <c r="BPR344" s="104"/>
      <c r="BPS344" s="104"/>
      <c r="BPT344" s="104"/>
      <c r="BPU344" s="104"/>
      <c r="BPV344" s="104"/>
      <c r="BPW344" s="104"/>
      <c r="BPX344" s="104"/>
      <c r="BPY344" s="104"/>
      <c r="BPZ344" s="104"/>
      <c r="BQA344" s="104"/>
      <c r="BQB344" s="104"/>
      <c r="BQC344" s="104"/>
      <c r="BQD344" s="104"/>
      <c r="BQE344" s="104"/>
      <c r="BQF344" s="104"/>
      <c r="BQG344" s="104"/>
      <c r="BQH344" s="104"/>
      <c r="BQI344" s="104"/>
      <c r="BQJ344" s="104"/>
      <c r="BQK344" s="104"/>
      <c r="BQL344" s="104"/>
      <c r="BQM344" s="104"/>
      <c r="BQN344" s="104"/>
      <c r="BQO344" s="104"/>
      <c r="BQP344" s="104"/>
      <c r="BQQ344" s="104"/>
      <c r="BQR344" s="104"/>
      <c r="BQS344" s="104"/>
      <c r="BQT344" s="104"/>
      <c r="BQU344" s="104"/>
      <c r="BQV344" s="104"/>
      <c r="BQW344" s="104"/>
      <c r="BQX344" s="104"/>
      <c r="BQY344" s="104"/>
      <c r="BQZ344" s="104"/>
      <c r="BRA344" s="104"/>
      <c r="BRB344" s="104"/>
      <c r="BRC344" s="104"/>
      <c r="BRD344" s="104"/>
      <c r="BRE344" s="104"/>
      <c r="BRF344" s="104"/>
      <c r="BRG344" s="104"/>
      <c r="BRH344" s="104"/>
      <c r="BRI344" s="104"/>
      <c r="BRJ344" s="104"/>
      <c r="BRK344" s="104"/>
      <c r="BRL344" s="104"/>
      <c r="BRM344" s="104"/>
      <c r="BRN344" s="104"/>
      <c r="BRO344" s="104"/>
      <c r="BRP344" s="104"/>
      <c r="BRQ344" s="104"/>
      <c r="BRR344" s="104"/>
      <c r="BRS344" s="104"/>
      <c r="BRT344" s="104"/>
      <c r="BRU344" s="104"/>
      <c r="BRV344" s="104"/>
      <c r="BRW344" s="104"/>
      <c r="BRX344" s="104"/>
      <c r="BRY344" s="104"/>
      <c r="BRZ344" s="104"/>
      <c r="BSA344" s="104"/>
      <c r="BSB344" s="104"/>
      <c r="BSC344" s="104"/>
      <c r="BSD344" s="104"/>
      <c r="BSE344" s="104"/>
      <c r="BSF344" s="104"/>
      <c r="BSG344" s="104"/>
      <c r="BSH344" s="104"/>
      <c r="BSI344" s="104"/>
      <c r="BSJ344" s="104"/>
      <c r="BSK344" s="104"/>
      <c r="BSL344" s="104"/>
      <c r="BSM344" s="104"/>
      <c r="BSN344" s="104"/>
      <c r="BSO344" s="104"/>
      <c r="BSP344" s="104"/>
      <c r="BSQ344" s="104"/>
      <c r="BSR344" s="104"/>
      <c r="BSS344" s="104"/>
      <c r="BST344" s="104"/>
      <c r="BSU344" s="104"/>
      <c r="BSV344" s="104"/>
      <c r="BSW344" s="104"/>
      <c r="BSX344" s="104"/>
      <c r="BSY344" s="104"/>
      <c r="BSZ344" s="104"/>
      <c r="BTA344" s="104"/>
      <c r="BTB344" s="104"/>
      <c r="BTC344" s="104"/>
      <c r="BTD344" s="104"/>
      <c r="BTE344" s="104"/>
      <c r="BTF344" s="104"/>
      <c r="BTG344" s="104"/>
      <c r="BTH344" s="104"/>
      <c r="BTI344" s="104"/>
      <c r="BTJ344" s="104"/>
      <c r="BTK344" s="104"/>
      <c r="BTL344" s="104"/>
      <c r="BTM344" s="104"/>
      <c r="BTN344" s="104"/>
      <c r="BTO344" s="104"/>
      <c r="BTP344" s="104"/>
      <c r="BTQ344" s="104"/>
      <c r="BTR344" s="104"/>
      <c r="BTS344" s="104"/>
      <c r="BTT344" s="104"/>
      <c r="BTU344" s="104"/>
      <c r="BTV344" s="104"/>
      <c r="BTW344" s="104"/>
      <c r="BTX344" s="104"/>
      <c r="BTY344" s="104"/>
      <c r="BTZ344" s="104"/>
      <c r="BUA344" s="104"/>
      <c r="BUB344" s="104"/>
      <c r="BUC344" s="104"/>
      <c r="BUD344" s="104"/>
      <c r="BUE344" s="104"/>
      <c r="BUF344" s="104"/>
      <c r="BUG344" s="104"/>
      <c r="BUH344" s="104"/>
      <c r="BUI344" s="104"/>
      <c r="BUJ344" s="104"/>
      <c r="BUK344" s="104"/>
      <c r="BUL344" s="104"/>
      <c r="BUM344" s="104"/>
      <c r="BUN344" s="104"/>
      <c r="BUO344" s="104"/>
      <c r="BUP344" s="104"/>
      <c r="BUQ344" s="104"/>
      <c r="BUR344" s="104"/>
      <c r="BUS344" s="104"/>
      <c r="BUT344" s="104"/>
      <c r="BUU344" s="104"/>
      <c r="BUV344" s="104"/>
      <c r="BUW344" s="104"/>
      <c r="BUX344" s="104"/>
      <c r="BUY344" s="104"/>
      <c r="BUZ344" s="104"/>
      <c r="BVA344" s="104"/>
      <c r="BVB344" s="104"/>
      <c r="BVC344" s="104"/>
      <c r="BVD344" s="104"/>
      <c r="BVE344" s="104"/>
      <c r="BVF344" s="104"/>
      <c r="BVG344" s="104"/>
      <c r="BVH344" s="104"/>
      <c r="BVI344" s="104"/>
      <c r="BVJ344" s="104"/>
      <c r="BVK344" s="104"/>
      <c r="BVL344" s="104"/>
      <c r="BVM344" s="104"/>
      <c r="BVN344" s="104"/>
      <c r="BVO344" s="104"/>
      <c r="BVP344" s="104"/>
      <c r="BVQ344" s="104"/>
      <c r="BVR344" s="104"/>
      <c r="BVS344" s="104"/>
      <c r="BVT344" s="104"/>
      <c r="BVU344" s="104"/>
      <c r="BVV344" s="104"/>
      <c r="BVW344" s="104"/>
      <c r="BVX344" s="104"/>
      <c r="BVY344" s="104"/>
      <c r="BVZ344" s="104"/>
      <c r="BWA344" s="104"/>
      <c r="BWB344" s="104"/>
      <c r="BWC344" s="104"/>
      <c r="BWD344" s="104"/>
      <c r="BWE344" s="104"/>
      <c r="BWF344" s="104"/>
      <c r="BWG344" s="104"/>
      <c r="BWH344" s="104"/>
      <c r="BWI344" s="104"/>
      <c r="BWJ344" s="104"/>
      <c r="BWK344" s="104"/>
      <c r="BWL344" s="104"/>
      <c r="BWM344" s="104"/>
      <c r="BWN344" s="104"/>
      <c r="BWO344" s="104"/>
      <c r="BWP344" s="104"/>
      <c r="BWQ344" s="104"/>
      <c r="BWR344" s="104"/>
      <c r="BWS344" s="104"/>
      <c r="BWT344" s="104"/>
      <c r="BWU344" s="104"/>
      <c r="BWV344" s="104"/>
      <c r="BWW344" s="104"/>
      <c r="BWX344" s="104"/>
      <c r="BWY344" s="104"/>
      <c r="BWZ344" s="104"/>
      <c r="BXA344" s="104"/>
      <c r="BXB344" s="104"/>
      <c r="BXC344" s="104"/>
      <c r="BXD344" s="104"/>
      <c r="BXE344" s="104"/>
      <c r="BXF344" s="104"/>
      <c r="BXG344" s="104"/>
      <c r="BXH344" s="104"/>
      <c r="BXI344" s="104"/>
      <c r="BXJ344" s="104"/>
      <c r="BXK344" s="104"/>
      <c r="BXL344" s="104"/>
      <c r="BXM344" s="104"/>
      <c r="BXN344" s="104"/>
      <c r="BXO344" s="104"/>
      <c r="BXP344" s="104"/>
      <c r="BXQ344" s="104"/>
      <c r="BXR344" s="104"/>
      <c r="BXS344" s="104"/>
      <c r="BXT344" s="104"/>
      <c r="BXU344" s="104"/>
      <c r="BXV344" s="104"/>
      <c r="BXW344" s="104"/>
      <c r="BXX344" s="104"/>
      <c r="BXY344" s="104"/>
      <c r="BXZ344" s="104"/>
      <c r="BYA344" s="104"/>
      <c r="BYB344" s="104"/>
      <c r="BYC344" s="104"/>
      <c r="BYD344" s="104"/>
      <c r="BYE344" s="104"/>
      <c r="BYF344" s="104"/>
      <c r="BYG344" s="104"/>
      <c r="BYH344" s="104"/>
      <c r="BYI344" s="104"/>
      <c r="BYJ344" s="104"/>
      <c r="BYK344" s="104"/>
      <c r="BYL344" s="104"/>
      <c r="BYM344" s="104"/>
      <c r="BYN344" s="104"/>
      <c r="BYO344" s="104"/>
      <c r="BYP344" s="104"/>
      <c r="BYQ344" s="104"/>
      <c r="BYR344" s="104"/>
      <c r="BYS344" s="104"/>
      <c r="BYT344" s="104"/>
      <c r="BYU344" s="104"/>
      <c r="BYV344" s="104"/>
      <c r="BYW344" s="104"/>
      <c r="BYX344" s="104"/>
      <c r="BYY344" s="104"/>
      <c r="BYZ344" s="104"/>
      <c r="BZA344" s="104"/>
      <c r="BZB344" s="104"/>
      <c r="BZC344" s="104"/>
      <c r="BZD344" s="104"/>
      <c r="BZE344" s="104"/>
      <c r="BZF344" s="104"/>
      <c r="BZG344" s="104"/>
      <c r="BZH344" s="104"/>
      <c r="BZI344" s="104"/>
      <c r="BZJ344" s="104"/>
      <c r="BZK344" s="104"/>
      <c r="BZL344" s="104"/>
      <c r="BZM344" s="104"/>
      <c r="BZN344" s="104"/>
      <c r="BZO344" s="104"/>
      <c r="BZP344" s="104"/>
      <c r="BZQ344" s="104"/>
      <c r="BZR344" s="104"/>
      <c r="BZS344" s="104"/>
      <c r="BZT344" s="104"/>
      <c r="BZU344" s="104"/>
      <c r="BZV344" s="104"/>
      <c r="BZW344" s="104"/>
      <c r="BZX344" s="104"/>
      <c r="BZY344" s="104"/>
      <c r="BZZ344" s="104"/>
      <c r="CAA344" s="104"/>
      <c r="CAB344" s="104"/>
      <c r="CAC344" s="104"/>
      <c r="CAD344" s="104"/>
      <c r="CAE344" s="104"/>
      <c r="CAF344" s="104"/>
      <c r="CAG344" s="104"/>
      <c r="CAH344" s="104"/>
      <c r="CAI344" s="104"/>
      <c r="CAJ344" s="104"/>
      <c r="CAK344" s="104"/>
      <c r="CAL344" s="104"/>
      <c r="CAM344" s="104"/>
      <c r="CAN344" s="104"/>
      <c r="CAO344" s="104"/>
      <c r="CAP344" s="104"/>
      <c r="CAQ344" s="104"/>
      <c r="CAR344" s="104"/>
      <c r="CAS344" s="104"/>
      <c r="CAT344" s="104"/>
      <c r="CAU344" s="104"/>
      <c r="CAV344" s="104"/>
      <c r="CAW344" s="104"/>
      <c r="CAX344" s="104"/>
      <c r="CAY344" s="104"/>
      <c r="CAZ344" s="104"/>
      <c r="CBA344" s="104"/>
      <c r="CBB344" s="104"/>
      <c r="CBC344" s="104"/>
      <c r="CBD344" s="104"/>
      <c r="CBE344" s="104"/>
      <c r="CBF344" s="104"/>
      <c r="CBG344" s="104"/>
      <c r="CBH344" s="104"/>
      <c r="CBI344" s="104"/>
      <c r="CBJ344" s="104"/>
      <c r="CBK344" s="104"/>
      <c r="CBL344" s="104"/>
      <c r="CBM344" s="104"/>
      <c r="CBN344" s="104"/>
      <c r="CBO344" s="104"/>
      <c r="CBP344" s="104"/>
      <c r="CBQ344" s="104"/>
      <c r="CBR344" s="104"/>
      <c r="CBS344" s="104"/>
      <c r="CBT344" s="104"/>
      <c r="CBU344" s="104"/>
      <c r="CBV344" s="104"/>
      <c r="CBW344" s="104"/>
      <c r="CBX344" s="104"/>
      <c r="CBY344" s="104"/>
      <c r="CBZ344" s="104"/>
      <c r="CCA344" s="104"/>
      <c r="CCB344" s="104"/>
      <c r="CCC344" s="104"/>
      <c r="CCD344" s="104"/>
      <c r="CCE344" s="104"/>
      <c r="CCF344" s="104"/>
      <c r="CCG344" s="104"/>
      <c r="CCH344" s="104"/>
      <c r="CCI344" s="104"/>
      <c r="CCJ344" s="104"/>
      <c r="CCK344" s="104"/>
      <c r="CCL344" s="104"/>
      <c r="CCM344" s="104"/>
      <c r="CCN344" s="104"/>
      <c r="CCO344" s="104"/>
      <c r="CCP344" s="104"/>
      <c r="CCQ344" s="104"/>
      <c r="CCR344" s="104"/>
      <c r="CCS344" s="104"/>
      <c r="CCT344" s="104"/>
      <c r="CCU344" s="104"/>
      <c r="CCV344" s="104"/>
      <c r="CCW344" s="104"/>
      <c r="CCX344" s="104"/>
      <c r="CCY344" s="104"/>
      <c r="CCZ344" s="104"/>
      <c r="CDA344" s="104"/>
      <c r="CDB344" s="104"/>
      <c r="CDC344" s="104"/>
      <c r="CDD344" s="104"/>
      <c r="CDE344" s="104"/>
      <c r="CDF344" s="104"/>
      <c r="CDG344" s="104"/>
      <c r="CDH344" s="104"/>
      <c r="CDI344" s="104"/>
      <c r="CDJ344" s="104"/>
      <c r="CDK344" s="104"/>
      <c r="CDL344" s="104"/>
      <c r="CDM344" s="104"/>
      <c r="CDN344" s="104"/>
      <c r="CDO344" s="104"/>
      <c r="CDP344" s="104"/>
      <c r="CDQ344" s="104"/>
      <c r="CDR344" s="104"/>
      <c r="CDS344" s="104"/>
      <c r="CDT344" s="104"/>
      <c r="CDU344" s="104"/>
      <c r="CDV344" s="104"/>
      <c r="CDW344" s="104"/>
      <c r="CDX344" s="104"/>
      <c r="CDY344" s="104"/>
      <c r="CDZ344" s="104"/>
      <c r="CEA344" s="104"/>
      <c r="CEB344" s="104"/>
      <c r="CEC344" s="104"/>
      <c r="CED344" s="104"/>
      <c r="CEE344" s="104"/>
      <c r="CEF344" s="104"/>
      <c r="CEG344" s="104"/>
      <c r="CEH344" s="104"/>
      <c r="CEI344" s="104"/>
      <c r="CEJ344" s="104"/>
      <c r="CEK344" s="104"/>
      <c r="CEL344" s="104"/>
      <c r="CEM344" s="104"/>
      <c r="CEN344" s="104"/>
      <c r="CEO344" s="104"/>
      <c r="CEP344" s="104"/>
      <c r="CEQ344" s="104"/>
      <c r="CER344" s="104"/>
      <c r="CES344" s="104"/>
      <c r="CET344" s="104"/>
      <c r="CEU344" s="104"/>
      <c r="CEV344" s="104"/>
      <c r="CEW344" s="104"/>
      <c r="CEX344" s="104"/>
      <c r="CEY344" s="104"/>
      <c r="CEZ344" s="104"/>
      <c r="CFA344" s="104"/>
      <c r="CFB344" s="104"/>
      <c r="CFC344" s="104"/>
      <c r="CFD344" s="104"/>
      <c r="CFE344" s="104"/>
      <c r="CFF344" s="104"/>
      <c r="CFG344" s="104"/>
      <c r="CFH344" s="104"/>
      <c r="CFI344" s="104"/>
      <c r="CFJ344" s="104"/>
      <c r="CFK344" s="104"/>
      <c r="CFL344" s="104"/>
      <c r="CFM344" s="104"/>
      <c r="CFN344" s="104"/>
      <c r="CFO344" s="104"/>
      <c r="CFP344" s="104"/>
      <c r="CFQ344" s="104"/>
      <c r="CFR344" s="104"/>
      <c r="CFS344" s="104"/>
      <c r="CFT344" s="104"/>
      <c r="CFU344" s="104"/>
      <c r="CFV344" s="104"/>
      <c r="CFW344" s="104"/>
      <c r="CFX344" s="104"/>
      <c r="CFY344" s="104"/>
      <c r="CFZ344" s="104"/>
      <c r="CGA344" s="104"/>
      <c r="CGB344" s="104"/>
      <c r="CGC344" s="104"/>
      <c r="CGD344" s="104"/>
      <c r="CGE344" s="104"/>
      <c r="CGF344" s="104"/>
      <c r="CGG344" s="104"/>
      <c r="CGH344" s="104"/>
      <c r="CGI344" s="104"/>
      <c r="CGJ344" s="104"/>
      <c r="CGK344" s="104"/>
      <c r="CGL344" s="104"/>
      <c r="CGM344" s="104"/>
      <c r="CGN344" s="104"/>
      <c r="CGO344" s="104"/>
      <c r="CGP344" s="104"/>
      <c r="CGQ344" s="104"/>
      <c r="CGR344" s="104"/>
      <c r="CGS344" s="104"/>
      <c r="CGT344" s="104"/>
      <c r="CGU344" s="104"/>
      <c r="CGV344" s="104"/>
      <c r="CGW344" s="104"/>
      <c r="CGX344" s="104"/>
      <c r="CGY344" s="104"/>
      <c r="CGZ344" s="104"/>
      <c r="CHA344" s="104"/>
      <c r="CHB344" s="104"/>
      <c r="CHC344" s="104"/>
      <c r="CHD344" s="104"/>
      <c r="CHE344" s="104"/>
      <c r="CHF344" s="104"/>
      <c r="CHG344" s="104"/>
      <c r="CHH344" s="104"/>
      <c r="CHI344" s="104"/>
      <c r="CHJ344" s="104"/>
      <c r="CHK344" s="104"/>
      <c r="CHL344" s="104"/>
      <c r="CHM344" s="104"/>
      <c r="CHN344" s="104"/>
      <c r="CHO344" s="104"/>
      <c r="CHP344" s="104"/>
      <c r="CHQ344" s="104"/>
      <c r="CHR344" s="104"/>
      <c r="CHS344" s="104"/>
      <c r="CHT344" s="104"/>
      <c r="CHU344" s="104"/>
      <c r="CHV344" s="104"/>
      <c r="CHW344" s="104"/>
      <c r="CHX344" s="104"/>
      <c r="CHY344" s="104"/>
      <c r="CHZ344" s="104"/>
      <c r="CIA344" s="104"/>
      <c r="CIB344" s="104"/>
      <c r="CIC344" s="104"/>
      <c r="CID344" s="104"/>
      <c r="CIE344" s="104"/>
      <c r="CIF344" s="104"/>
      <c r="CIG344" s="104"/>
      <c r="CIH344" s="104"/>
      <c r="CII344" s="104"/>
      <c r="CIJ344" s="104"/>
      <c r="CIK344" s="104"/>
      <c r="CIL344" s="104"/>
      <c r="CIM344" s="104"/>
      <c r="CIN344" s="104"/>
      <c r="CIO344" s="104"/>
      <c r="CIP344" s="104"/>
      <c r="CIQ344" s="104"/>
      <c r="CIR344" s="104"/>
      <c r="CIS344" s="104"/>
      <c r="CIT344" s="104"/>
      <c r="CIU344" s="104"/>
      <c r="CIV344" s="104"/>
      <c r="CIW344" s="104"/>
      <c r="CIX344" s="104"/>
      <c r="CIY344" s="104"/>
      <c r="CIZ344" s="104"/>
      <c r="CJA344" s="104"/>
      <c r="CJB344" s="104"/>
      <c r="CJC344" s="104"/>
      <c r="CJD344" s="104"/>
      <c r="CJE344" s="104"/>
      <c r="CJF344" s="104"/>
      <c r="CJG344" s="104"/>
      <c r="CJH344" s="104"/>
      <c r="CJI344" s="104"/>
      <c r="CJJ344" s="104"/>
      <c r="CJK344" s="104"/>
      <c r="CJL344" s="104"/>
      <c r="CJM344" s="104"/>
      <c r="CJN344" s="104"/>
      <c r="CJO344" s="104"/>
      <c r="CJP344" s="104"/>
      <c r="CJQ344" s="104"/>
      <c r="CJR344" s="104"/>
      <c r="CJS344" s="104"/>
      <c r="CJT344" s="104"/>
      <c r="CJU344" s="104"/>
      <c r="CJV344" s="104"/>
      <c r="CJW344" s="104"/>
      <c r="CJX344" s="104"/>
      <c r="CJY344" s="104"/>
      <c r="CJZ344" s="104"/>
      <c r="CKA344" s="104"/>
      <c r="CKB344" s="104"/>
      <c r="CKC344" s="104"/>
      <c r="CKD344" s="104"/>
      <c r="CKE344" s="104"/>
      <c r="CKF344" s="104"/>
      <c r="CKG344" s="104"/>
      <c r="CKH344" s="104"/>
      <c r="CKI344" s="104"/>
      <c r="CKJ344" s="104"/>
      <c r="CKK344" s="104"/>
      <c r="CKL344" s="104"/>
      <c r="CKM344" s="104"/>
      <c r="CKN344" s="104"/>
      <c r="CKO344" s="104"/>
      <c r="CKP344" s="104"/>
      <c r="CKQ344" s="104"/>
      <c r="CKR344" s="104"/>
      <c r="CKS344" s="104"/>
      <c r="CKT344" s="104"/>
      <c r="CKU344" s="104"/>
      <c r="CKV344" s="104"/>
      <c r="CKW344" s="104"/>
      <c r="CKX344" s="104"/>
      <c r="CKY344" s="104"/>
      <c r="CKZ344" s="104"/>
      <c r="CLA344" s="104"/>
      <c r="CLB344" s="104"/>
      <c r="CLC344" s="104"/>
      <c r="CLD344" s="104"/>
      <c r="CLE344" s="104"/>
      <c r="CLF344" s="104"/>
      <c r="CLG344" s="104"/>
      <c r="CLH344" s="104"/>
      <c r="CLI344" s="104"/>
      <c r="CLJ344" s="104"/>
      <c r="CLK344" s="104"/>
      <c r="CLL344" s="104"/>
      <c r="CLM344" s="104"/>
      <c r="CLN344" s="104"/>
      <c r="CLO344" s="104"/>
      <c r="CLP344" s="104"/>
      <c r="CLQ344" s="104"/>
      <c r="CLR344" s="104"/>
      <c r="CLS344" s="104"/>
      <c r="CLT344" s="104"/>
      <c r="CLU344" s="104"/>
      <c r="CLV344" s="104"/>
      <c r="CLW344" s="104"/>
      <c r="CLX344" s="104"/>
      <c r="CLY344" s="104"/>
      <c r="CLZ344" s="104"/>
      <c r="CMA344" s="104"/>
      <c r="CMB344" s="104"/>
      <c r="CMC344" s="104"/>
      <c r="CMD344" s="104"/>
      <c r="CME344" s="104"/>
      <c r="CMF344" s="104"/>
      <c r="CMG344" s="104"/>
      <c r="CMH344" s="104"/>
      <c r="CMI344" s="104"/>
      <c r="CMJ344" s="104"/>
      <c r="CMK344" s="104"/>
      <c r="CML344" s="104"/>
      <c r="CMM344" s="104"/>
      <c r="CMN344" s="104"/>
      <c r="CMO344" s="104"/>
      <c r="CMP344" s="104"/>
      <c r="CMQ344" s="104"/>
      <c r="CMR344" s="104"/>
      <c r="CMS344" s="104"/>
      <c r="CMT344" s="104"/>
      <c r="CMU344" s="104"/>
      <c r="CMV344" s="104"/>
      <c r="CMW344" s="104"/>
      <c r="CMX344" s="104"/>
      <c r="CMY344" s="104"/>
      <c r="CMZ344" s="104"/>
      <c r="CNA344" s="104"/>
      <c r="CNB344" s="104"/>
      <c r="CNC344" s="104"/>
      <c r="CND344" s="104"/>
      <c r="CNE344" s="104"/>
      <c r="CNF344" s="104"/>
      <c r="CNG344" s="104"/>
      <c r="CNH344" s="104"/>
      <c r="CNI344" s="104"/>
      <c r="CNJ344" s="104"/>
      <c r="CNK344" s="104"/>
      <c r="CNL344" s="104"/>
      <c r="CNM344" s="104"/>
      <c r="CNN344" s="104"/>
      <c r="CNO344" s="104"/>
      <c r="CNP344" s="104"/>
      <c r="CNQ344" s="104"/>
      <c r="CNR344" s="104"/>
      <c r="CNS344" s="104"/>
      <c r="CNT344" s="104"/>
      <c r="CNU344" s="104"/>
      <c r="CNV344" s="104"/>
      <c r="CNW344" s="104"/>
      <c r="CNX344" s="104"/>
      <c r="CNY344" s="104"/>
      <c r="CNZ344" s="104"/>
      <c r="COA344" s="104"/>
      <c r="COB344" s="104"/>
      <c r="COC344" s="104"/>
      <c r="COD344" s="104"/>
      <c r="COE344" s="104"/>
      <c r="COF344" s="104"/>
      <c r="COG344" s="104"/>
      <c r="COH344" s="104"/>
      <c r="COI344" s="104"/>
      <c r="COJ344" s="104"/>
      <c r="COK344" s="104"/>
      <c r="COL344" s="104"/>
      <c r="COM344" s="104"/>
      <c r="CON344" s="104"/>
      <c r="COO344" s="104"/>
      <c r="COP344" s="104"/>
      <c r="COQ344" s="104"/>
      <c r="COR344" s="104"/>
      <c r="COS344" s="104"/>
      <c r="COT344" s="104"/>
      <c r="COU344" s="104"/>
      <c r="COV344" s="104"/>
      <c r="COW344" s="104"/>
      <c r="COX344" s="104"/>
      <c r="COY344" s="104"/>
      <c r="COZ344" s="104"/>
      <c r="CPA344" s="104"/>
      <c r="CPB344" s="104"/>
      <c r="CPC344" s="104"/>
      <c r="CPD344" s="104"/>
      <c r="CPE344" s="104"/>
      <c r="CPF344" s="104"/>
      <c r="CPG344" s="104"/>
      <c r="CPH344" s="104"/>
      <c r="CPI344" s="104"/>
      <c r="CPJ344" s="104"/>
      <c r="CPK344" s="104"/>
      <c r="CPL344" s="104"/>
      <c r="CPM344" s="104"/>
      <c r="CPN344" s="104"/>
      <c r="CPO344" s="104"/>
      <c r="CPP344" s="104"/>
      <c r="CPQ344" s="104"/>
      <c r="CPR344" s="104"/>
      <c r="CPS344" s="104"/>
      <c r="CPT344" s="104"/>
      <c r="CPU344" s="104"/>
      <c r="CPV344" s="104"/>
      <c r="CPW344" s="104"/>
      <c r="CPX344" s="104"/>
      <c r="CPY344" s="104"/>
      <c r="CPZ344" s="104"/>
      <c r="CQA344" s="104"/>
      <c r="CQB344" s="104"/>
      <c r="CQC344" s="104"/>
      <c r="CQD344" s="104"/>
      <c r="CQE344" s="104"/>
      <c r="CQF344" s="104"/>
      <c r="CQG344" s="104"/>
      <c r="CQH344" s="104"/>
      <c r="CQI344" s="104"/>
      <c r="CQJ344" s="104"/>
      <c r="CQK344" s="104"/>
      <c r="CQL344" s="104"/>
      <c r="CQM344" s="104"/>
      <c r="CQN344" s="104"/>
      <c r="CQO344" s="104"/>
      <c r="CQP344" s="104"/>
      <c r="CQQ344" s="104"/>
      <c r="CQR344" s="104"/>
      <c r="CQS344" s="104"/>
      <c r="CQT344" s="104"/>
      <c r="CQU344" s="104"/>
      <c r="CQV344" s="104"/>
      <c r="CQW344" s="104"/>
      <c r="CQX344" s="104"/>
      <c r="CQY344" s="104"/>
      <c r="CQZ344" s="104"/>
      <c r="CRA344" s="104"/>
      <c r="CRB344" s="104"/>
      <c r="CRC344" s="104"/>
      <c r="CRD344" s="104"/>
      <c r="CRE344" s="104"/>
      <c r="CRF344" s="104"/>
      <c r="CRG344" s="104"/>
      <c r="CRH344" s="104"/>
      <c r="CRI344" s="104"/>
      <c r="CRJ344" s="104"/>
      <c r="CRK344" s="104"/>
      <c r="CRL344" s="104"/>
      <c r="CRM344" s="104"/>
      <c r="CRN344" s="104"/>
      <c r="CRO344" s="104"/>
      <c r="CRP344" s="104"/>
      <c r="CRQ344" s="104"/>
      <c r="CRR344" s="104"/>
      <c r="CRS344" s="104"/>
      <c r="CRT344" s="104"/>
      <c r="CRU344" s="104"/>
      <c r="CRV344" s="104"/>
      <c r="CRW344" s="104"/>
      <c r="CRX344" s="104"/>
      <c r="CRY344" s="104"/>
      <c r="CRZ344" s="104"/>
      <c r="CSA344" s="104"/>
      <c r="CSB344" s="104"/>
      <c r="CSC344" s="104"/>
      <c r="CSD344" s="104"/>
      <c r="CSE344" s="104"/>
      <c r="CSF344" s="104"/>
      <c r="CSG344" s="104"/>
      <c r="CSH344" s="104"/>
      <c r="CSI344" s="104"/>
      <c r="CSJ344" s="104"/>
      <c r="CSK344" s="104"/>
      <c r="CSL344" s="104"/>
      <c r="CSM344" s="104"/>
      <c r="CSN344" s="104"/>
      <c r="CSO344" s="104"/>
      <c r="CSP344" s="104"/>
      <c r="CSQ344" s="104"/>
      <c r="CSR344" s="104"/>
      <c r="CSS344" s="104"/>
      <c r="CST344" s="104"/>
      <c r="CSU344" s="104"/>
      <c r="CSV344" s="104"/>
      <c r="CSW344" s="104"/>
      <c r="CSX344" s="104"/>
      <c r="CSY344" s="104"/>
      <c r="CSZ344" s="104"/>
      <c r="CTA344" s="104"/>
      <c r="CTB344" s="104"/>
      <c r="CTC344" s="104"/>
      <c r="CTD344" s="104"/>
      <c r="CTE344" s="104"/>
      <c r="CTF344" s="104"/>
      <c r="CTG344" s="104"/>
      <c r="CTH344" s="104"/>
      <c r="CTI344" s="104"/>
      <c r="CTJ344" s="104"/>
      <c r="CTK344" s="104"/>
      <c r="CTL344" s="104"/>
      <c r="CTM344" s="104"/>
      <c r="CTN344" s="104"/>
      <c r="CTO344" s="104"/>
      <c r="CTP344" s="104"/>
      <c r="CTQ344" s="104"/>
      <c r="CTR344" s="104"/>
      <c r="CTS344" s="104"/>
      <c r="CTT344" s="104"/>
      <c r="CTU344" s="104"/>
      <c r="CTV344" s="104"/>
      <c r="CTW344" s="104"/>
      <c r="CTX344" s="104"/>
      <c r="CTY344" s="104"/>
      <c r="CTZ344" s="104"/>
      <c r="CUA344" s="104"/>
    </row>
    <row r="345" s="78" customFormat="1" spans="1:257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c r="BB345" s="104"/>
      <c r="BC345" s="104"/>
      <c r="BD345" s="104"/>
      <c r="BE345" s="104"/>
      <c r="BF345" s="104"/>
      <c r="BG345" s="104"/>
      <c r="BH345" s="104"/>
      <c r="BI345" s="104"/>
      <c r="BJ345" s="104"/>
      <c r="BK345" s="104"/>
      <c r="BL345" s="104"/>
      <c r="BM345" s="104"/>
      <c r="BN345" s="104"/>
      <c r="BO345" s="104"/>
      <c r="BP345" s="104"/>
      <c r="BQ345" s="104"/>
      <c r="BR345" s="104"/>
      <c r="BS345" s="104"/>
      <c r="BT345" s="104"/>
      <c r="BU345" s="104"/>
      <c r="BV345" s="104"/>
      <c r="BW345" s="104"/>
      <c r="BX345" s="104"/>
      <c r="BY345" s="104"/>
      <c r="BZ345" s="104"/>
      <c r="CA345" s="104"/>
      <c r="CB345" s="104"/>
      <c r="CC345" s="104"/>
      <c r="CD345" s="104"/>
      <c r="CE345" s="104"/>
      <c r="CF345" s="104"/>
      <c r="CG345" s="104"/>
      <c r="CH345" s="104"/>
      <c r="CI345" s="104"/>
      <c r="CJ345" s="104"/>
      <c r="CK345" s="104"/>
      <c r="CL345" s="104"/>
      <c r="CM345" s="104"/>
      <c r="CN345" s="104"/>
      <c r="CO345" s="104"/>
      <c r="CP345" s="104"/>
      <c r="CQ345" s="104"/>
      <c r="CR345" s="104"/>
      <c r="CS345" s="104"/>
      <c r="CT345" s="104"/>
      <c r="CU345" s="104"/>
      <c r="CV345" s="104"/>
      <c r="CW345" s="104"/>
      <c r="CX345" s="104"/>
      <c r="CY345" s="104"/>
      <c r="CZ345" s="104"/>
      <c r="DA345" s="104"/>
      <c r="DB345" s="104"/>
      <c r="DC345" s="104"/>
      <c r="DD345" s="104"/>
      <c r="DE345" s="104"/>
      <c r="DF345" s="104"/>
      <c r="DG345" s="104"/>
      <c r="DH345" s="104"/>
      <c r="DI345" s="104"/>
      <c r="DJ345" s="104"/>
      <c r="DK345" s="104"/>
      <c r="DL345" s="104"/>
      <c r="DM345" s="104"/>
      <c r="DN345" s="104"/>
      <c r="DO345" s="104"/>
      <c r="DP345" s="104"/>
      <c r="DQ345" s="104"/>
      <c r="DR345" s="104"/>
      <c r="DS345" s="104"/>
      <c r="DT345" s="104"/>
      <c r="DU345" s="104"/>
      <c r="DV345" s="104"/>
      <c r="DW345" s="104"/>
      <c r="DX345" s="104"/>
      <c r="DY345" s="104"/>
      <c r="DZ345" s="104"/>
      <c r="EA345" s="104"/>
      <c r="EB345" s="104"/>
      <c r="EC345" s="104"/>
      <c r="ED345" s="104"/>
      <c r="EE345" s="104"/>
      <c r="EF345" s="104"/>
      <c r="EG345" s="104"/>
      <c r="EH345" s="104"/>
      <c r="EI345" s="104"/>
      <c r="EJ345" s="104"/>
      <c r="EK345" s="104"/>
      <c r="EL345" s="104"/>
      <c r="EM345" s="104"/>
      <c r="EN345" s="104"/>
      <c r="EO345" s="104"/>
      <c r="EP345" s="104"/>
      <c r="EQ345" s="104"/>
      <c r="ER345" s="104"/>
      <c r="ES345" s="104"/>
      <c r="ET345" s="104"/>
      <c r="EU345" s="104"/>
      <c r="EV345" s="104"/>
      <c r="EW345" s="104"/>
      <c r="EX345" s="104"/>
      <c r="EY345" s="104"/>
      <c r="EZ345" s="104"/>
      <c r="FA345" s="104"/>
      <c r="FB345" s="104"/>
      <c r="FC345" s="104"/>
      <c r="FD345" s="104"/>
      <c r="FE345" s="104"/>
      <c r="FF345" s="104"/>
      <c r="FG345" s="104"/>
      <c r="FH345" s="104"/>
      <c r="FI345" s="104"/>
      <c r="FJ345" s="104"/>
      <c r="FK345" s="104"/>
      <c r="FL345" s="104"/>
      <c r="FM345" s="104"/>
      <c r="FN345" s="104"/>
      <c r="FO345" s="104"/>
      <c r="FP345" s="104"/>
      <c r="FQ345" s="104"/>
      <c r="FR345" s="104"/>
      <c r="FS345" s="104"/>
      <c r="FT345" s="104"/>
      <c r="FU345" s="104"/>
      <c r="FV345" s="104"/>
      <c r="FW345" s="104"/>
      <c r="FX345" s="104"/>
      <c r="FY345" s="104"/>
      <c r="FZ345" s="104"/>
      <c r="GA345" s="104"/>
      <c r="GB345" s="104"/>
      <c r="GC345" s="104"/>
      <c r="GD345" s="104"/>
      <c r="GE345" s="104"/>
      <c r="GF345" s="104"/>
      <c r="GG345" s="104"/>
      <c r="GH345" s="104"/>
      <c r="GI345" s="104"/>
      <c r="GJ345" s="104"/>
      <c r="GK345" s="104"/>
      <c r="GL345" s="104"/>
      <c r="GM345" s="104"/>
      <c r="GN345" s="104"/>
      <c r="GO345" s="104"/>
      <c r="GP345" s="104"/>
      <c r="GQ345" s="104"/>
      <c r="GR345" s="104"/>
      <c r="GS345" s="104"/>
      <c r="GT345" s="104"/>
      <c r="GU345" s="104"/>
      <c r="GV345" s="104"/>
      <c r="GW345" s="104"/>
      <c r="GX345" s="104"/>
      <c r="GY345" s="104"/>
      <c r="GZ345" s="104"/>
      <c r="HA345" s="104"/>
      <c r="HB345" s="104"/>
      <c r="HC345" s="104"/>
      <c r="HD345" s="104"/>
      <c r="HE345" s="104"/>
      <c r="HF345" s="104"/>
      <c r="HG345" s="104"/>
      <c r="HH345" s="104"/>
      <c r="HI345" s="104"/>
      <c r="HJ345" s="104"/>
      <c r="HK345" s="104"/>
      <c r="HL345" s="104"/>
      <c r="HM345" s="104"/>
      <c r="HN345" s="104"/>
      <c r="HO345" s="104"/>
      <c r="HP345" s="104"/>
      <c r="HQ345" s="104"/>
      <c r="HR345" s="104"/>
      <c r="HS345" s="104"/>
      <c r="HT345" s="104"/>
      <c r="HU345" s="104"/>
      <c r="HV345" s="104"/>
      <c r="HW345" s="104"/>
      <c r="HX345" s="104"/>
      <c r="HY345" s="104"/>
      <c r="HZ345" s="104"/>
      <c r="IA345" s="104"/>
      <c r="IB345" s="104"/>
      <c r="IC345" s="104"/>
      <c r="ID345" s="104"/>
      <c r="IE345" s="104"/>
      <c r="IF345" s="104"/>
      <c r="IG345" s="104"/>
      <c r="IH345" s="104"/>
      <c r="II345" s="104"/>
      <c r="IJ345" s="104"/>
      <c r="IK345" s="104"/>
      <c r="IL345" s="104"/>
      <c r="IM345" s="104"/>
      <c r="IN345" s="104"/>
      <c r="IO345" s="104"/>
      <c r="IP345" s="104"/>
      <c r="IQ345" s="104"/>
      <c r="IR345" s="104"/>
      <c r="IS345" s="104"/>
      <c r="IT345" s="104"/>
      <c r="IU345" s="104"/>
      <c r="IV345" s="104"/>
      <c r="IW345" s="104"/>
      <c r="IX345" s="104"/>
      <c r="IY345" s="104"/>
      <c r="IZ345" s="104"/>
      <c r="JA345" s="104"/>
      <c r="JB345" s="104"/>
      <c r="JC345" s="104"/>
      <c r="JD345" s="104"/>
      <c r="JE345" s="104"/>
      <c r="JF345" s="104"/>
      <c r="JG345" s="104"/>
      <c r="JH345" s="104"/>
      <c r="JI345" s="104"/>
      <c r="JJ345" s="104"/>
      <c r="JK345" s="104"/>
      <c r="JL345" s="104"/>
      <c r="JM345" s="104"/>
      <c r="JN345" s="104"/>
      <c r="JO345" s="104"/>
      <c r="JP345" s="104"/>
      <c r="JQ345" s="104"/>
      <c r="JR345" s="104"/>
      <c r="JS345" s="104"/>
      <c r="JT345" s="104"/>
      <c r="JU345" s="104"/>
      <c r="JV345" s="104"/>
      <c r="JW345" s="104"/>
      <c r="JX345" s="104"/>
      <c r="JY345" s="104"/>
      <c r="JZ345" s="104"/>
      <c r="KA345" s="104"/>
      <c r="KB345" s="104"/>
      <c r="KC345" s="104"/>
      <c r="KD345" s="104"/>
      <c r="KE345" s="104"/>
      <c r="KF345" s="104"/>
      <c r="KG345" s="104"/>
      <c r="KH345" s="104"/>
      <c r="KI345" s="104"/>
      <c r="KJ345" s="104"/>
      <c r="KK345" s="104"/>
      <c r="KL345" s="104"/>
      <c r="KM345" s="104"/>
      <c r="KN345" s="104"/>
      <c r="KO345" s="104"/>
      <c r="KP345" s="104"/>
      <c r="KQ345" s="104"/>
      <c r="KR345" s="104"/>
      <c r="KS345" s="104"/>
      <c r="KT345" s="104"/>
      <c r="KU345" s="104"/>
      <c r="KV345" s="104"/>
      <c r="KW345" s="104"/>
      <c r="KX345" s="104"/>
      <c r="KY345" s="104"/>
      <c r="KZ345" s="104"/>
      <c r="LA345" s="104"/>
      <c r="LB345" s="104"/>
      <c r="LC345" s="104"/>
      <c r="LD345" s="104"/>
      <c r="LE345" s="104"/>
      <c r="LF345" s="104"/>
      <c r="LG345" s="104"/>
      <c r="LH345" s="104"/>
      <c r="LI345" s="104"/>
      <c r="LJ345" s="104"/>
      <c r="LK345" s="104"/>
      <c r="LL345" s="104"/>
      <c r="LM345" s="104"/>
      <c r="LN345" s="104"/>
      <c r="LO345" s="104"/>
      <c r="LP345" s="104"/>
      <c r="LQ345" s="104"/>
      <c r="LR345" s="104"/>
      <c r="LS345" s="104"/>
      <c r="LT345" s="104"/>
      <c r="LU345" s="104"/>
      <c r="LV345" s="104"/>
      <c r="LW345" s="104"/>
      <c r="LX345" s="104"/>
      <c r="LY345" s="104"/>
      <c r="LZ345" s="104"/>
      <c r="MA345" s="104"/>
      <c r="MB345" s="104"/>
      <c r="MC345" s="104"/>
      <c r="MD345" s="104"/>
      <c r="ME345" s="104"/>
      <c r="MF345" s="104"/>
      <c r="MG345" s="104"/>
      <c r="MH345" s="104"/>
      <c r="MI345" s="104"/>
      <c r="MJ345" s="104"/>
      <c r="MK345" s="104"/>
      <c r="ML345" s="104"/>
      <c r="MM345" s="104"/>
      <c r="MN345" s="104"/>
      <c r="MO345" s="104"/>
      <c r="MP345" s="104"/>
      <c r="MQ345" s="104"/>
      <c r="MR345" s="104"/>
      <c r="MS345" s="104"/>
      <c r="MT345" s="104"/>
      <c r="MU345" s="104"/>
      <c r="MV345" s="104"/>
      <c r="MW345" s="104"/>
      <c r="MX345" s="104"/>
      <c r="MY345" s="104"/>
      <c r="MZ345" s="104"/>
      <c r="NA345" s="104"/>
      <c r="NB345" s="104"/>
      <c r="NC345" s="104"/>
      <c r="ND345" s="104"/>
      <c r="NE345" s="104"/>
      <c r="NF345" s="104"/>
      <c r="NG345" s="104"/>
      <c r="NH345" s="104"/>
      <c r="NI345" s="104"/>
      <c r="NJ345" s="104"/>
      <c r="NK345" s="104"/>
      <c r="NL345" s="104"/>
      <c r="NM345" s="104"/>
      <c r="NN345" s="104"/>
      <c r="NO345" s="104"/>
      <c r="NP345" s="104"/>
      <c r="NQ345" s="104"/>
      <c r="NR345" s="104"/>
      <c r="NS345" s="104"/>
      <c r="NT345" s="104"/>
      <c r="NU345" s="104"/>
      <c r="NV345" s="104"/>
      <c r="NW345" s="104"/>
      <c r="NX345" s="104"/>
      <c r="NY345" s="104"/>
      <c r="NZ345" s="104"/>
      <c r="OA345" s="104"/>
      <c r="OB345" s="104"/>
      <c r="OC345" s="104"/>
      <c r="OD345" s="104"/>
      <c r="OE345" s="104"/>
      <c r="OF345" s="104"/>
      <c r="OG345" s="104"/>
      <c r="OH345" s="104"/>
      <c r="OI345" s="104"/>
      <c r="OJ345" s="104"/>
      <c r="OK345" s="104"/>
      <c r="OL345" s="104"/>
      <c r="OM345" s="104"/>
      <c r="ON345" s="104"/>
      <c r="OO345" s="104"/>
      <c r="OP345" s="104"/>
      <c r="OQ345" s="104"/>
      <c r="OR345" s="104"/>
      <c r="OS345" s="104"/>
      <c r="OT345" s="104"/>
      <c r="OU345" s="104"/>
      <c r="OV345" s="104"/>
      <c r="OW345" s="104"/>
      <c r="OX345" s="104"/>
      <c r="OY345" s="104"/>
      <c r="OZ345" s="104"/>
      <c r="PA345" s="104"/>
      <c r="PB345" s="104"/>
      <c r="PC345" s="104"/>
      <c r="PD345" s="104"/>
      <c r="PE345" s="104"/>
      <c r="PF345" s="104"/>
      <c r="PG345" s="104"/>
      <c r="PH345" s="104"/>
      <c r="PI345" s="104"/>
      <c r="PJ345" s="104"/>
      <c r="PK345" s="104"/>
      <c r="PL345" s="104"/>
      <c r="PM345" s="104"/>
      <c r="PN345" s="104"/>
      <c r="PO345" s="104"/>
      <c r="PP345" s="104"/>
      <c r="PQ345" s="104"/>
      <c r="PR345" s="104"/>
      <c r="PS345" s="104"/>
      <c r="PT345" s="104"/>
      <c r="PU345" s="104"/>
      <c r="PV345" s="104"/>
      <c r="PW345" s="104"/>
      <c r="PX345" s="104"/>
      <c r="PY345" s="104"/>
      <c r="PZ345" s="104"/>
      <c r="QA345" s="104"/>
      <c r="QB345" s="104"/>
      <c r="QC345" s="104"/>
      <c r="QD345" s="104"/>
      <c r="QE345" s="104"/>
      <c r="QF345" s="104"/>
      <c r="QG345" s="104"/>
      <c r="QH345" s="104"/>
      <c r="QI345" s="104"/>
      <c r="QJ345" s="104"/>
      <c r="QK345" s="104"/>
      <c r="QL345" s="104"/>
      <c r="QM345" s="104"/>
      <c r="QN345" s="104"/>
      <c r="QO345" s="104"/>
      <c r="QP345" s="104"/>
      <c r="QQ345" s="104"/>
      <c r="QR345" s="104"/>
      <c r="QS345" s="104"/>
      <c r="QT345" s="104"/>
      <c r="QU345" s="104"/>
      <c r="QV345" s="104"/>
      <c r="QW345" s="104"/>
      <c r="QX345" s="104"/>
      <c r="QY345" s="104"/>
      <c r="QZ345" s="104"/>
      <c r="RA345" s="104"/>
      <c r="RB345" s="104"/>
      <c r="RC345" s="104"/>
      <c r="RD345" s="104"/>
      <c r="RE345" s="104"/>
      <c r="RF345" s="104"/>
      <c r="RG345" s="104"/>
      <c r="RH345" s="104"/>
      <c r="RI345" s="104"/>
      <c r="RJ345" s="104"/>
      <c r="RK345" s="104"/>
      <c r="RL345" s="104"/>
      <c r="RM345" s="104"/>
      <c r="RN345" s="104"/>
      <c r="RO345" s="104"/>
      <c r="RP345" s="104"/>
      <c r="RQ345" s="104"/>
      <c r="RR345" s="104"/>
      <c r="RS345" s="104"/>
      <c r="RT345" s="104"/>
      <c r="RU345" s="104"/>
      <c r="RV345" s="104"/>
      <c r="RW345" s="104"/>
      <c r="RX345" s="104"/>
      <c r="RY345" s="104"/>
      <c r="RZ345" s="104"/>
      <c r="SA345" s="104"/>
      <c r="SB345" s="104"/>
      <c r="SC345" s="104"/>
      <c r="SD345" s="104"/>
      <c r="SE345" s="104"/>
      <c r="SF345" s="104"/>
      <c r="SG345" s="104"/>
      <c r="SH345" s="104"/>
      <c r="SI345" s="104"/>
      <c r="SJ345" s="104"/>
      <c r="SK345" s="104"/>
      <c r="SL345" s="104"/>
      <c r="SM345" s="104"/>
      <c r="SN345" s="104"/>
      <c r="SO345" s="104"/>
      <c r="SP345" s="104"/>
      <c r="SQ345" s="104"/>
      <c r="SR345" s="104"/>
      <c r="SS345" s="104"/>
      <c r="ST345" s="104"/>
      <c r="SU345" s="104"/>
      <c r="SV345" s="104"/>
      <c r="SW345" s="104"/>
      <c r="SX345" s="104"/>
      <c r="SY345" s="104"/>
      <c r="SZ345" s="104"/>
      <c r="TA345" s="104"/>
      <c r="TB345" s="104"/>
      <c r="TC345" s="104"/>
      <c r="TD345" s="104"/>
      <c r="TE345" s="104"/>
      <c r="TF345" s="104"/>
      <c r="TG345" s="104"/>
      <c r="TH345" s="104"/>
      <c r="TI345" s="104"/>
      <c r="TJ345" s="104"/>
      <c r="TK345" s="104"/>
      <c r="TL345" s="104"/>
      <c r="TM345" s="104"/>
      <c r="TN345" s="104"/>
      <c r="TO345" s="104"/>
      <c r="TP345" s="104"/>
      <c r="TQ345" s="104"/>
      <c r="TR345" s="104"/>
      <c r="TS345" s="104"/>
      <c r="TT345" s="104"/>
      <c r="TU345" s="104"/>
      <c r="TV345" s="104"/>
      <c r="TW345" s="104"/>
      <c r="TX345" s="104"/>
      <c r="TY345" s="104"/>
      <c r="TZ345" s="104"/>
      <c r="UA345" s="104"/>
      <c r="UB345" s="104"/>
      <c r="UC345" s="104"/>
      <c r="UD345" s="104"/>
      <c r="UE345" s="104"/>
      <c r="UF345" s="104"/>
      <c r="UG345" s="104"/>
      <c r="UH345" s="104"/>
      <c r="UI345" s="104"/>
      <c r="UJ345" s="104"/>
      <c r="UK345" s="104"/>
      <c r="UL345" s="104"/>
      <c r="UM345" s="104"/>
      <c r="UN345" s="104"/>
      <c r="UO345" s="104"/>
      <c r="UP345" s="104"/>
      <c r="UQ345" s="104"/>
      <c r="UR345" s="104"/>
      <c r="US345" s="104"/>
      <c r="UT345" s="104"/>
      <c r="UU345" s="104"/>
      <c r="UV345" s="104"/>
      <c r="UW345" s="104"/>
      <c r="UX345" s="104"/>
      <c r="UY345" s="104"/>
      <c r="UZ345" s="104"/>
      <c r="VA345" s="104"/>
      <c r="VB345" s="104"/>
      <c r="VC345" s="104"/>
      <c r="VD345" s="104"/>
      <c r="VE345" s="104"/>
      <c r="VF345" s="104"/>
      <c r="VG345" s="104"/>
      <c r="VH345" s="104"/>
      <c r="VI345" s="104"/>
      <c r="VJ345" s="104"/>
      <c r="VK345" s="104"/>
      <c r="VL345" s="104"/>
      <c r="VM345" s="104"/>
      <c r="VN345" s="104"/>
      <c r="VO345" s="104"/>
      <c r="VP345" s="104"/>
      <c r="VQ345" s="104"/>
      <c r="VR345" s="104"/>
      <c r="VS345" s="104"/>
      <c r="VT345" s="104"/>
      <c r="VU345" s="104"/>
      <c r="VV345" s="104"/>
      <c r="VW345" s="104"/>
      <c r="VX345" s="104"/>
      <c r="VY345" s="104"/>
      <c r="VZ345" s="104"/>
      <c r="WA345" s="104"/>
      <c r="WB345" s="104"/>
      <c r="WC345" s="104"/>
      <c r="WD345" s="104"/>
      <c r="WE345" s="104"/>
      <c r="WF345" s="104"/>
      <c r="WG345" s="104"/>
      <c r="WH345" s="104"/>
      <c r="WI345" s="104"/>
      <c r="WJ345" s="104"/>
      <c r="WK345" s="104"/>
      <c r="WL345" s="104"/>
      <c r="WM345" s="104"/>
      <c r="WN345" s="104"/>
      <c r="WO345" s="104"/>
      <c r="WP345" s="104"/>
      <c r="WQ345" s="104"/>
      <c r="WR345" s="104"/>
      <c r="WS345" s="104"/>
      <c r="WT345" s="104"/>
      <c r="WU345" s="104"/>
      <c r="WV345" s="104"/>
      <c r="WW345" s="104"/>
      <c r="WX345" s="104"/>
      <c r="WY345" s="104"/>
      <c r="WZ345" s="104"/>
      <c r="XA345" s="104"/>
      <c r="XB345" s="104"/>
      <c r="XC345" s="104"/>
      <c r="XD345" s="104"/>
      <c r="XE345" s="104"/>
      <c r="XF345" s="104"/>
      <c r="XG345" s="104"/>
      <c r="XH345" s="104"/>
      <c r="XI345" s="104"/>
      <c r="XJ345" s="104"/>
      <c r="XK345" s="104"/>
      <c r="XL345" s="104"/>
      <c r="XM345" s="104"/>
      <c r="XN345" s="104"/>
      <c r="XO345" s="104"/>
      <c r="XP345" s="104"/>
      <c r="XQ345" s="104"/>
      <c r="XR345" s="104"/>
      <c r="XS345" s="104"/>
      <c r="XT345" s="104"/>
      <c r="XU345" s="104"/>
      <c r="XV345" s="104"/>
      <c r="XW345" s="104"/>
      <c r="XX345" s="104"/>
      <c r="XY345" s="104"/>
      <c r="XZ345" s="104"/>
      <c r="YA345" s="104"/>
      <c r="YB345" s="104"/>
      <c r="YC345" s="104"/>
      <c r="YD345" s="104"/>
      <c r="YE345" s="104"/>
      <c r="YF345" s="104"/>
      <c r="YG345" s="104"/>
      <c r="YH345" s="104"/>
      <c r="YI345" s="104"/>
      <c r="YJ345" s="104"/>
      <c r="YK345" s="104"/>
      <c r="YL345" s="104"/>
      <c r="YM345" s="104"/>
      <c r="YN345" s="104"/>
      <c r="YO345" s="104"/>
      <c r="YP345" s="104"/>
      <c r="YQ345" s="104"/>
      <c r="YR345" s="104"/>
      <c r="YS345" s="104"/>
      <c r="YT345" s="104"/>
      <c r="YU345" s="104"/>
      <c r="YV345" s="104"/>
      <c r="YW345" s="104"/>
      <c r="YX345" s="104"/>
      <c r="YY345" s="104"/>
      <c r="YZ345" s="104"/>
      <c r="ZA345" s="104"/>
      <c r="ZB345" s="104"/>
      <c r="ZC345" s="104"/>
      <c r="ZD345" s="104"/>
      <c r="ZE345" s="104"/>
      <c r="ZF345" s="104"/>
      <c r="ZG345" s="104"/>
      <c r="ZH345" s="104"/>
      <c r="ZI345" s="104"/>
      <c r="ZJ345" s="104"/>
      <c r="ZK345" s="104"/>
      <c r="ZL345" s="104"/>
      <c r="ZM345" s="104"/>
      <c r="ZN345" s="104"/>
      <c r="ZO345" s="104"/>
      <c r="ZP345" s="104"/>
      <c r="ZQ345" s="104"/>
      <c r="ZR345" s="104"/>
      <c r="ZS345" s="104"/>
      <c r="ZT345" s="104"/>
      <c r="ZU345" s="104"/>
      <c r="ZV345" s="104"/>
      <c r="ZW345" s="104"/>
      <c r="ZX345" s="104"/>
      <c r="ZY345" s="104"/>
      <c r="ZZ345" s="104"/>
      <c r="AAA345" s="104"/>
      <c r="AAB345" s="104"/>
      <c r="AAC345" s="104"/>
      <c r="AAD345" s="104"/>
      <c r="AAE345" s="104"/>
      <c r="AAF345" s="104"/>
      <c r="AAG345" s="104"/>
      <c r="AAH345" s="104"/>
      <c r="AAI345" s="104"/>
      <c r="AAJ345" s="104"/>
      <c r="AAK345" s="104"/>
      <c r="AAL345" s="104"/>
      <c r="AAM345" s="104"/>
      <c r="AAN345" s="104"/>
      <c r="AAO345" s="104"/>
      <c r="AAP345" s="104"/>
      <c r="AAQ345" s="104"/>
      <c r="AAR345" s="104"/>
      <c r="AAS345" s="104"/>
      <c r="AAT345" s="104"/>
      <c r="AAU345" s="104"/>
      <c r="AAV345" s="104"/>
      <c r="AAW345" s="104"/>
      <c r="AAX345" s="104"/>
      <c r="AAY345" s="104"/>
      <c r="AAZ345" s="104"/>
      <c r="ABA345" s="104"/>
      <c r="ABB345" s="104"/>
      <c r="ABC345" s="104"/>
      <c r="ABD345" s="104"/>
      <c r="ABE345" s="104"/>
      <c r="ABF345" s="104"/>
      <c r="ABG345" s="104"/>
      <c r="ABH345" s="104"/>
      <c r="ABI345" s="104"/>
      <c r="ABJ345" s="104"/>
      <c r="ABK345" s="104"/>
      <c r="ABL345" s="104"/>
      <c r="ABM345" s="104"/>
      <c r="ABN345" s="104"/>
      <c r="ABO345" s="104"/>
      <c r="ABP345" s="104"/>
      <c r="ABQ345" s="104"/>
      <c r="ABR345" s="104"/>
      <c r="ABS345" s="104"/>
      <c r="ABT345" s="104"/>
      <c r="ABU345" s="104"/>
      <c r="ABV345" s="104"/>
      <c r="ABW345" s="104"/>
      <c r="ABX345" s="104"/>
      <c r="ABY345" s="104"/>
      <c r="ABZ345" s="104"/>
      <c r="ACA345" s="104"/>
      <c r="ACB345" s="104"/>
      <c r="ACC345" s="104"/>
      <c r="ACD345" s="104"/>
      <c r="ACE345" s="104"/>
      <c r="ACF345" s="104"/>
      <c r="ACG345" s="104"/>
      <c r="ACH345" s="104"/>
      <c r="ACI345" s="104"/>
      <c r="ACJ345" s="104"/>
      <c r="ACK345" s="104"/>
      <c r="ACL345" s="104"/>
      <c r="ACM345" s="104"/>
      <c r="ACN345" s="104"/>
      <c r="ACO345" s="104"/>
      <c r="ACP345" s="104"/>
      <c r="ACQ345" s="104"/>
      <c r="ACR345" s="104"/>
      <c r="ACS345" s="104"/>
      <c r="ACT345" s="104"/>
      <c r="ACU345" s="104"/>
      <c r="ACV345" s="104"/>
      <c r="ACW345" s="104"/>
      <c r="ACX345" s="104"/>
      <c r="ACY345" s="104"/>
      <c r="ACZ345" s="104"/>
      <c r="ADA345" s="104"/>
      <c r="ADB345" s="104"/>
      <c r="ADC345" s="104"/>
      <c r="ADD345" s="104"/>
      <c r="ADE345" s="104"/>
      <c r="ADF345" s="104"/>
      <c r="ADG345" s="104"/>
      <c r="ADH345" s="104"/>
      <c r="ADI345" s="104"/>
      <c r="ADJ345" s="104"/>
      <c r="ADK345" s="104"/>
      <c r="ADL345" s="104"/>
      <c r="ADM345" s="104"/>
      <c r="ADN345" s="104"/>
      <c r="ADO345" s="104"/>
      <c r="ADP345" s="104"/>
      <c r="ADQ345" s="104"/>
      <c r="ADR345" s="104"/>
      <c r="ADS345" s="104"/>
      <c r="ADT345" s="104"/>
      <c r="ADU345" s="104"/>
      <c r="ADV345" s="104"/>
      <c r="ADW345" s="104"/>
      <c r="ADX345" s="104"/>
      <c r="ADY345" s="104"/>
      <c r="ADZ345" s="104"/>
      <c r="AEA345" s="104"/>
      <c r="AEB345" s="104"/>
      <c r="AEC345" s="104"/>
      <c r="AED345" s="104"/>
      <c r="AEE345" s="104"/>
      <c r="AEF345" s="104"/>
      <c r="AEG345" s="104"/>
      <c r="AEH345" s="104"/>
      <c r="AEI345" s="104"/>
      <c r="AEJ345" s="104"/>
      <c r="AEK345" s="104"/>
      <c r="AEL345" s="104"/>
      <c r="AEM345" s="104"/>
      <c r="AEN345" s="104"/>
      <c r="AEO345" s="104"/>
      <c r="AEP345" s="104"/>
      <c r="AEQ345" s="104"/>
      <c r="AER345" s="104"/>
      <c r="AES345" s="104"/>
      <c r="AET345" s="104"/>
      <c r="AEU345" s="104"/>
      <c r="AEV345" s="104"/>
      <c r="AEW345" s="104"/>
      <c r="AEX345" s="104"/>
      <c r="AEY345" s="104"/>
      <c r="AEZ345" s="104"/>
      <c r="AFA345" s="104"/>
      <c r="AFB345" s="104"/>
      <c r="AFC345" s="104"/>
      <c r="AFD345" s="104"/>
      <c r="AFE345" s="104"/>
      <c r="AFF345" s="104"/>
      <c r="AFG345" s="104"/>
      <c r="AFH345" s="104"/>
      <c r="AFI345" s="104"/>
      <c r="AFJ345" s="104"/>
      <c r="AFK345" s="104"/>
      <c r="AFL345" s="104"/>
      <c r="AFM345" s="104"/>
      <c r="AFN345" s="104"/>
      <c r="AFO345" s="104"/>
      <c r="AFP345" s="104"/>
      <c r="AFQ345" s="104"/>
      <c r="AFR345" s="104"/>
      <c r="AFS345" s="104"/>
      <c r="AFT345" s="104"/>
      <c r="AFU345" s="104"/>
      <c r="AFV345" s="104"/>
      <c r="AFW345" s="104"/>
      <c r="AFX345" s="104"/>
      <c r="AFY345" s="104"/>
      <c r="AFZ345" s="104"/>
      <c r="AGA345" s="104"/>
      <c r="AGB345" s="104"/>
      <c r="AGC345" s="104"/>
      <c r="AGD345" s="104"/>
      <c r="AGE345" s="104"/>
      <c r="AGF345" s="104"/>
      <c r="AGG345" s="104"/>
      <c r="AGH345" s="104"/>
      <c r="AGI345" s="104"/>
      <c r="AGJ345" s="104"/>
      <c r="AGK345" s="104"/>
      <c r="AGL345" s="104"/>
      <c r="AGM345" s="104"/>
      <c r="AGN345" s="104"/>
      <c r="AGO345" s="104"/>
      <c r="AGP345" s="104"/>
      <c r="AGQ345" s="104"/>
      <c r="AGR345" s="104"/>
      <c r="AGS345" s="104"/>
      <c r="AGT345" s="104"/>
      <c r="AGU345" s="104"/>
      <c r="AGV345" s="104"/>
      <c r="AGW345" s="104"/>
      <c r="AGX345" s="104"/>
      <c r="AGY345" s="104"/>
      <c r="AGZ345" s="104"/>
      <c r="AHA345" s="104"/>
      <c r="AHB345" s="104"/>
      <c r="AHC345" s="104"/>
      <c r="AHD345" s="104"/>
      <c r="AHE345" s="104"/>
      <c r="AHF345" s="104"/>
      <c r="AHG345" s="104"/>
      <c r="AHH345" s="104"/>
      <c r="AHI345" s="104"/>
      <c r="AHJ345" s="104"/>
      <c r="AHK345" s="104"/>
      <c r="AHL345" s="104"/>
      <c r="AHM345" s="104"/>
      <c r="AHN345" s="104"/>
      <c r="AHO345" s="104"/>
      <c r="AHP345" s="104"/>
      <c r="AHQ345" s="104"/>
      <c r="AHR345" s="104"/>
      <c r="AHS345" s="104"/>
      <c r="AHT345" s="104"/>
      <c r="AHU345" s="104"/>
      <c r="AHV345" s="104"/>
      <c r="AHW345" s="104"/>
      <c r="AHX345" s="104"/>
      <c r="AHY345" s="104"/>
      <c r="AHZ345" s="104"/>
      <c r="AIA345" s="104"/>
      <c r="AIB345" s="104"/>
      <c r="AIC345" s="104"/>
      <c r="AID345" s="104"/>
      <c r="AIE345" s="104"/>
      <c r="AIF345" s="104"/>
      <c r="AIG345" s="104"/>
      <c r="AIH345" s="104"/>
      <c r="AII345" s="104"/>
      <c r="AIJ345" s="104"/>
      <c r="AIK345" s="104"/>
      <c r="AIL345" s="104"/>
      <c r="AIM345" s="104"/>
      <c r="AIN345" s="104"/>
      <c r="AIO345" s="104"/>
      <c r="AIP345" s="104"/>
      <c r="AIQ345" s="104"/>
      <c r="AIR345" s="104"/>
      <c r="AIS345" s="104"/>
      <c r="AIT345" s="104"/>
      <c r="AIU345" s="104"/>
      <c r="AIV345" s="104"/>
      <c r="AIW345" s="104"/>
      <c r="AIX345" s="104"/>
      <c r="AIY345" s="104"/>
      <c r="AIZ345" s="104"/>
      <c r="AJA345" s="104"/>
      <c r="AJB345" s="104"/>
      <c r="AJC345" s="104"/>
      <c r="AJD345" s="104"/>
      <c r="AJE345" s="104"/>
      <c r="AJF345" s="104"/>
      <c r="AJG345" s="104"/>
      <c r="AJH345" s="104"/>
      <c r="AJI345" s="104"/>
      <c r="AJJ345" s="104"/>
      <c r="AJK345" s="104"/>
      <c r="AJL345" s="104"/>
      <c r="AJM345" s="104"/>
      <c r="AJN345" s="104"/>
      <c r="AJO345" s="104"/>
      <c r="AJP345" s="104"/>
      <c r="AJQ345" s="104"/>
      <c r="AJR345" s="104"/>
      <c r="AJS345" s="104"/>
      <c r="AJT345" s="104"/>
      <c r="AJU345" s="104"/>
      <c r="AJV345" s="104"/>
      <c r="AJW345" s="104"/>
      <c r="AJX345" s="104"/>
      <c r="AJY345" s="104"/>
      <c r="AJZ345" s="104"/>
      <c r="AKA345" s="104"/>
      <c r="AKB345" s="104"/>
      <c r="AKC345" s="104"/>
      <c r="AKD345" s="104"/>
      <c r="AKE345" s="104"/>
      <c r="AKF345" s="104"/>
      <c r="AKG345" s="104"/>
      <c r="AKH345" s="104"/>
      <c r="AKI345" s="104"/>
      <c r="AKJ345" s="104"/>
      <c r="AKK345" s="104"/>
      <c r="AKL345" s="104"/>
      <c r="AKM345" s="104"/>
      <c r="AKN345" s="104"/>
      <c r="AKO345" s="104"/>
      <c r="AKP345" s="104"/>
      <c r="AKQ345" s="104"/>
      <c r="AKR345" s="104"/>
      <c r="AKS345" s="104"/>
      <c r="AKT345" s="104"/>
      <c r="AKU345" s="104"/>
      <c r="AKV345" s="104"/>
      <c r="AKW345" s="104"/>
      <c r="AKX345" s="104"/>
      <c r="AKY345" s="104"/>
      <c r="AKZ345" s="104"/>
      <c r="ALA345" s="104"/>
      <c r="ALB345" s="104"/>
      <c r="ALC345" s="104"/>
      <c r="ALD345" s="104"/>
      <c r="ALE345" s="104"/>
      <c r="ALF345" s="104"/>
      <c r="ALG345" s="104"/>
      <c r="ALH345" s="104"/>
      <c r="ALI345" s="104"/>
      <c r="ALJ345" s="104"/>
      <c r="ALK345" s="104"/>
      <c r="ALL345" s="104"/>
      <c r="ALM345" s="104"/>
      <c r="ALN345" s="104"/>
      <c r="ALO345" s="104"/>
      <c r="ALP345" s="104"/>
      <c r="ALQ345" s="104"/>
      <c r="ALR345" s="104"/>
      <c r="ALS345" s="104"/>
      <c r="ALT345" s="104"/>
      <c r="ALU345" s="104"/>
      <c r="ALV345" s="104"/>
      <c r="ALW345" s="104"/>
      <c r="ALX345" s="104"/>
      <c r="ALY345" s="104"/>
      <c r="ALZ345" s="104"/>
      <c r="AMA345" s="104"/>
      <c r="AMB345" s="104"/>
      <c r="AMC345" s="104"/>
      <c r="AMD345" s="104"/>
      <c r="AME345" s="104"/>
      <c r="AMF345" s="104"/>
      <c r="AMG345" s="104"/>
      <c r="AMH345" s="104"/>
      <c r="AMI345" s="104"/>
      <c r="AMJ345" s="104"/>
      <c r="AMK345" s="104"/>
      <c r="AML345" s="104"/>
      <c r="AMM345" s="104"/>
      <c r="AMN345" s="104"/>
      <c r="AMO345" s="104"/>
      <c r="AMP345" s="104"/>
      <c r="AMQ345" s="104"/>
      <c r="AMR345" s="104"/>
      <c r="AMS345" s="104"/>
      <c r="AMT345" s="104"/>
      <c r="AMU345" s="104"/>
      <c r="AMV345" s="104"/>
      <c r="AMW345" s="104"/>
      <c r="AMX345" s="104"/>
      <c r="AMY345" s="104"/>
      <c r="AMZ345" s="104"/>
      <c r="ANA345" s="104"/>
      <c r="ANB345" s="104"/>
      <c r="ANC345" s="104"/>
      <c r="AND345" s="104"/>
      <c r="ANE345" s="104"/>
      <c r="ANF345" s="104"/>
      <c r="ANG345" s="104"/>
      <c r="ANH345" s="104"/>
      <c r="ANI345" s="104"/>
      <c r="ANJ345" s="104"/>
      <c r="ANK345" s="104"/>
      <c r="ANL345" s="104"/>
      <c r="ANM345" s="104"/>
      <c r="ANN345" s="104"/>
      <c r="ANO345" s="104"/>
      <c r="ANP345" s="104"/>
      <c r="ANQ345" s="104"/>
      <c r="ANR345" s="104"/>
      <c r="ANS345" s="104"/>
      <c r="ANT345" s="104"/>
      <c r="ANU345" s="104"/>
      <c r="ANV345" s="104"/>
      <c r="ANW345" s="104"/>
      <c r="ANX345" s="104"/>
      <c r="ANY345" s="104"/>
      <c r="ANZ345" s="104"/>
      <c r="AOA345" s="104"/>
      <c r="AOB345" s="104"/>
      <c r="AOC345" s="104"/>
      <c r="AOD345" s="104"/>
      <c r="AOE345" s="104"/>
      <c r="AOF345" s="104"/>
      <c r="AOG345" s="104"/>
      <c r="AOH345" s="104"/>
      <c r="AOI345" s="104"/>
      <c r="AOJ345" s="104"/>
      <c r="AOK345" s="104"/>
      <c r="AOL345" s="104"/>
      <c r="AOM345" s="104"/>
      <c r="AON345" s="104"/>
      <c r="AOO345" s="104"/>
      <c r="AOP345" s="104"/>
      <c r="AOQ345" s="104"/>
      <c r="AOR345" s="104"/>
      <c r="AOS345" s="104"/>
      <c r="AOT345" s="104"/>
      <c r="AOU345" s="104"/>
      <c r="AOV345" s="104"/>
      <c r="AOW345" s="104"/>
      <c r="AOX345" s="104"/>
      <c r="AOY345" s="104"/>
      <c r="AOZ345" s="104"/>
      <c r="APA345" s="104"/>
      <c r="APB345" s="104"/>
      <c r="APC345" s="104"/>
      <c r="APD345" s="104"/>
      <c r="APE345" s="104"/>
      <c r="APF345" s="104"/>
      <c r="APG345" s="104"/>
      <c r="APH345" s="104"/>
      <c r="API345" s="104"/>
      <c r="APJ345" s="104"/>
      <c r="APK345" s="104"/>
      <c r="APL345" s="104"/>
      <c r="APM345" s="104"/>
      <c r="APN345" s="104"/>
      <c r="APO345" s="104"/>
      <c r="APP345" s="104"/>
      <c r="APQ345" s="104"/>
      <c r="APR345" s="104"/>
      <c r="APS345" s="104"/>
      <c r="APT345" s="104"/>
      <c r="APU345" s="104"/>
      <c r="APV345" s="104"/>
      <c r="APW345" s="104"/>
      <c r="APX345" s="104"/>
      <c r="APY345" s="104"/>
      <c r="APZ345" s="104"/>
      <c r="AQA345" s="104"/>
      <c r="AQB345" s="104"/>
      <c r="AQC345" s="104"/>
      <c r="AQD345" s="104"/>
      <c r="AQE345" s="104"/>
      <c r="AQF345" s="104"/>
      <c r="AQG345" s="104"/>
      <c r="AQH345" s="104"/>
      <c r="AQI345" s="104"/>
      <c r="AQJ345" s="104"/>
      <c r="AQK345" s="104"/>
      <c r="AQL345" s="104"/>
      <c r="AQM345" s="104"/>
      <c r="AQN345" s="104"/>
      <c r="AQO345" s="104"/>
      <c r="AQP345" s="104"/>
      <c r="AQQ345" s="104"/>
      <c r="AQR345" s="104"/>
      <c r="AQS345" s="104"/>
      <c r="AQT345" s="104"/>
      <c r="AQU345" s="104"/>
      <c r="AQV345" s="104"/>
      <c r="AQW345" s="104"/>
      <c r="AQX345" s="104"/>
      <c r="AQY345" s="104"/>
      <c r="AQZ345" s="104"/>
      <c r="ARA345" s="104"/>
      <c r="ARB345" s="104"/>
      <c r="ARC345" s="104"/>
      <c r="ARD345" s="104"/>
      <c r="ARE345" s="104"/>
      <c r="ARF345" s="104"/>
      <c r="ARG345" s="104"/>
      <c r="ARH345" s="104"/>
      <c r="ARI345" s="104"/>
      <c r="ARJ345" s="104"/>
      <c r="ARK345" s="104"/>
      <c r="ARL345" s="104"/>
      <c r="ARM345" s="104"/>
      <c r="ARN345" s="104"/>
      <c r="ARO345" s="104"/>
      <c r="ARP345" s="104"/>
      <c r="ARQ345" s="104"/>
      <c r="ARR345" s="104"/>
      <c r="ARS345" s="104"/>
      <c r="ART345" s="104"/>
      <c r="ARU345" s="104"/>
      <c r="ARV345" s="104"/>
      <c r="ARW345" s="104"/>
      <c r="ARX345" s="104"/>
      <c r="ARY345" s="104"/>
      <c r="ARZ345" s="104"/>
      <c r="ASA345" s="104"/>
      <c r="ASB345" s="104"/>
      <c r="ASC345" s="104"/>
      <c r="ASD345" s="104"/>
      <c r="ASE345" s="104"/>
      <c r="ASF345" s="104"/>
      <c r="ASG345" s="104"/>
      <c r="ASH345" s="104"/>
      <c r="ASI345" s="104"/>
      <c r="ASJ345" s="104"/>
      <c r="ASK345" s="104"/>
      <c r="ASL345" s="104"/>
      <c r="ASM345" s="104"/>
      <c r="ASN345" s="104"/>
      <c r="ASO345" s="104"/>
      <c r="ASP345" s="104"/>
      <c r="ASQ345" s="104"/>
      <c r="ASR345" s="104"/>
      <c r="ASS345" s="104"/>
      <c r="AST345" s="104"/>
      <c r="ASU345" s="104"/>
      <c r="ASV345" s="104"/>
      <c r="ASW345" s="104"/>
      <c r="ASX345" s="104"/>
      <c r="ASY345" s="104"/>
      <c r="ASZ345" s="104"/>
      <c r="ATA345" s="104"/>
      <c r="ATB345" s="104"/>
      <c r="ATC345" s="104"/>
      <c r="ATD345" s="104"/>
      <c r="ATE345" s="104"/>
      <c r="ATF345" s="104"/>
      <c r="ATG345" s="104"/>
      <c r="ATH345" s="104"/>
      <c r="ATI345" s="104"/>
      <c r="ATJ345" s="104"/>
      <c r="ATK345" s="104"/>
      <c r="ATL345" s="104"/>
      <c r="ATM345" s="104"/>
      <c r="ATN345" s="104"/>
      <c r="ATO345" s="104"/>
      <c r="ATP345" s="104"/>
      <c r="ATQ345" s="104"/>
      <c r="ATR345" s="104"/>
      <c r="ATS345" s="104"/>
      <c r="ATT345" s="104"/>
      <c r="ATU345" s="104"/>
      <c r="ATV345" s="104"/>
      <c r="ATW345" s="104"/>
      <c r="ATX345" s="104"/>
      <c r="ATY345" s="104"/>
      <c r="ATZ345" s="104"/>
      <c r="AUA345" s="104"/>
      <c r="AUB345" s="104"/>
      <c r="AUC345" s="104"/>
      <c r="AUD345" s="104"/>
      <c r="AUE345" s="104"/>
      <c r="AUF345" s="104"/>
      <c r="AUG345" s="104"/>
      <c r="AUH345" s="104"/>
      <c r="AUI345" s="104"/>
      <c r="AUJ345" s="104"/>
      <c r="AUK345" s="104"/>
      <c r="AUL345" s="104"/>
      <c r="AUM345" s="104"/>
      <c r="AUN345" s="104"/>
      <c r="AUO345" s="104"/>
      <c r="AUP345" s="104"/>
      <c r="AUQ345" s="104"/>
      <c r="AUR345" s="104"/>
      <c r="AUS345" s="104"/>
      <c r="AUT345" s="104"/>
      <c r="AUU345" s="104"/>
      <c r="AUV345" s="104"/>
      <c r="AUW345" s="104"/>
      <c r="AUX345" s="104"/>
      <c r="AUY345" s="104"/>
      <c r="AUZ345" s="104"/>
      <c r="AVA345" s="104"/>
      <c r="AVB345" s="104"/>
      <c r="AVC345" s="104"/>
      <c r="AVD345" s="104"/>
      <c r="AVE345" s="104"/>
      <c r="AVF345" s="104"/>
      <c r="AVG345" s="104"/>
      <c r="AVH345" s="104"/>
      <c r="AVI345" s="104"/>
      <c r="AVJ345" s="104"/>
      <c r="AVK345" s="104"/>
      <c r="AVL345" s="104"/>
      <c r="AVM345" s="104"/>
      <c r="AVN345" s="104"/>
      <c r="AVO345" s="104"/>
      <c r="AVP345" s="104"/>
      <c r="AVQ345" s="104"/>
      <c r="AVR345" s="104"/>
      <c r="AVS345" s="104"/>
      <c r="AVT345" s="104"/>
      <c r="AVU345" s="104"/>
      <c r="AVV345" s="104"/>
      <c r="AVW345" s="104"/>
      <c r="AVX345" s="104"/>
      <c r="AVY345" s="104"/>
      <c r="AVZ345" s="104"/>
      <c r="AWA345" s="104"/>
      <c r="AWB345" s="104"/>
      <c r="AWC345" s="104"/>
      <c r="AWD345" s="104"/>
      <c r="AWE345" s="104"/>
      <c r="AWF345" s="104"/>
      <c r="AWG345" s="104"/>
      <c r="AWH345" s="104"/>
      <c r="AWI345" s="104"/>
      <c r="AWJ345" s="104"/>
      <c r="AWK345" s="104"/>
      <c r="AWL345" s="104"/>
      <c r="AWM345" s="104"/>
      <c r="AWN345" s="104"/>
      <c r="AWO345" s="104"/>
      <c r="AWP345" s="104"/>
      <c r="AWQ345" s="104"/>
      <c r="AWR345" s="104"/>
      <c r="AWS345" s="104"/>
      <c r="AWT345" s="104"/>
      <c r="AWU345" s="104"/>
      <c r="AWV345" s="104"/>
      <c r="AWW345" s="104"/>
      <c r="AWX345" s="104"/>
      <c r="AWY345" s="104"/>
      <c r="AWZ345" s="104"/>
      <c r="AXA345" s="104"/>
      <c r="AXB345" s="104"/>
      <c r="AXC345" s="104"/>
      <c r="AXD345" s="104"/>
      <c r="AXE345" s="104"/>
      <c r="AXF345" s="104"/>
      <c r="AXG345" s="104"/>
      <c r="AXH345" s="104"/>
      <c r="AXI345" s="104"/>
      <c r="AXJ345" s="104"/>
      <c r="AXK345" s="104"/>
      <c r="AXL345" s="104"/>
      <c r="AXM345" s="104"/>
      <c r="AXN345" s="104"/>
      <c r="AXO345" s="104"/>
      <c r="AXP345" s="104"/>
      <c r="AXQ345" s="104"/>
      <c r="AXR345" s="104"/>
      <c r="AXS345" s="104"/>
      <c r="AXT345" s="104"/>
      <c r="AXU345" s="104"/>
      <c r="AXV345" s="104"/>
      <c r="AXW345" s="104"/>
      <c r="AXX345" s="104"/>
      <c r="AXY345" s="104"/>
      <c r="AXZ345" s="104"/>
      <c r="AYA345" s="104"/>
      <c r="AYB345" s="104"/>
      <c r="AYC345" s="104"/>
      <c r="AYD345" s="104"/>
      <c r="AYE345" s="104"/>
      <c r="AYF345" s="104"/>
      <c r="AYG345" s="104"/>
      <c r="AYH345" s="104"/>
      <c r="AYI345" s="104"/>
      <c r="AYJ345" s="104"/>
      <c r="AYK345" s="104"/>
      <c r="AYL345" s="104"/>
      <c r="AYM345" s="104"/>
      <c r="AYN345" s="104"/>
      <c r="AYO345" s="104"/>
      <c r="AYP345" s="104"/>
      <c r="AYQ345" s="104"/>
      <c r="AYR345" s="104"/>
      <c r="AYS345" s="104"/>
      <c r="AYT345" s="104"/>
      <c r="AYU345" s="104"/>
      <c r="AYV345" s="104"/>
      <c r="AYW345" s="104"/>
      <c r="AYX345" s="104"/>
      <c r="AYY345" s="104"/>
      <c r="AYZ345" s="104"/>
      <c r="AZA345" s="104"/>
      <c r="AZB345" s="104"/>
      <c r="AZC345" s="104"/>
      <c r="AZD345" s="104"/>
      <c r="AZE345" s="104"/>
      <c r="AZF345" s="104"/>
      <c r="AZG345" s="104"/>
      <c r="AZH345" s="104"/>
      <c r="AZI345" s="104"/>
      <c r="AZJ345" s="104"/>
      <c r="AZK345" s="104"/>
      <c r="AZL345" s="104"/>
      <c r="AZM345" s="104"/>
      <c r="AZN345" s="104"/>
      <c r="AZO345" s="104"/>
      <c r="AZP345" s="104"/>
      <c r="AZQ345" s="104"/>
      <c r="AZR345" s="104"/>
      <c r="AZS345" s="104"/>
      <c r="AZT345" s="104"/>
      <c r="AZU345" s="104"/>
      <c r="AZV345" s="104"/>
      <c r="AZW345" s="104"/>
      <c r="AZX345" s="104"/>
      <c r="AZY345" s="104"/>
      <c r="AZZ345" s="104"/>
      <c r="BAA345" s="104"/>
      <c r="BAB345" s="104"/>
      <c r="BAC345" s="104"/>
      <c r="BAD345" s="104"/>
      <c r="BAE345" s="104"/>
      <c r="BAF345" s="104"/>
      <c r="BAG345" s="104"/>
      <c r="BAH345" s="104"/>
      <c r="BAI345" s="104"/>
      <c r="BAJ345" s="104"/>
      <c r="BAK345" s="104"/>
      <c r="BAL345" s="104"/>
      <c r="BAM345" s="104"/>
      <c r="BAN345" s="104"/>
      <c r="BAO345" s="104"/>
      <c r="BAP345" s="104"/>
      <c r="BAQ345" s="104"/>
      <c r="BAR345" s="104"/>
      <c r="BAS345" s="104"/>
      <c r="BAT345" s="104"/>
      <c r="BAU345" s="104"/>
      <c r="BAV345" s="104"/>
      <c r="BAW345" s="104"/>
      <c r="BAX345" s="104"/>
      <c r="BAY345" s="104"/>
      <c r="BAZ345" s="104"/>
      <c r="BBA345" s="104"/>
      <c r="BBB345" s="104"/>
      <c r="BBC345" s="104"/>
      <c r="BBD345" s="104"/>
      <c r="BBE345" s="104"/>
      <c r="BBF345" s="104"/>
      <c r="BBG345" s="104"/>
      <c r="BBH345" s="104"/>
      <c r="BBI345" s="104"/>
      <c r="BBJ345" s="104"/>
      <c r="BBK345" s="104"/>
      <c r="BBL345" s="104"/>
      <c r="BBM345" s="104"/>
      <c r="BBN345" s="104"/>
      <c r="BBO345" s="104"/>
      <c r="BBP345" s="104"/>
      <c r="BBQ345" s="104"/>
      <c r="BBR345" s="104"/>
      <c r="BBS345" s="104"/>
      <c r="BBT345" s="104"/>
      <c r="BBU345" s="104"/>
      <c r="BBV345" s="104"/>
      <c r="BBW345" s="104"/>
      <c r="BBX345" s="104"/>
      <c r="BBY345" s="104"/>
      <c r="BBZ345" s="104"/>
      <c r="BCA345" s="104"/>
      <c r="BCB345" s="104"/>
      <c r="BCC345" s="104"/>
      <c r="BCD345" s="104"/>
      <c r="BCE345" s="104"/>
      <c r="BCF345" s="104"/>
      <c r="BCG345" s="104"/>
      <c r="BCH345" s="104"/>
      <c r="BCI345" s="104"/>
      <c r="BCJ345" s="104"/>
      <c r="BCK345" s="104"/>
      <c r="BCL345" s="104"/>
      <c r="BCM345" s="104"/>
      <c r="BCN345" s="104"/>
      <c r="BCO345" s="104"/>
      <c r="BCP345" s="104"/>
      <c r="BCQ345" s="104"/>
      <c r="BCR345" s="104"/>
      <c r="BCS345" s="104"/>
      <c r="BCT345" s="104"/>
      <c r="BCU345" s="104"/>
      <c r="BCV345" s="104"/>
      <c r="BCW345" s="104"/>
      <c r="BCX345" s="104"/>
      <c r="BCY345" s="104"/>
      <c r="BCZ345" s="104"/>
      <c r="BDA345" s="104"/>
      <c r="BDB345" s="104"/>
      <c r="BDC345" s="104"/>
      <c r="BDD345" s="104"/>
      <c r="BDE345" s="104"/>
      <c r="BDF345" s="104"/>
      <c r="BDG345" s="104"/>
      <c r="BDH345" s="104"/>
      <c r="BDI345" s="104"/>
      <c r="BDJ345" s="104"/>
      <c r="BDK345" s="104"/>
      <c r="BDL345" s="104"/>
      <c r="BDM345" s="104"/>
      <c r="BDN345" s="104"/>
      <c r="BDO345" s="104"/>
      <c r="BDP345" s="104"/>
      <c r="BDQ345" s="104"/>
      <c r="BDR345" s="104"/>
      <c r="BDS345" s="104"/>
      <c r="BDT345" s="104"/>
      <c r="BDU345" s="104"/>
      <c r="BDV345" s="104"/>
      <c r="BDW345" s="104"/>
      <c r="BDX345" s="104"/>
      <c r="BDY345" s="104"/>
      <c r="BDZ345" s="104"/>
      <c r="BEA345" s="104"/>
      <c r="BEB345" s="104"/>
      <c r="BEC345" s="104"/>
      <c r="BED345" s="104"/>
      <c r="BEE345" s="104"/>
      <c r="BEF345" s="104"/>
      <c r="BEG345" s="104"/>
      <c r="BEH345" s="104"/>
      <c r="BEI345" s="104"/>
      <c r="BEJ345" s="104"/>
      <c r="BEK345" s="104"/>
      <c r="BEL345" s="104"/>
      <c r="BEM345" s="104"/>
      <c r="BEN345" s="104"/>
      <c r="BEO345" s="104"/>
      <c r="BEP345" s="104"/>
      <c r="BEQ345" s="104"/>
      <c r="BER345" s="104"/>
      <c r="BES345" s="104"/>
      <c r="BET345" s="104"/>
      <c r="BEU345" s="104"/>
      <c r="BEV345" s="104"/>
      <c r="BEW345" s="104"/>
      <c r="BEX345" s="104"/>
      <c r="BEY345" s="104"/>
      <c r="BEZ345" s="104"/>
      <c r="BFA345" s="104"/>
      <c r="BFB345" s="104"/>
      <c r="BFC345" s="104"/>
      <c r="BFD345" s="104"/>
      <c r="BFE345" s="104"/>
      <c r="BFF345" s="104"/>
      <c r="BFG345" s="104"/>
      <c r="BFH345" s="104"/>
      <c r="BFI345" s="104"/>
      <c r="BFJ345" s="104"/>
      <c r="BFK345" s="104"/>
      <c r="BFL345" s="104"/>
      <c r="BFM345" s="104"/>
      <c r="BFN345" s="104"/>
      <c r="BFO345" s="104"/>
      <c r="BFP345" s="104"/>
      <c r="BFQ345" s="104"/>
      <c r="BFR345" s="104"/>
      <c r="BFS345" s="104"/>
      <c r="BFT345" s="104"/>
      <c r="BFU345" s="104"/>
      <c r="BFV345" s="104"/>
      <c r="BFW345" s="104"/>
      <c r="BFX345" s="104"/>
      <c r="BFY345" s="104"/>
      <c r="BFZ345" s="104"/>
      <c r="BGA345" s="104"/>
      <c r="BGB345" s="104"/>
      <c r="BGC345" s="104"/>
      <c r="BGD345" s="104"/>
      <c r="BGE345" s="104"/>
      <c r="BGF345" s="104"/>
      <c r="BGG345" s="104"/>
      <c r="BGH345" s="104"/>
      <c r="BGI345" s="104"/>
      <c r="BGJ345" s="104"/>
      <c r="BGK345" s="104"/>
      <c r="BGL345" s="104"/>
      <c r="BGM345" s="104"/>
      <c r="BGN345" s="104"/>
      <c r="BGO345" s="104"/>
      <c r="BGP345" s="104"/>
      <c r="BGQ345" s="104"/>
      <c r="BGR345" s="104"/>
      <c r="BGS345" s="104"/>
      <c r="BGT345" s="104"/>
      <c r="BGU345" s="104"/>
      <c r="BGV345" s="104"/>
      <c r="BGW345" s="104"/>
      <c r="BGX345" s="104"/>
      <c r="BGY345" s="104"/>
      <c r="BGZ345" s="104"/>
      <c r="BHA345" s="104"/>
      <c r="BHB345" s="104"/>
      <c r="BHC345" s="104"/>
      <c r="BHD345" s="104"/>
      <c r="BHE345" s="104"/>
      <c r="BHF345" s="104"/>
      <c r="BHG345" s="104"/>
      <c r="BHH345" s="104"/>
      <c r="BHI345" s="104"/>
      <c r="BHJ345" s="104"/>
      <c r="BHK345" s="104"/>
      <c r="BHL345" s="104"/>
      <c r="BHM345" s="104"/>
      <c r="BHN345" s="104"/>
      <c r="BHO345" s="104"/>
      <c r="BHP345" s="104"/>
      <c r="BHQ345" s="104"/>
      <c r="BHR345" s="104"/>
      <c r="BHS345" s="104"/>
      <c r="BHT345" s="104"/>
      <c r="BHU345" s="104"/>
      <c r="BHV345" s="104"/>
      <c r="BHW345" s="104"/>
      <c r="BHX345" s="104"/>
      <c r="BHY345" s="104"/>
      <c r="BHZ345" s="104"/>
      <c r="BIA345" s="104"/>
      <c r="BIB345" s="104"/>
      <c r="BIC345" s="104"/>
      <c r="BID345" s="104"/>
      <c r="BIE345" s="104"/>
      <c r="BIF345" s="104"/>
      <c r="BIG345" s="104"/>
      <c r="BIH345" s="104"/>
      <c r="BII345" s="104"/>
      <c r="BIJ345" s="104"/>
      <c r="BIK345" s="104"/>
      <c r="BIL345" s="104"/>
      <c r="BIM345" s="104"/>
      <c r="BIN345" s="104"/>
      <c r="BIO345" s="104"/>
      <c r="BIP345" s="104"/>
      <c r="BIQ345" s="104"/>
      <c r="BIR345" s="104"/>
      <c r="BIS345" s="104"/>
      <c r="BIT345" s="104"/>
      <c r="BIU345" s="104"/>
      <c r="BIV345" s="104"/>
      <c r="BIW345" s="104"/>
      <c r="BIX345" s="104"/>
      <c r="BIY345" s="104"/>
      <c r="BIZ345" s="104"/>
      <c r="BJA345" s="104"/>
      <c r="BJB345" s="104"/>
      <c r="BJC345" s="104"/>
      <c r="BJD345" s="104"/>
      <c r="BJE345" s="104"/>
      <c r="BJF345" s="104"/>
      <c r="BJG345" s="104"/>
      <c r="BJH345" s="104"/>
      <c r="BJI345" s="104"/>
      <c r="BJJ345" s="104"/>
      <c r="BJK345" s="104"/>
      <c r="BJL345" s="104"/>
      <c r="BJM345" s="104"/>
      <c r="BJN345" s="104"/>
      <c r="BJO345" s="104"/>
      <c r="BJP345" s="104"/>
      <c r="BJQ345" s="104"/>
      <c r="BJR345" s="104"/>
      <c r="BJS345" s="104"/>
      <c r="BJT345" s="104"/>
      <c r="BJU345" s="104"/>
      <c r="BJV345" s="104"/>
      <c r="BJW345" s="104"/>
      <c r="BJX345" s="104"/>
      <c r="BJY345" s="104"/>
      <c r="BJZ345" s="104"/>
      <c r="BKA345" s="104"/>
      <c r="BKB345" s="104"/>
      <c r="BKC345" s="104"/>
      <c r="BKD345" s="104"/>
      <c r="BKE345" s="104"/>
      <c r="BKF345" s="104"/>
      <c r="BKG345" s="104"/>
      <c r="BKH345" s="104"/>
      <c r="BKI345" s="104"/>
      <c r="BKJ345" s="104"/>
      <c r="BKK345" s="104"/>
      <c r="BKL345" s="104"/>
      <c r="BKM345" s="104"/>
      <c r="BKN345" s="104"/>
      <c r="BKO345" s="104"/>
      <c r="BKP345" s="104"/>
      <c r="BKQ345" s="104"/>
      <c r="BKR345" s="104"/>
      <c r="BKS345" s="104"/>
      <c r="BKT345" s="104"/>
      <c r="BKU345" s="104"/>
      <c r="BKV345" s="104"/>
      <c r="BKW345" s="104"/>
      <c r="BKX345" s="104"/>
      <c r="BKY345" s="104"/>
      <c r="BKZ345" s="104"/>
      <c r="BLA345" s="104"/>
      <c r="BLB345" s="104"/>
      <c r="BLC345" s="104"/>
      <c r="BLD345" s="104"/>
      <c r="BLE345" s="104"/>
      <c r="BLF345" s="104"/>
      <c r="BLG345" s="104"/>
      <c r="BLH345" s="104"/>
      <c r="BLI345" s="104"/>
      <c r="BLJ345" s="104"/>
      <c r="BLK345" s="104"/>
      <c r="BLL345" s="104"/>
      <c r="BLM345" s="104"/>
      <c r="BLN345" s="104"/>
      <c r="BLO345" s="104"/>
      <c r="BLP345" s="104"/>
      <c r="BLQ345" s="104"/>
      <c r="BLR345" s="104"/>
      <c r="BLS345" s="104"/>
      <c r="BLT345" s="104"/>
      <c r="BLU345" s="104"/>
      <c r="BLV345" s="104"/>
      <c r="BLW345" s="104"/>
      <c r="BLX345" s="104"/>
      <c r="BLY345" s="104"/>
      <c r="BLZ345" s="104"/>
      <c r="BMA345" s="104"/>
      <c r="BMB345" s="104"/>
      <c r="BMC345" s="104"/>
      <c r="BMD345" s="104"/>
      <c r="BME345" s="104"/>
      <c r="BMF345" s="104"/>
      <c r="BMG345" s="104"/>
      <c r="BMH345" s="104"/>
      <c r="BMI345" s="104"/>
      <c r="BMJ345" s="104"/>
      <c r="BMK345" s="104"/>
      <c r="BML345" s="104"/>
      <c r="BMM345" s="104"/>
      <c r="BMN345" s="104"/>
      <c r="BMO345" s="104"/>
      <c r="BMP345" s="104"/>
      <c r="BMQ345" s="104"/>
      <c r="BMR345" s="104"/>
      <c r="BMS345" s="104"/>
      <c r="BMT345" s="104"/>
      <c r="BMU345" s="104"/>
      <c r="BMV345" s="104"/>
      <c r="BMW345" s="104"/>
      <c r="BMX345" s="104"/>
      <c r="BMY345" s="104"/>
      <c r="BMZ345" s="104"/>
      <c r="BNA345" s="104"/>
      <c r="BNB345" s="104"/>
      <c r="BNC345" s="104"/>
      <c r="BND345" s="104"/>
      <c r="BNE345" s="104"/>
      <c r="BNF345" s="104"/>
      <c r="BNG345" s="104"/>
      <c r="BNH345" s="104"/>
      <c r="BNI345" s="104"/>
      <c r="BNJ345" s="104"/>
      <c r="BNK345" s="104"/>
      <c r="BNL345" s="104"/>
      <c r="BNM345" s="104"/>
      <c r="BNN345" s="104"/>
      <c r="BNO345" s="104"/>
      <c r="BNP345" s="104"/>
      <c r="BNQ345" s="104"/>
      <c r="BNR345" s="104"/>
      <c r="BNS345" s="104"/>
      <c r="BNT345" s="104"/>
      <c r="BNU345" s="104"/>
      <c r="BNV345" s="104"/>
      <c r="BNW345" s="104"/>
      <c r="BNX345" s="104"/>
      <c r="BNY345" s="104"/>
      <c r="BNZ345" s="104"/>
      <c r="BOA345" s="104"/>
      <c r="BOB345" s="104"/>
      <c r="BOC345" s="104"/>
      <c r="BOD345" s="104"/>
      <c r="BOE345" s="104"/>
      <c r="BOF345" s="104"/>
      <c r="BOG345" s="104"/>
      <c r="BOH345" s="104"/>
      <c r="BOI345" s="104"/>
      <c r="BOJ345" s="104"/>
      <c r="BOK345" s="104"/>
      <c r="BOL345" s="104"/>
      <c r="BOM345" s="104"/>
      <c r="BON345" s="104"/>
      <c r="BOO345" s="104"/>
      <c r="BOP345" s="104"/>
      <c r="BOQ345" s="104"/>
      <c r="BOR345" s="104"/>
      <c r="BOS345" s="104"/>
      <c r="BOT345" s="104"/>
      <c r="BOU345" s="104"/>
      <c r="BOV345" s="104"/>
      <c r="BOW345" s="104"/>
      <c r="BOX345" s="104"/>
      <c r="BOY345" s="104"/>
      <c r="BOZ345" s="104"/>
      <c r="BPA345" s="104"/>
      <c r="BPB345" s="104"/>
      <c r="BPC345" s="104"/>
      <c r="BPD345" s="104"/>
      <c r="BPE345" s="104"/>
      <c r="BPF345" s="104"/>
      <c r="BPG345" s="104"/>
      <c r="BPH345" s="104"/>
      <c r="BPI345" s="104"/>
      <c r="BPJ345" s="104"/>
      <c r="BPK345" s="104"/>
      <c r="BPL345" s="104"/>
      <c r="BPM345" s="104"/>
      <c r="BPN345" s="104"/>
      <c r="BPO345" s="104"/>
      <c r="BPP345" s="104"/>
      <c r="BPQ345" s="104"/>
      <c r="BPR345" s="104"/>
      <c r="BPS345" s="104"/>
      <c r="BPT345" s="104"/>
      <c r="BPU345" s="104"/>
      <c r="BPV345" s="104"/>
      <c r="BPW345" s="104"/>
      <c r="BPX345" s="104"/>
      <c r="BPY345" s="104"/>
      <c r="BPZ345" s="104"/>
      <c r="BQA345" s="104"/>
      <c r="BQB345" s="104"/>
      <c r="BQC345" s="104"/>
      <c r="BQD345" s="104"/>
      <c r="BQE345" s="104"/>
      <c r="BQF345" s="104"/>
      <c r="BQG345" s="104"/>
      <c r="BQH345" s="104"/>
      <c r="BQI345" s="104"/>
      <c r="BQJ345" s="104"/>
      <c r="BQK345" s="104"/>
      <c r="BQL345" s="104"/>
      <c r="BQM345" s="104"/>
      <c r="BQN345" s="104"/>
      <c r="BQO345" s="104"/>
      <c r="BQP345" s="104"/>
      <c r="BQQ345" s="104"/>
      <c r="BQR345" s="104"/>
      <c r="BQS345" s="104"/>
      <c r="BQT345" s="104"/>
      <c r="BQU345" s="104"/>
      <c r="BQV345" s="104"/>
      <c r="BQW345" s="104"/>
      <c r="BQX345" s="104"/>
      <c r="BQY345" s="104"/>
      <c r="BQZ345" s="104"/>
      <c r="BRA345" s="104"/>
      <c r="BRB345" s="104"/>
      <c r="BRC345" s="104"/>
      <c r="BRD345" s="104"/>
      <c r="BRE345" s="104"/>
      <c r="BRF345" s="104"/>
      <c r="BRG345" s="104"/>
      <c r="BRH345" s="104"/>
      <c r="BRI345" s="104"/>
      <c r="BRJ345" s="104"/>
      <c r="BRK345" s="104"/>
      <c r="BRL345" s="104"/>
      <c r="BRM345" s="104"/>
      <c r="BRN345" s="104"/>
      <c r="BRO345" s="104"/>
      <c r="BRP345" s="104"/>
      <c r="BRQ345" s="104"/>
      <c r="BRR345" s="104"/>
      <c r="BRS345" s="104"/>
      <c r="BRT345" s="104"/>
      <c r="BRU345" s="104"/>
      <c r="BRV345" s="104"/>
      <c r="BRW345" s="104"/>
      <c r="BRX345" s="104"/>
      <c r="BRY345" s="104"/>
      <c r="BRZ345" s="104"/>
      <c r="BSA345" s="104"/>
      <c r="BSB345" s="104"/>
      <c r="BSC345" s="104"/>
      <c r="BSD345" s="104"/>
      <c r="BSE345" s="104"/>
      <c r="BSF345" s="104"/>
      <c r="BSG345" s="104"/>
      <c r="BSH345" s="104"/>
      <c r="BSI345" s="104"/>
      <c r="BSJ345" s="104"/>
      <c r="BSK345" s="104"/>
      <c r="BSL345" s="104"/>
      <c r="BSM345" s="104"/>
      <c r="BSN345" s="104"/>
      <c r="BSO345" s="104"/>
      <c r="BSP345" s="104"/>
      <c r="BSQ345" s="104"/>
      <c r="BSR345" s="104"/>
      <c r="BSS345" s="104"/>
      <c r="BST345" s="104"/>
      <c r="BSU345" s="104"/>
      <c r="BSV345" s="104"/>
      <c r="BSW345" s="104"/>
      <c r="BSX345" s="104"/>
      <c r="BSY345" s="104"/>
      <c r="BSZ345" s="104"/>
      <c r="BTA345" s="104"/>
      <c r="BTB345" s="104"/>
      <c r="BTC345" s="104"/>
      <c r="BTD345" s="104"/>
      <c r="BTE345" s="104"/>
      <c r="BTF345" s="104"/>
      <c r="BTG345" s="104"/>
      <c r="BTH345" s="104"/>
      <c r="BTI345" s="104"/>
      <c r="BTJ345" s="104"/>
      <c r="BTK345" s="104"/>
      <c r="BTL345" s="104"/>
      <c r="BTM345" s="104"/>
      <c r="BTN345" s="104"/>
      <c r="BTO345" s="104"/>
      <c r="BTP345" s="104"/>
      <c r="BTQ345" s="104"/>
      <c r="BTR345" s="104"/>
      <c r="BTS345" s="104"/>
      <c r="BTT345" s="104"/>
      <c r="BTU345" s="104"/>
      <c r="BTV345" s="104"/>
      <c r="BTW345" s="104"/>
      <c r="BTX345" s="104"/>
      <c r="BTY345" s="104"/>
      <c r="BTZ345" s="104"/>
      <c r="BUA345" s="104"/>
      <c r="BUB345" s="104"/>
      <c r="BUC345" s="104"/>
      <c r="BUD345" s="104"/>
      <c r="BUE345" s="104"/>
      <c r="BUF345" s="104"/>
      <c r="BUG345" s="104"/>
      <c r="BUH345" s="104"/>
      <c r="BUI345" s="104"/>
      <c r="BUJ345" s="104"/>
      <c r="BUK345" s="104"/>
      <c r="BUL345" s="104"/>
      <c r="BUM345" s="104"/>
      <c r="BUN345" s="104"/>
      <c r="BUO345" s="104"/>
      <c r="BUP345" s="104"/>
      <c r="BUQ345" s="104"/>
      <c r="BUR345" s="104"/>
      <c r="BUS345" s="104"/>
      <c r="BUT345" s="104"/>
      <c r="BUU345" s="104"/>
      <c r="BUV345" s="104"/>
      <c r="BUW345" s="104"/>
      <c r="BUX345" s="104"/>
      <c r="BUY345" s="104"/>
      <c r="BUZ345" s="104"/>
      <c r="BVA345" s="104"/>
      <c r="BVB345" s="104"/>
      <c r="BVC345" s="104"/>
      <c r="BVD345" s="104"/>
      <c r="BVE345" s="104"/>
      <c r="BVF345" s="104"/>
      <c r="BVG345" s="104"/>
      <c r="BVH345" s="104"/>
      <c r="BVI345" s="104"/>
      <c r="BVJ345" s="104"/>
      <c r="BVK345" s="104"/>
      <c r="BVL345" s="104"/>
      <c r="BVM345" s="104"/>
      <c r="BVN345" s="104"/>
      <c r="BVO345" s="104"/>
      <c r="BVP345" s="104"/>
      <c r="BVQ345" s="104"/>
      <c r="BVR345" s="104"/>
      <c r="BVS345" s="104"/>
      <c r="BVT345" s="104"/>
      <c r="BVU345" s="104"/>
      <c r="BVV345" s="104"/>
      <c r="BVW345" s="104"/>
      <c r="BVX345" s="104"/>
      <c r="BVY345" s="104"/>
      <c r="BVZ345" s="104"/>
      <c r="BWA345" s="104"/>
      <c r="BWB345" s="104"/>
      <c r="BWC345" s="104"/>
      <c r="BWD345" s="104"/>
      <c r="BWE345" s="104"/>
      <c r="BWF345" s="104"/>
      <c r="BWG345" s="104"/>
      <c r="BWH345" s="104"/>
      <c r="BWI345" s="104"/>
      <c r="BWJ345" s="104"/>
      <c r="BWK345" s="104"/>
      <c r="BWL345" s="104"/>
      <c r="BWM345" s="104"/>
      <c r="BWN345" s="104"/>
      <c r="BWO345" s="104"/>
      <c r="BWP345" s="104"/>
      <c r="BWQ345" s="104"/>
      <c r="BWR345" s="104"/>
      <c r="BWS345" s="104"/>
      <c r="BWT345" s="104"/>
      <c r="BWU345" s="104"/>
      <c r="BWV345" s="104"/>
      <c r="BWW345" s="104"/>
      <c r="BWX345" s="104"/>
      <c r="BWY345" s="104"/>
      <c r="BWZ345" s="104"/>
      <c r="BXA345" s="104"/>
      <c r="BXB345" s="104"/>
      <c r="BXC345" s="104"/>
      <c r="BXD345" s="104"/>
      <c r="BXE345" s="104"/>
      <c r="BXF345" s="104"/>
      <c r="BXG345" s="104"/>
      <c r="BXH345" s="104"/>
      <c r="BXI345" s="104"/>
      <c r="BXJ345" s="104"/>
      <c r="BXK345" s="104"/>
      <c r="BXL345" s="104"/>
      <c r="BXM345" s="104"/>
      <c r="BXN345" s="104"/>
      <c r="BXO345" s="104"/>
      <c r="BXP345" s="104"/>
      <c r="BXQ345" s="104"/>
      <c r="BXR345" s="104"/>
      <c r="BXS345" s="104"/>
      <c r="BXT345" s="104"/>
      <c r="BXU345" s="104"/>
      <c r="BXV345" s="104"/>
      <c r="BXW345" s="104"/>
      <c r="BXX345" s="104"/>
      <c r="BXY345" s="104"/>
      <c r="BXZ345" s="104"/>
      <c r="BYA345" s="104"/>
      <c r="BYB345" s="104"/>
      <c r="BYC345" s="104"/>
      <c r="BYD345" s="104"/>
      <c r="BYE345" s="104"/>
      <c r="BYF345" s="104"/>
      <c r="BYG345" s="104"/>
      <c r="BYH345" s="104"/>
      <c r="BYI345" s="104"/>
      <c r="BYJ345" s="104"/>
      <c r="BYK345" s="104"/>
      <c r="BYL345" s="104"/>
      <c r="BYM345" s="104"/>
      <c r="BYN345" s="104"/>
      <c r="BYO345" s="104"/>
      <c r="BYP345" s="104"/>
      <c r="BYQ345" s="104"/>
      <c r="BYR345" s="104"/>
      <c r="BYS345" s="104"/>
      <c r="BYT345" s="104"/>
      <c r="BYU345" s="104"/>
      <c r="BYV345" s="104"/>
      <c r="BYW345" s="104"/>
      <c r="BYX345" s="104"/>
      <c r="BYY345" s="104"/>
      <c r="BYZ345" s="104"/>
      <c r="BZA345" s="104"/>
      <c r="BZB345" s="104"/>
      <c r="BZC345" s="104"/>
      <c r="BZD345" s="104"/>
      <c r="BZE345" s="104"/>
      <c r="BZF345" s="104"/>
      <c r="BZG345" s="104"/>
      <c r="BZH345" s="104"/>
      <c r="BZI345" s="104"/>
      <c r="BZJ345" s="104"/>
      <c r="BZK345" s="104"/>
      <c r="BZL345" s="104"/>
      <c r="BZM345" s="104"/>
      <c r="BZN345" s="104"/>
      <c r="BZO345" s="104"/>
      <c r="BZP345" s="104"/>
      <c r="BZQ345" s="104"/>
      <c r="BZR345" s="104"/>
      <c r="BZS345" s="104"/>
      <c r="BZT345" s="104"/>
      <c r="BZU345" s="104"/>
      <c r="BZV345" s="104"/>
      <c r="BZW345" s="104"/>
      <c r="BZX345" s="104"/>
      <c r="BZY345" s="104"/>
      <c r="BZZ345" s="104"/>
      <c r="CAA345" s="104"/>
      <c r="CAB345" s="104"/>
      <c r="CAC345" s="104"/>
      <c r="CAD345" s="104"/>
      <c r="CAE345" s="104"/>
      <c r="CAF345" s="104"/>
      <c r="CAG345" s="104"/>
      <c r="CAH345" s="104"/>
      <c r="CAI345" s="104"/>
      <c r="CAJ345" s="104"/>
      <c r="CAK345" s="104"/>
      <c r="CAL345" s="104"/>
      <c r="CAM345" s="104"/>
      <c r="CAN345" s="104"/>
      <c r="CAO345" s="104"/>
      <c r="CAP345" s="104"/>
      <c r="CAQ345" s="104"/>
      <c r="CAR345" s="104"/>
      <c r="CAS345" s="104"/>
      <c r="CAT345" s="104"/>
      <c r="CAU345" s="104"/>
      <c r="CAV345" s="104"/>
      <c r="CAW345" s="104"/>
      <c r="CAX345" s="104"/>
      <c r="CAY345" s="104"/>
      <c r="CAZ345" s="104"/>
      <c r="CBA345" s="104"/>
      <c r="CBB345" s="104"/>
      <c r="CBC345" s="104"/>
      <c r="CBD345" s="104"/>
      <c r="CBE345" s="104"/>
      <c r="CBF345" s="104"/>
      <c r="CBG345" s="104"/>
      <c r="CBH345" s="104"/>
      <c r="CBI345" s="104"/>
      <c r="CBJ345" s="104"/>
      <c r="CBK345" s="104"/>
      <c r="CBL345" s="104"/>
      <c r="CBM345" s="104"/>
      <c r="CBN345" s="104"/>
      <c r="CBO345" s="104"/>
      <c r="CBP345" s="104"/>
      <c r="CBQ345" s="104"/>
      <c r="CBR345" s="104"/>
      <c r="CBS345" s="104"/>
      <c r="CBT345" s="104"/>
      <c r="CBU345" s="104"/>
      <c r="CBV345" s="104"/>
      <c r="CBW345" s="104"/>
      <c r="CBX345" s="104"/>
      <c r="CBY345" s="104"/>
      <c r="CBZ345" s="104"/>
      <c r="CCA345" s="104"/>
      <c r="CCB345" s="104"/>
      <c r="CCC345" s="104"/>
      <c r="CCD345" s="104"/>
      <c r="CCE345" s="104"/>
      <c r="CCF345" s="104"/>
      <c r="CCG345" s="104"/>
      <c r="CCH345" s="104"/>
      <c r="CCI345" s="104"/>
      <c r="CCJ345" s="104"/>
      <c r="CCK345" s="104"/>
      <c r="CCL345" s="104"/>
      <c r="CCM345" s="104"/>
      <c r="CCN345" s="104"/>
      <c r="CCO345" s="104"/>
      <c r="CCP345" s="104"/>
      <c r="CCQ345" s="104"/>
      <c r="CCR345" s="104"/>
      <c r="CCS345" s="104"/>
      <c r="CCT345" s="104"/>
      <c r="CCU345" s="104"/>
      <c r="CCV345" s="104"/>
      <c r="CCW345" s="104"/>
      <c r="CCX345" s="104"/>
      <c r="CCY345" s="104"/>
      <c r="CCZ345" s="104"/>
      <c r="CDA345" s="104"/>
      <c r="CDB345" s="104"/>
      <c r="CDC345" s="104"/>
      <c r="CDD345" s="104"/>
      <c r="CDE345" s="104"/>
      <c r="CDF345" s="104"/>
      <c r="CDG345" s="104"/>
      <c r="CDH345" s="104"/>
      <c r="CDI345" s="104"/>
      <c r="CDJ345" s="104"/>
      <c r="CDK345" s="104"/>
      <c r="CDL345" s="104"/>
      <c r="CDM345" s="104"/>
      <c r="CDN345" s="104"/>
      <c r="CDO345" s="104"/>
      <c r="CDP345" s="104"/>
      <c r="CDQ345" s="104"/>
      <c r="CDR345" s="104"/>
      <c r="CDS345" s="104"/>
      <c r="CDT345" s="104"/>
      <c r="CDU345" s="104"/>
      <c r="CDV345" s="104"/>
      <c r="CDW345" s="104"/>
      <c r="CDX345" s="104"/>
      <c r="CDY345" s="104"/>
      <c r="CDZ345" s="104"/>
      <c r="CEA345" s="104"/>
      <c r="CEB345" s="104"/>
      <c r="CEC345" s="104"/>
      <c r="CED345" s="104"/>
      <c r="CEE345" s="104"/>
      <c r="CEF345" s="104"/>
      <c r="CEG345" s="104"/>
      <c r="CEH345" s="104"/>
      <c r="CEI345" s="104"/>
      <c r="CEJ345" s="104"/>
      <c r="CEK345" s="104"/>
      <c r="CEL345" s="104"/>
      <c r="CEM345" s="104"/>
      <c r="CEN345" s="104"/>
      <c r="CEO345" s="104"/>
      <c r="CEP345" s="104"/>
      <c r="CEQ345" s="104"/>
      <c r="CER345" s="104"/>
      <c r="CES345" s="104"/>
      <c r="CET345" s="104"/>
      <c r="CEU345" s="104"/>
      <c r="CEV345" s="104"/>
      <c r="CEW345" s="104"/>
      <c r="CEX345" s="104"/>
      <c r="CEY345" s="104"/>
      <c r="CEZ345" s="104"/>
      <c r="CFA345" s="104"/>
      <c r="CFB345" s="104"/>
      <c r="CFC345" s="104"/>
      <c r="CFD345" s="104"/>
      <c r="CFE345" s="104"/>
      <c r="CFF345" s="104"/>
      <c r="CFG345" s="104"/>
      <c r="CFH345" s="104"/>
      <c r="CFI345" s="104"/>
      <c r="CFJ345" s="104"/>
      <c r="CFK345" s="104"/>
      <c r="CFL345" s="104"/>
      <c r="CFM345" s="104"/>
      <c r="CFN345" s="104"/>
      <c r="CFO345" s="104"/>
      <c r="CFP345" s="104"/>
      <c r="CFQ345" s="104"/>
      <c r="CFR345" s="104"/>
      <c r="CFS345" s="104"/>
      <c r="CFT345" s="104"/>
      <c r="CFU345" s="104"/>
      <c r="CFV345" s="104"/>
      <c r="CFW345" s="104"/>
      <c r="CFX345" s="104"/>
      <c r="CFY345" s="104"/>
      <c r="CFZ345" s="104"/>
      <c r="CGA345" s="104"/>
      <c r="CGB345" s="104"/>
      <c r="CGC345" s="104"/>
      <c r="CGD345" s="104"/>
      <c r="CGE345" s="104"/>
      <c r="CGF345" s="104"/>
      <c r="CGG345" s="104"/>
      <c r="CGH345" s="104"/>
      <c r="CGI345" s="104"/>
      <c r="CGJ345" s="104"/>
      <c r="CGK345" s="104"/>
      <c r="CGL345" s="104"/>
      <c r="CGM345" s="104"/>
      <c r="CGN345" s="104"/>
      <c r="CGO345" s="104"/>
      <c r="CGP345" s="104"/>
      <c r="CGQ345" s="104"/>
      <c r="CGR345" s="104"/>
      <c r="CGS345" s="104"/>
      <c r="CGT345" s="104"/>
      <c r="CGU345" s="104"/>
      <c r="CGV345" s="104"/>
      <c r="CGW345" s="104"/>
      <c r="CGX345" s="104"/>
      <c r="CGY345" s="104"/>
      <c r="CGZ345" s="104"/>
      <c r="CHA345" s="104"/>
      <c r="CHB345" s="104"/>
      <c r="CHC345" s="104"/>
      <c r="CHD345" s="104"/>
      <c r="CHE345" s="104"/>
      <c r="CHF345" s="104"/>
      <c r="CHG345" s="104"/>
      <c r="CHH345" s="104"/>
      <c r="CHI345" s="104"/>
      <c r="CHJ345" s="104"/>
      <c r="CHK345" s="104"/>
      <c r="CHL345" s="104"/>
      <c r="CHM345" s="104"/>
      <c r="CHN345" s="104"/>
      <c r="CHO345" s="104"/>
      <c r="CHP345" s="104"/>
      <c r="CHQ345" s="104"/>
      <c r="CHR345" s="104"/>
      <c r="CHS345" s="104"/>
      <c r="CHT345" s="104"/>
      <c r="CHU345" s="104"/>
      <c r="CHV345" s="104"/>
      <c r="CHW345" s="104"/>
      <c r="CHX345" s="104"/>
      <c r="CHY345" s="104"/>
      <c r="CHZ345" s="104"/>
      <c r="CIA345" s="104"/>
      <c r="CIB345" s="104"/>
      <c r="CIC345" s="104"/>
      <c r="CID345" s="104"/>
      <c r="CIE345" s="104"/>
      <c r="CIF345" s="104"/>
      <c r="CIG345" s="104"/>
      <c r="CIH345" s="104"/>
      <c r="CII345" s="104"/>
      <c r="CIJ345" s="104"/>
      <c r="CIK345" s="104"/>
      <c r="CIL345" s="104"/>
      <c r="CIM345" s="104"/>
      <c r="CIN345" s="104"/>
      <c r="CIO345" s="104"/>
      <c r="CIP345" s="104"/>
      <c r="CIQ345" s="104"/>
      <c r="CIR345" s="104"/>
      <c r="CIS345" s="104"/>
      <c r="CIT345" s="104"/>
      <c r="CIU345" s="104"/>
      <c r="CIV345" s="104"/>
      <c r="CIW345" s="104"/>
      <c r="CIX345" s="104"/>
      <c r="CIY345" s="104"/>
      <c r="CIZ345" s="104"/>
      <c r="CJA345" s="104"/>
      <c r="CJB345" s="104"/>
      <c r="CJC345" s="104"/>
      <c r="CJD345" s="104"/>
      <c r="CJE345" s="104"/>
      <c r="CJF345" s="104"/>
      <c r="CJG345" s="104"/>
      <c r="CJH345" s="104"/>
      <c r="CJI345" s="104"/>
      <c r="CJJ345" s="104"/>
      <c r="CJK345" s="104"/>
      <c r="CJL345" s="104"/>
      <c r="CJM345" s="104"/>
      <c r="CJN345" s="104"/>
      <c r="CJO345" s="104"/>
      <c r="CJP345" s="104"/>
      <c r="CJQ345" s="104"/>
      <c r="CJR345" s="104"/>
      <c r="CJS345" s="104"/>
      <c r="CJT345" s="104"/>
      <c r="CJU345" s="104"/>
      <c r="CJV345" s="104"/>
      <c r="CJW345" s="104"/>
      <c r="CJX345" s="104"/>
      <c r="CJY345" s="104"/>
      <c r="CJZ345" s="104"/>
      <c r="CKA345" s="104"/>
      <c r="CKB345" s="104"/>
      <c r="CKC345" s="104"/>
      <c r="CKD345" s="104"/>
      <c r="CKE345" s="104"/>
      <c r="CKF345" s="104"/>
      <c r="CKG345" s="104"/>
      <c r="CKH345" s="104"/>
      <c r="CKI345" s="104"/>
      <c r="CKJ345" s="104"/>
      <c r="CKK345" s="104"/>
      <c r="CKL345" s="104"/>
      <c r="CKM345" s="104"/>
      <c r="CKN345" s="104"/>
      <c r="CKO345" s="104"/>
      <c r="CKP345" s="104"/>
      <c r="CKQ345" s="104"/>
      <c r="CKR345" s="104"/>
      <c r="CKS345" s="104"/>
      <c r="CKT345" s="104"/>
      <c r="CKU345" s="104"/>
      <c r="CKV345" s="104"/>
      <c r="CKW345" s="104"/>
      <c r="CKX345" s="104"/>
      <c r="CKY345" s="104"/>
      <c r="CKZ345" s="104"/>
      <c r="CLA345" s="104"/>
      <c r="CLB345" s="104"/>
      <c r="CLC345" s="104"/>
      <c r="CLD345" s="104"/>
      <c r="CLE345" s="104"/>
      <c r="CLF345" s="104"/>
      <c r="CLG345" s="104"/>
      <c r="CLH345" s="104"/>
      <c r="CLI345" s="104"/>
      <c r="CLJ345" s="104"/>
      <c r="CLK345" s="104"/>
      <c r="CLL345" s="104"/>
      <c r="CLM345" s="104"/>
      <c r="CLN345" s="104"/>
      <c r="CLO345" s="104"/>
      <c r="CLP345" s="104"/>
      <c r="CLQ345" s="104"/>
      <c r="CLR345" s="104"/>
      <c r="CLS345" s="104"/>
      <c r="CLT345" s="104"/>
      <c r="CLU345" s="104"/>
      <c r="CLV345" s="104"/>
      <c r="CLW345" s="104"/>
      <c r="CLX345" s="104"/>
      <c r="CLY345" s="104"/>
      <c r="CLZ345" s="104"/>
      <c r="CMA345" s="104"/>
      <c r="CMB345" s="104"/>
      <c r="CMC345" s="104"/>
      <c r="CMD345" s="104"/>
      <c r="CME345" s="104"/>
      <c r="CMF345" s="104"/>
      <c r="CMG345" s="104"/>
      <c r="CMH345" s="104"/>
      <c r="CMI345" s="104"/>
      <c r="CMJ345" s="104"/>
      <c r="CMK345" s="104"/>
      <c r="CML345" s="104"/>
      <c r="CMM345" s="104"/>
      <c r="CMN345" s="104"/>
      <c r="CMO345" s="104"/>
      <c r="CMP345" s="104"/>
      <c r="CMQ345" s="104"/>
      <c r="CMR345" s="104"/>
      <c r="CMS345" s="104"/>
      <c r="CMT345" s="104"/>
      <c r="CMU345" s="104"/>
      <c r="CMV345" s="104"/>
      <c r="CMW345" s="104"/>
      <c r="CMX345" s="104"/>
      <c r="CMY345" s="104"/>
      <c r="CMZ345" s="104"/>
      <c r="CNA345" s="104"/>
      <c r="CNB345" s="104"/>
      <c r="CNC345" s="104"/>
      <c r="CND345" s="104"/>
      <c r="CNE345" s="104"/>
      <c r="CNF345" s="104"/>
      <c r="CNG345" s="104"/>
      <c r="CNH345" s="104"/>
      <c r="CNI345" s="104"/>
      <c r="CNJ345" s="104"/>
      <c r="CNK345" s="104"/>
      <c r="CNL345" s="104"/>
      <c r="CNM345" s="104"/>
      <c r="CNN345" s="104"/>
      <c r="CNO345" s="104"/>
      <c r="CNP345" s="104"/>
      <c r="CNQ345" s="104"/>
      <c r="CNR345" s="104"/>
      <c r="CNS345" s="104"/>
      <c r="CNT345" s="104"/>
      <c r="CNU345" s="104"/>
      <c r="CNV345" s="104"/>
      <c r="CNW345" s="104"/>
      <c r="CNX345" s="104"/>
      <c r="CNY345" s="104"/>
      <c r="CNZ345" s="104"/>
      <c r="COA345" s="104"/>
      <c r="COB345" s="104"/>
      <c r="COC345" s="104"/>
      <c r="COD345" s="104"/>
      <c r="COE345" s="104"/>
      <c r="COF345" s="104"/>
      <c r="COG345" s="104"/>
      <c r="COH345" s="104"/>
      <c r="COI345" s="104"/>
      <c r="COJ345" s="104"/>
      <c r="COK345" s="104"/>
      <c r="COL345" s="104"/>
      <c r="COM345" s="104"/>
      <c r="CON345" s="104"/>
      <c r="COO345" s="104"/>
      <c r="COP345" s="104"/>
      <c r="COQ345" s="104"/>
      <c r="COR345" s="104"/>
      <c r="COS345" s="104"/>
      <c r="COT345" s="104"/>
      <c r="COU345" s="104"/>
      <c r="COV345" s="104"/>
      <c r="COW345" s="104"/>
      <c r="COX345" s="104"/>
      <c r="COY345" s="104"/>
      <c r="COZ345" s="104"/>
      <c r="CPA345" s="104"/>
      <c r="CPB345" s="104"/>
      <c r="CPC345" s="104"/>
      <c r="CPD345" s="104"/>
      <c r="CPE345" s="104"/>
      <c r="CPF345" s="104"/>
      <c r="CPG345" s="104"/>
      <c r="CPH345" s="104"/>
      <c r="CPI345" s="104"/>
      <c r="CPJ345" s="104"/>
      <c r="CPK345" s="104"/>
      <c r="CPL345" s="104"/>
      <c r="CPM345" s="104"/>
      <c r="CPN345" s="104"/>
      <c r="CPO345" s="104"/>
      <c r="CPP345" s="104"/>
      <c r="CPQ345" s="104"/>
      <c r="CPR345" s="104"/>
      <c r="CPS345" s="104"/>
      <c r="CPT345" s="104"/>
      <c r="CPU345" s="104"/>
      <c r="CPV345" s="104"/>
      <c r="CPW345" s="104"/>
      <c r="CPX345" s="104"/>
      <c r="CPY345" s="104"/>
      <c r="CPZ345" s="104"/>
      <c r="CQA345" s="104"/>
      <c r="CQB345" s="104"/>
      <c r="CQC345" s="104"/>
      <c r="CQD345" s="104"/>
      <c r="CQE345" s="104"/>
      <c r="CQF345" s="104"/>
      <c r="CQG345" s="104"/>
      <c r="CQH345" s="104"/>
      <c r="CQI345" s="104"/>
      <c r="CQJ345" s="104"/>
      <c r="CQK345" s="104"/>
      <c r="CQL345" s="104"/>
      <c r="CQM345" s="104"/>
      <c r="CQN345" s="104"/>
      <c r="CQO345" s="104"/>
      <c r="CQP345" s="104"/>
      <c r="CQQ345" s="104"/>
      <c r="CQR345" s="104"/>
      <c r="CQS345" s="104"/>
      <c r="CQT345" s="104"/>
      <c r="CQU345" s="104"/>
      <c r="CQV345" s="104"/>
      <c r="CQW345" s="104"/>
      <c r="CQX345" s="104"/>
      <c r="CQY345" s="104"/>
      <c r="CQZ345" s="104"/>
      <c r="CRA345" s="104"/>
      <c r="CRB345" s="104"/>
      <c r="CRC345" s="104"/>
      <c r="CRD345" s="104"/>
      <c r="CRE345" s="104"/>
      <c r="CRF345" s="104"/>
      <c r="CRG345" s="104"/>
      <c r="CRH345" s="104"/>
      <c r="CRI345" s="104"/>
      <c r="CRJ345" s="104"/>
      <c r="CRK345" s="104"/>
      <c r="CRL345" s="104"/>
      <c r="CRM345" s="104"/>
      <c r="CRN345" s="104"/>
      <c r="CRO345" s="104"/>
      <c r="CRP345" s="104"/>
      <c r="CRQ345" s="104"/>
      <c r="CRR345" s="104"/>
      <c r="CRS345" s="104"/>
      <c r="CRT345" s="104"/>
      <c r="CRU345" s="104"/>
      <c r="CRV345" s="104"/>
      <c r="CRW345" s="104"/>
      <c r="CRX345" s="104"/>
      <c r="CRY345" s="104"/>
      <c r="CRZ345" s="104"/>
      <c r="CSA345" s="104"/>
      <c r="CSB345" s="104"/>
      <c r="CSC345" s="104"/>
      <c r="CSD345" s="104"/>
      <c r="CSE345" s="104"/>
      <c r="CSF345" s="104"/>
      <c r="CSG345" s="104"/>
      <c r="CSH345" s="104"/>
      <c r="CSI345" s="104"/>
      <c r="CSJ345" s="104"/>
      <c r="CSK345" s="104"/>
      <c r="CSL345" s="104"/>
      <c r="CSM345" s="104"/>
      <c r="CSN345" s="104"/>
      <c r="CSO345" s="104"/>
      <c r="CSP345" s="104"/>
      <c r="CSQ345" s="104"/>
      <c r="CSR345" s="104"/>
      <c r="CSS345" s="104"/>
      <c r="CST345" s="104"/>
      <c r="CSU345" s="104"/>
      <c r="CSV345" s="104"/>
      <c r="CSW345" s="104"/>
      <c r="CSX345" s="104"/>
      <c r="CSY345" s="104"/>
      <c r="CSZ345" s="104"/>
      <c r="CTA345" s="104"/>
      <c r="CTB345" s="104"/>
      <c r="CTC345" s="104"/>
      <c r="CTD345" s="104"/>
      <c r="CTE345" s="104"/>
      <c r="CTF345" s="104"/>
      <c r="CTG345" s="104"/>
      <c r="CTH345" s="104"/>
      <c r="CTI345" s="104"/>
      <c r="CTJ345" s="104"/>
      <c r="CTK345" s="104"/>
      <c r="CTL345" s="104"/>
      <c r="CTM345" s="104"/>
      <c r="CTN345" s="104"/>
      <c r="CTO345" s="104"/>
      <c r="CTP345" s="104"/>
      <c r="CTQ345" s="104"/>
      <c r="CTR345" s="104"/>
      <c r="CTS345" s="104"/>
      <c r="CTT345" s="104"/>
      <c r="CTU345" s="104"/>
      <c r="CTV345" s="104"/>
      <c r="CTW345" s="104"/>
      <c r="CTX345" s="104"/>
      <c r="CTY345" s="104"/>
      <c r="CTZ345" s="104"/>
      <c r="CUA345" s="104"/>
    </row>
    <row r="346" s="78" customFormat="1" spans="1:2575">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c r="BE346" s="104"/>
      <c r="BF346" s="104"/>
      <c r="BG346" s="104"/>
      <c r="BH346" s="104"/>
      <c r="BI346" s="104"/>
      <c r="BJ346" s="104"/>
      <c r="BK346" s="104"/>
      <c r="BL346" s="104"/>
      <c r="BM346" s="104"/>
      <c r="BN346" s="104"/>
      <c r="BO346" s="104"/>
      <c r="BP346" s="104"/>
      <c r="BQ346" s="104"/>
      <c r="BR346" s="104"/>
      <c r="BS346" s="104"/>
      <c r="BT346" s="104"/>
      <c r="BU346" s="104"/>
      <c r="BV346" s="104"/>
      <c r="BW346" s="104"/>
      <c r="BX346" s="104"/>
      <c r="BY346" s="104"/>
      <c r="BZ346" s="104"/>
      <c r="CA346" s="104"/>
      <c r="CB346" s="104"/>
      <c r="CC346" s="104"/>
      <c r="CD346" s="104"/>
      <c r="CE346" s="104"/>
      <c r="CF346" s="104"/>
      <c r="CG346" s="104"/>
      <c r="CH346" s="104"/>
      <c r="CI346" s="104"/>
      <c r="CJ346" s="104"/>
      <c r="CK346" s="104"/>
      <c r="CL346" s="104"/>
      <c r="CM346" s="104"/>
      <c r="CN346" s="104"/>
      <c r="CO346" s="104"/>
      <c r="CP346" s="104"/>
      <c r="CQ346" s="104"/>
      <c r="CR346" s="104"/>
      <c r="CS346" s="104"/>
      <c r="CT346" s="104"/>
      <c r="CU346" s="104"/>
      <c r="CV346" s="104"/>
      <c r="CW346" s="104"/>
      <c r="CX346" s="104"/>
      <c r="CY346" s="104"/>
      <c r="CZ346" s="104"/>
      <c r="DA346" s="104"/>
      <c r="DB346" s="104"/>
      <c r="DC346" s="104"/>
      <c r="DD346" s="104"/>
      <c r="DE346" s="104"/>
      <c r="DF346" s="104"/>
      <c r="DG346" s="104"/>
      <c r="DH346" s="104"/>
      <c r="DI346" s="104"/>
      <c r="DJ346" s="104"/>
      <c r="DK346" s="104"/>
      <c r="DL346" s="104"/>
      <c r="DM346" s="104"/>
      <c r="DN346" s="104"/>
      <c r="DO346" s="104"/>
      <c r="DP346" s="104"/>
      <c r="DQ346" s="104"/>
      <c r="DR346" s="104"/>
      <c r="DS346" s="104"/>
      <c r="DT346" s="104"/>
      <c r="DU346" s="104"/>
      <c r="DV346" s="104"/>
      <c r="DW346" s="104"/>
      <c r="DX346" s="104"/>
      <c r="DY346" s="104"/>
      <c r="DZ346" s="104"/>
      <c r="EA346" s="104"/>
      <c r="EB346" s="104"/>
      <c r="EC346" s="104"/>
      <c r="ED346" s="104"/>
      <c r="EE346" s="104"/>
      <c r="EF346" s="104"/>
      <c r="EG346" s="104"/>
      <c r="EH346" s="104"/>
      <c r="EI346" s="104"/>
      <c r="EJ346" s="104"/>
      <c r="EK346" s="104"/>
      <c r="EL346" s="104"/>
      <c r="EM346" s="104"/>
      <c r="EN346" s="104"/>
      <c r="EO346" s="104"/>
      <c r="EP346" s="104"/>
      <c r="EQ346" s="104"/>
      <c r="ER346" s="104"/>
      <c r="ES346" s="104"/>
      <c r="ET346" s="104"/>
      <c r="EU346" s="104"/>
      <c r="EV346" s="104"/>
      <c r="EW346" s="104"/>
      <c r="EX346" s="104"/>
      <c r="EY346" s="104"/>
      <c r="EZ346" s="104"/>
      <c r="FA346" s="104"/>
      <c r="FB346" s="104"/>
      <c r="FC346" s="104"/>
      <c r="FD346" s="104"/>
      <c r="FE346" s="104"/>
      <c r="FF346" s="104"/>
      <c r="FG346" s="104"/>
      <c r="FH346" s="104"/>
      <c r="FI346" s="104"/>
      <c r="FJ346" s="104"/>
      <c r="FK346" s="104"/>
      <c r="FL346" s="104"/>
      <c r="FM346" s="104"/>
      <c r="FN346" s="104"/>
      <c r="FO346" s="104"/>
      <c r="FP346" s="104"/>
      <c r="FQ346" s="104"/>
      <c r="FR346" s="104"/>
      <c r="FS346" s="104"/>
      <c r="FT346" s="104"/>
      <c r="FU346" s="104"/>
      <c r="FV346" s="104"/>
      <c r="FW346" s="104"/>
      <c r="FX346" s="104"/>
      <c r="FY346" s="104"/>
      <c r="FZ346" s="104"/>
      <c r="GA346" s="104"/>
      <c r="GB346" s="104"/>
      <c r="GC346" s="104"/>
      <c r="GD346" s="104"/>
      <c r="GE346" s="104"/>
      <c r="GF346" s="104"/>
      <c r="GG346" s="104"/>
      <c r="GH346" s="104"/>
      <c r="GI346" s="104"/>
      <c r="GJ346" s="104"/>
      <c r="GK346" s="104"/>
      <c r="GL346" s="104"/>
      <c r="GM346" s="104"/>
      <c r="GN346" s="104"/>
      <c r="GO346" s="104"/>
      <c r="GP346" s="104"/>
      <c r="GQ346" s="104"/>
      <c r="GR346" s="104"/>
      <c r="GS346" s="104"/>
      <c r="GT346" s="104"/>
      <c r="GU346" s="104"/>
      <c r="GV346" s="104"/>
      <c r="GW346" s="104"/>
      <c r="GX346" s="104"/>
      <c r="GY346" s="104"/>
      <c r="GZ346" s="104"/>
      <c r="HA346" s="104"/>
      <c r="HB346" s="104"/>
      <c r="HC346" s="104"/>
      <c r="HD346" s="104"/>
      <c r="HE346" s="104"/>
      <c r="HF346" s="104"/>
      <c r="HG346" s="104"/>
      <c r="HH346" s="104"/>
      <c r="HI346" s="104"/>
      <c r="HJ346" s="104"/>
      <c r="HK346" s="104"/>
      <c r="HL346" s="104"/>
      <c r="HM346" s="104"/>
      <c r="HN346" s="104"/>
      <c r="HO346" s="104"/>
      <c r="HP346" s="104"/>
      <c r="HQ346" s="104"/>
      <c r="HR346" s="104"/>
      <c r="HS346" s="104"/>
      <c r="HT346" s="104"/>
      <c r="HU346" s="104"/>
      <c r="HV346" s="104"/>
      <c r="HW346" s="104"/>
      <c r="HX346" s="104"/>
      <c r="HY346" s="104"/>
      <c r="HZ346" s="104"/>
      <c r="IA346" s="104"/>
      <c r="IB346" s="104"/>
      <c r="IC346" s="104"/>
      <c r="ID346" s="104"/>
      <c r="IE346" s="104"/>
      <c r="IF346" s="104"/>
      <c r="IG346" s="104"/>
      <c r="IH346" s="104"/>
      <c r="II346" s="104"/>
      <c r="IJ346" s="104"/>
      <c r="IK346" s="104"/>
      <c r="IL346" s="104"/>
      <c r="IM346" s="104"/>
      <c r="IN346" s="104"/>
      <c r="IO346" s="104"/>
      <c r="IP346" s="104"/>
      <c r="IQ346" s="104"/>
      <c r="IR346" s="104"/>
      <c r="IS346" s="104"/>
      <c r="IT346" s="104"/>
      <c r="IU346" s="104"/>
      <c r="IV346" s="104"/>
      <c r="IW346" s="104"/>
      <c r="IX346" s="104"/>
      <c r="IY346" s="104"/>
      <c r="IZ346" s="104"/>
      <c r="JA346" s="104"/>
      <c r="JB346" s="104"/>
      <c r="JC346" s="104"/>
      <c r="JD346" s="104"/>
      <c r="JE346" s="104"/>
      <c r="JF346" s="104"/>
      <c r="JG346" s="104"/>
      <c r="JH346" s="104"/>
      <c r="JI346" s="104"/>
      <c r="JJ346" s="104"/>
      <c r="JK346" s="104"/>
      <c r="JL346" s="104"/>
      <c r="JM346" s="104"/>
      <c r="JN346" s="104"/>
      <c r="JO346" s="104"/>
      <c r="JP346" s="104"/>
      <c r="JQ346" s="104"/>
      <c r="JR346" s="104"/>
      <c r="JS346" s="104"/>
      <c r="JT346" s="104"/>
      <c r="JU346" s="104"/>
      <c r="JV346" s="104"/>
      <c r="JW346" s="104"/>
      <c r="JX346" s="104"/>
      <c r="JY346" s="104"/>
      <c r="JZ346" s="104"/>
      <c r="KA346" s="104"/>
      <c r="KB346" s="104"/>
      <c r="KC346" s="104"/>
      <c r="KD346" s="104"/>
      <c r="KE346" s="104"/>
      <c r="KF346" s="104"/>
      <c r="KG346" s="104"/>
      <c r="KH346" s="104"/>
      <c r="KI346" s="104"/>
      <c r="KJ346" s="104"/>
      <c r="KK346" s="104"/>
      <c r="KL346" s="104"/>
      <c r="KM346" s="104"/>
      <c r="KN346" s="104"/>
      <c r="KO346" s="104"/>
      <c r="KP346" s="104"/>
      <c r="KQ346" s="104"/>
      <c r="KR346" s="104"/>
      <c r="KS346" s="104"/>
      <c r="KT346" s="104"/>
      <c r="KU346" s="104"/>
      <c r="KV346" s="104"/>
      <c r="KW346" s="104"/>
      <c r="KX346" s="104"/>
      <c r="KY346" s="104"/>
      <c r="KZ346" s="104"/>
      <c r="LA346" s="104"/>
      <c r="LB346" s="104"/>
      <c r="LC346" s="104"/>
      <c r="LD346" s="104"/>
      <c r="LE346" s="104"/>
      <c r="LF346" s="104"/>
      <c r="LG346" s="104"/>
      <c r="LH346" s="104"/>
      <c r="LI346" s="104"/>
      <c r="LJ346" s="104"/>
      <c r="LK346" s="104"/>
      <c r="LL346" s="104"/>
      <c r="LM346" s="104"/>
      <c r="LN346" s="104"/>
      <c r="LO346" s="104"/>
      <c r="LP346" s="104"/>
      <c r="LQ346" s="104"/>
      <c r="LR346" s="104"/>
      <c r="LS346" s="104"/>
      <c r="LT346" s="104"/>
      <c r="LU346" s="104"/>
      <c r="LV346" s="104"/>
      <c r="LW346" s="104"/>
      <c r="LX346" s="104"/>
      <c r="LY346" s="104"/>
      <c r="LZ346" s="104"/>
      <c r="MA346" s="104"/>
      <c r="MB346" s="104"/>
      <c r="MC346" s="104"/>
      <c r="MD346" s="104"/>
      <c r="ME346" s="104"/>
      <c r="MF346" s="104"/>
      <c r="MG346" s="104"/>
      <c r="MH346" s="104"/>
      <c r="MI346" s="104"/>
      <c r="MJ346" s="104"/>
      <c r="MK346" s="104"/>
      <c r="ML346" s="104"/>
      <c r="MM346" s="104"/>
      <c r="MN346" s="104"/>
      <c r="MO346" s="104"/>
      <c r="MP346" s="104"/>
      <c r="MQ346" s="104"/>
      <c r="MR346" s="104"/>
      <c r="MS346" s="104"/>
      <c r="MT346" s="104"/>
      <c r="MU346" s="104"/>
      <c r="MV346" s="104"/>
      <c r="MW346" s="104"/>
      <c r="MX346" s="104"/>
      <c r="MY346" s="104"/>
      <c r="MZ346" s="104"/>
      <c r="NA346" s="104"/>
      <c r="NB346" s="104"/>
      <c r="NC346" s="104"/>
      <c r="ND346" s="104"/>
      <c r="NE346" s="104"/>
      <c r="NF346" s="104"/>
      <c r="NG346" s="104"/>
      <c r="NH346" s="104"/>
      <c r="NI346" s="104"/>
      <c r="NJ346" s="104"/>
      <c r="NK346" s="104"/>
      <c r="NL346" s="104"/>
      <c r="NM346" s="104"/>
      <c r="NN346" s="104"/>
      <c r="NO346" s="104"/>
      <c r="NP346" s="104"/>
      <c r="NQ346" s="104"/>
      <c r="NR346" s="104"/>
      <c r="NS346" s="104"/>
      <c r="NT346" s="104"/>
      <c r="NU346" s="104"/>
      <c r="NV346" s="104"/>
      <c r="NW346" s="104"/>
      <c r="NX346" s="104"/>
      <c r="NY346" s="104"/>
      <c r="NZ346" s="104"/>
      <c r="OA346" s="104"/>
      <c r="OB346" s="104"/>
      <c r="OC346" s="104"/>
      <c r="OD346" s="104"/>
      <c r="OE346" s="104"/>
      <c r="OF346" s="104"/>
      <c r="OG346" s="104"/>
      <c r="OH346" s="104"/>
      <c r="OI346" s="104"/>
      <c r="OJ346" s="104"/>
      <c r="OK346" s="104"/>
      <c r="OL346" s="104"/>
      <c r="OM346" s="104"/>
      <c r="ON346" s="104"/>
      <c r="OO346" s="104"/>
      <c r="OP346" s="104"/>
      <c r="OQ346" s="104"/>
      <c r="OR346" s="104"/>
      <c r="OS346" s="104"/>
      <c r="OT346" s="104"/>
      <c r="OU346" s="104"/>
      <c r="OV346" s="104"/>
      <c r="OW346" s="104"/>
      <c r="OX346" s="104"/>
      <c r="OY346" s="104"/>
      <c r="OZ346" s="104"/>
      <c r="PA346" s="104"/>
      <c r="PB346" s="104"/>
      <c r="PC346" s="104"/>
      <c r="PD346" s="104"/>
      <c r="PE346" s="104"/>
      <c r="PF346" s="104"/>
      <c r="PG346" s="104"/>
      <c r="PH346" s="104"/>
      <c r="PI346" s="104"/>
      <c r="PJ346" s="104"/>
      <c r="PK346" s="104"/>
      <c r="PL346" s="104"/>
      <c r="PM346" s="104"/>
      <c r="PN346" s="104"/>
      <c r="PO346" s="104"/>
      <c r="PP346" s="104"/>
      <c r="PQ346" s="104"/>
      <c r="PR346" s="104"/>
      <c r="PS346" s="104"/>
      <c r="PT346" s="104"/>
      <c r="PU346" s="104"/>
      <c r="PV346" s="104"/>
      <c r="PW346" s="104"/>
      <c r="PX346" s="104"/>
      <c r="PY346" s="104"/>
      <c r="PZ346" s="104"/>
      <c r="QA346" s="104"/>
      <c r="QB346" s="104"/>
      <c r="QC346" s="104"/>
      <c r="QD346" s="104"/>
      <c r="QE346" s="104"/>
      <c r="QF346" s="104"/>
      <c r="QG346" s="104"/>
      <c r="QH346" s="104"/>
      <c r="QI346" s="104"/>
      <c r="QJ346" s="104"/>
      <c r="QK346" s="104"/>
      <c r="QL346" s="104"/>
      <c r="QM346" s="104"/>
      <c r="QN346" s="104"/>
      <c r="QO346" s="104"/>
      <c r="QP346" s="104"/>
      <c r="QQ346" s="104"/>
      <c r="QR346" s="104"/>
      <c r="QS346" s="104"/>
      <c r="QT346" s="104"/>
      <c r="QU346" s="104"/>
      <c r="QV346" s="104"/>
      <c r="QW346" s="104"/>
      <c r="QX346" s="104"/>
      <c r="QY346" s="104"/>
      <c r="QZ346" s="104"/>
      <c r="RA346" s="104"/>
      <c r="RB346" s="104"/>
      <c r="RC346" s="104"/>
      <c r="RD346" s="104"/>
      <c r="RE346" s="104"/>
      <c r="RF346" s="104"/>
      <c r="RG346" s="104"/>
      <c r="RH346" s="104"/>
      <c r="RI346" s="104"/>
      <c r="RJ346" s="104"/>
      <c r="RK346" s="104"/>
      <c r="RL346" s="104"/>
      <c r="RM346" s="104"/>
      <c r="RN346" s="104"/>
      <c r="RO346" s="104"/>
      <c r="RP346" s="104"/>
      <c r="RQ346" s="104"/>
      <c r="RR346" s="104"/>
      <c r="RS346" s="104"/>
      <c r="RT346" s="104"/>
      <c r="RU346" s="104"/>
      <c r="RV346" s="104"/>
      <c r="RW346" s="104"/>
      <c r="RX346" s="104"/>
      <c r="RY346" s="104"/>
      <c r="RZ346" s="104"/>
      <c r="SA346" s="104"/>
      <c r="SB346" s="104"/>
      <c r="SC346" s="104"/>
      <c r="SD346" s="104"/>
      <c r="SE346" s="104"/>
      <c r="SF346" s="104"/>
      <c r="SG346" s="104"/>
      <c r="SH346" s="104"/>
      <c r="SI346" s="104"/>
      <c r="SJ346" s="104"/>
      <c r="SK346" s="104"/>
      <c r="SL346" s="104"/>
      <c r="SM346" s="104"/>
      <c r="SN346" s="104"/>
      <c r="SO346" s="104"/>
      <c r="SP346" s="104"/>
      <c r="SQ346" s="104"/>
      <c r="SR346" s="104"/>
      <c r="SS346" s="104"/>
      <c r="ST346" s="104"/>
      <c r="SU346" s="104"/>
      <c r="SV346" s="104"/>
      <c r="SW346" s="104"/>
      <c r="SX346" s="104"/>
      <c r="SY346" s="104"/>
      <c r="SZ346" s="104"/>
      <c r="TA346" s="104"/>
      <c r="TB346" s="104"/>
      <c r="TC346" s="104"/>
      <c r="TD346" s="104"/>
      <c r="TE346" s="104"/>
      <c r="TF346" s="104"/>
      <c r="TG346" s="104"/>
      <c r="TH346" s="104"/>
      <c r="TI346" s="104"/>
      <c r="TJ346" s="104"/>
      <c r="TK346" s="104"/>
      <c r="TL346" s="104"/>
      <c r="TM346" s="104"/>
      <c r="TN346" s="104"/>
      <c r="TO346" s="104"/>
      <c r="TP346" s="104"/>
      <c r="TQ346" s="104"/>
      <c r="TR346" s="104"/>
      <c r="TS346" s="104"/>
      <c r="TT346" s="104"/>
      <c r="TU346" s="104"/>
      <c r="TV346" s="104"/>
      <c r="TW346" s="104"/>
      <c r="TX346" s="104"/>
      <c r="TY346" s="104"/>
      <c r="TZ346" s="104"/>
      <c r="UA346" s="104"/>
      <c r="UB346" s="104"/>
      <c r="UC346" s="104"/>
      <c r="UD346" s="104"/>
      <c r="UE346" s="104"/>
      <c r="UF346" s="104"/>
      <c r="UG346" s="104"/>
      <c r="UH346" s="104"/>
      <c r="UI346" s="104"/>
      <c r="UJ346" s="104"/>
      <c r="UK346" s="104"/>
      <c r="UL346" s="104"/>
      <c r="UM346" s="104"/>
      <c r="UN346" s="104"/>
      <c r="UO346" s="104"/>
      <c r="UP346" s="104"/>
      <c r="UQ346" s="104"/>
      <c r="UR346" s="104"/>
      <c r="US346" s="104"/>
      <c r="UT346" s="104"/>
      <c r="UU346" s="104"/>
      <c r="UV346" s="104"/>
      <c r="UW346" s="104"/>
      <c r="UX346" s="104"/>
      <c r="UY346" s="104"/>
      <c r="UZ346" s="104"/>
      <c r="VA346" s="104"/>
      <c r="VB346" s="104"/>
      <c r="VC346" s="104"/>
      <c r="VD346" s="104"/>
      <c r="VE346" s="104"/>
      <c r="VF346" s="104"/>
      <c r="VG346" s="104"/>
      <c r="VH346" s="104"/>
      <c r="VI346" s="104"/>
      <c r="VJ346" s="104"/>
      <c r="VK346" s="104"/>
      <c r="VL346" s="104"/>
      <c r="VM346" s="104"/>
      <c r="VN346" s="104"/>
      <c r="VO346" s="104"/>
      <c r="VP346" s="104"/>
      <c r="VQ346" s="104"/>
      <c r="VR346" s="104"/>
      <c r="VS346" s="104"/>
      <c r="VT346" s="104"/>
      <c r="VU346" s="104"/>
      <c r="VV346" s="104"/>
      <c r="VW346" s="104"/>
      <c r="VX346" s="104"/>
      <c r="VY346" s="104"/>
      <c r="VZ346" s="104"/>
      <c r="WA346" s="104"/>
      <c r="WB346" s="104"/>
      <c r="WC346" s="104"/>
      <c r="WD346" s="104"/>
      <c r="WE346" s="104"/>
      <c r="WF346" s="104"/>
      <c r="WG346" s="104"/>
      <c r="WH346" s="104"/>
      <c r="WI346" s="104"/>
      <c r="WJ346" s="104"/>
      <c r="WK346" s="104"/>
      <c r="WL346" s="104"/>
      <c r="WM346" s="104"/>
      <c r="WN346" s="104"/>
      <c r="WO346" s="104"/>
      <c r="WP346" s="104"/>
      <c r="WQ346" s="104"/>
      <c r="WR346" s="104"/>
      <c r="WS346" s="104"/>
      <c r="WT346" s="104"/>
      <c r="WU346" s="104"/>
      <c r="WV346" s="104"/>
      <c r="WW346" s="104"/>
      <c r="WX346" s="104"/>
      <c r="WY346" s="104"/>
      <c r="WZ346" s="104"/>
      <c r="XA346" s="104"/>
      <c r="XB346" s="104"/>
      <c r="XC346" s="104"/>
      <c r="XD346" s="104"/>
      <c r="XE346" s="104"/>
      <c r="XF346" s="104"/>
      <c r="XG346" s="104"/>
      <c r="XH346" s="104"/>
      <c r="XI346" s="104"/>
      <c r="XJ346" s="104"/>
      <c r="XK346" s="104"/>
      <c r="XL346" s="104"/>
      <c r="XM346" s="104"/>
      <c r="XN346" s="104"/>
      <c r="XO346" s="104"/>
      <c r="XP346" s="104"/>
      <c r="XQ346" s="104"/>
      <c r="XR346" s="104"/>
      <c r="XS346" s="104"/>
      <c r="XT346" s="104"/>
      <c r="XU346" s="104"/>
      <c r="XV346" s="104"/>
      <c r="XW346" s="104"/>
      <c r="XX346" s="104"/>
      <c r="XY346" s="104"/>
      <c r="XZ346" s="104"/>
      <c r="YA346" s="104"/>
      <c r="YB346" s="104"/>
      <c r="YC346" s="104"/>
      <c r="YD346" s="104"/>
      <c r="YE346" s="104"/>
      <c r="YF346" s="104"/>
      <c r="YG346" s="104"/>
      <c r="YH346" s="104"/>
      <c r="YI346" s="104"/>
      <c r="YJ346" s="104"/>
      <c r="YK346" s="104"/>
      <c r="YL346" s="104"/>
      <c r="YM346" s="104"/>
      <c r="YN346" s="104"/>
      <c r="YO346" s="104"/>
      <c r="YP346" s="104"/>
      <c r="YQ346" s="104"/>
      <c r="YR346" s="104"/>
      <c r="YS346" s="104"/>
      <c r="YT346" s="104"/>
      <c r="YU346" s="104"/>
      <c r="YV346" s="104"/>
      <c r="YW346" s="104"/>
      <c r="YX346" s="104"/>
      <c r="YY346" s="104"/>
      <c r="YZ346" s="104"/>
      <c r="ZA346" s="104"/>
      <c r="ZB346" s="104"/>
      <c r="ZC346" s="104"/>
      <c r="ZD346" s="104"/>
      <c r="ZE346" s="104"/>
      <c r="ZF346" s="104"/>
      <c r="ZG346" s="104"/>
      <c r="ZH346" s="104"/>
      <c r="ZI346" s="104"/>
      <c r="ZJ346" s="104"/>
      <c r="ZK346" s="104"/>
      <c r="ZL346" s="104"/>
      <c r="ZM346" s="104"/>
      <c r="ZN346" s="104"/>
      <c r="ZO346" s="104"/>
      <c r="ZP346" s="104"/>
      <c r="ZQ346" s="104"/>
      <c r="ZR346" s="104"/>
      <c r="ZS346" s="104"/>
      <c r="ZT346" s="104"/>
      <c r="ZU346" s="104"/>
      <c r="ZV346" s="104"/>
      <c r="ZW346" s="104"/>
      <c r="ZX346" s="104"/>
      <c r="ZY346" s="104"/>
      <c r="ZZ346" s="104"/>
      <c r="AAA346" s="104"/>
      <c r="AAB346" s="104"/>
      <c r="AAC346" s="104"/>
      <c r="AAD346" s="104"/>
      <c r="AAE346" s="104"/>
      <c r="AAF346" s="104"/>
      <c r="AAG346" s="104"/>
      <c r="AAH346" s="104"/>
      <c r="AAI346" s="104"/>
      <c r="AAJ346" s="104"/>
      <c r="AAK346" s="104"/>
      <c r="AAL346" s="104"/>
      <c r="AAM346" s="104"/>
      <c r="AAN346" s="104"/>
      <c r="AAO346" s="104"/>
      <c r="AAP346" s="104"/>
      <c r="AAQ346" s="104"/>
      <c r="AAR346" s="104"/>
      <c r="AAS346" s="104"/>
      <c r="AAT346" s="104"/>
      <c r="AAU346" s="104"/>
      <c r="AAV346" s="104"/>
      <c r="AAW346" s="104"/>
      <c r="AAX346" s="104"/>
      <c r="AAY346" s="104"/>
      <c r="AAZ346" s="104"/>
      <c r="ABA346" s="104"/>
      <c r="ABB346" s="104"/>
      <c r="ABC346" s="104"/>
      <c r="ABD346" s="104"/>
      <c r="ABE346" s="104"/>
      <c r="ABF346" s="104"/>
      <c r="ABG346" s="104"/>
      <c r="ABH346" s="104"/>
      <c r="ABI346" s="104"/>
      <c r="ABJ346" s="104"/>
      <c r="ABK346" s="104"/>
      <c r="ABL346" s="104"/>
      <c r="ABM346" s="104"/>
      <c r="ABN346" s="104"/>
      <c r="ABO346" s="104"/>
      <c r="ABP346" s="104"/>
      <c r="ABQ346" s="104"/>
      <c r="ABR346" s="104"/>
      <c r="ABS346" s="104"/>
      <c r="ABT346" s="104"/>
      <c r="ABU346" s="104"/>
      <c r="ABV346" s="104"/>
      <c r="ABW346" s="104"/>
      <c r="ABX346" s="104"/>
      <c r="ABY346" s="104"/>
      <c r="ABZ346" s="104"/>
      <c r="ACA346" s="104"/>
      <c r="ACB346" s="104"/>
      <c r="ACC346" s="104"/>
      <c r="ACD346" s="104"/>
      <c r="ACE346" s="104"/>
      <c r="ACF346" s="104"/>
      <c r="ACG346" s="104"/>
      <c r="ACH346" s="104"/>
      <c r="ACI346" s="104"/>
      <c r="ACJ346" s="104"/>
      <c r="ACK346" s="104"/>
      <c r="ACL346" s="104"/>
      <c r="ACM346" s="104"/>
      <c r="ACN346" s="104"/>
      <c r="ACO346" s="104"/>
      <c r="ACP346" s="104"/>
      <c r="ACQ346" s="104"/>
      <c r="ACR346" s="104"/>
      <c r="ACS346" s="104"/>
      <c r="ACT346" s="104"/>
      <c r="ACU346" s="104"/>
      <c r="ACV346" s="104"/>
      <c r="ACW346" s="104"/>
      <c r="ACX346" s="104"/>
      <c r="ACY346" s="104"/>
      <c r="ACZ346" s="104"/>
      <c r="ADA346" s="104"/>
      <c r="ADB346" s="104"/>
      <c r="ADC346" s="104"/>
      <c r="ADD346" s="104"/>
      <c r="ADE346" s="104"/>
      <c r="ADF346" s="104"/>
      <c r="ADG346" s="104"/>
      <c r="ADH346" s="104"/>
      <c r="ADI346" s="104"/>
      <c r="ADJ346" s="104"/>
      <c r="ADK346" s="104"/>
      <c r="ADL346" s="104"/>
      <c r="ADM346" s="104"/>
      <c r="ADN346" s="104"/>
      <c r="ADO346" s="104"/>
      <c r="ADP346" s="104"/>
      <c r="ADQ346" s="104"/>
      <c r="ADR346" s="104"/>
      <c r="ADS346" s="104"/>
      <c r="ADT346" s="104"/>
      <c r="ADU346" s="104"/>
      <c r="ADV346" s="104"/>
      <c r="ADW346" s="104"/>
      <c r="ADX346" s="104"/>
      <c r="ADY346" s="104"/>
      <c r="ADZ346" s="104"/>
      <c r="AEA346" s="104"/>
      <c r="AEB346" s="104"/>
      <c r="AEC346" s="104"/>
      <c r="AED346" s="104"/>
      <c r="AEE346" s="104"/>
      <c r="AEF346" s="104"/>
      <c r="AEG346" s="104"/>
      <c r="AEH346" s="104"/>
      <c r="AEI346" s="104"/>
      <c r="AEJ346" s="104"/>
      <c r="AEK346" s="104"/>
      <c r="AEL346" s="104"/>
      <c r="AEM346" s="104"/>
      <c r="AEN346" s="104"/>
      <c r="AEO346" s="104"/>
      <c r="AEP346" s="104"/>
      <c r="AEQ346" s="104"/>
      <c r="AER346" s="104"/>
      <c r="AES346" s="104"/>
      <c r="AET346" s="104"/>
      <c r="AEU346" s="104"/>
      <c r="AEV346" s="104"/>
      <c r="AEW346" s="104"/>
      <c r="AEX346" s="104"/>
      <c r="AEY346" s="104"/>
      <c r="AEZ346" s="104"/>
      <c r="AFA346" s="104"/>
      <c r="AFB346" s="104"/>
      <c r="AFC346" s="104"/>
      <c r="AFD346" s="104"/>
      <c r="AFE346" s="104"/>
      <c r="AFF346" s="104"/>
      <c r="AFG346" s="104"/>
      <c r="AFH346" s="104"/>
      <c r="AFI346" s="104"/>
      <c r="AFJ346" s="104"/>
      <c r="AFK346" s="104"/>
      <c r="AFL346" s="104"/>
      <c r="AFM346" s="104"/>
      <c r="AFN346" s="104"/>
      <c r="AFO346" s="104"/>
      <c r="AFP346" s="104"/>
      <c r="AFQ346" s="104"/>
      <c r="AFR346" s="104"/>
      <c r="AFS346" s="104"/>
      <c r="AFT346" s="104"/>
      <c r="AFU346" s="104"/>
      <c r="AFV346" s="104"/>
      <c r="AFW346" s="104"/>
      <c r="AFX346" s="104"/>
      <c r="AFY346" s="104"/>
      <c r="AFZ346" s="104"/>
      <c r="AGA346" s="104"/>
      <c r="AGB346" s="104"/>
      <c r="AGC346" s="104"/>
      <c r="AGD346" s="104"/>
      <c r="AGE346" s="104"/>
      <c r="AGF346" s="104"/>
      <c r="AGG346" s="104"/>
      <c r="AGH346" s="104"/>
      <c r="AGI346" s="104"/>
      <c r="AGJ346" s="104"/>
      <c r="AGK346" s="104"/>
      <c r="AGL346" s="104"/>
      <c r="AGM346" s="104"/>
      <c r="AGN346" s="104"/>
      <c r="AGO346" s="104"/>
      <c r="AGP346" s="104"/>
      <c r="AGQ346" s="104"/>
      <c r="AGR346" s="104"/>
      <c r="AGS346" s="104"/>
      <c r="AGT346" s="104"/>
      <c r="AGU346" s="104"/>
      <c r="AGV346" s="104"/>
      <c r="AGW346" s="104"/>
      <c r="AGX346" s="104"/>
      <c r="AGY346" s="104"/>
      <c r="AGZ346" s="104"/>
      <c r="AHA346" s="104"/>
      <c r="AHB346" s="104"/>
      <c r="AHC346" s="104"/>
      <c r="AHD346" s="104"/>
      <c r="AHE346" s="104"/>
      <c r="AHF346" s="104"/>
      <c r="AHG346" s="104"/>
      <c r="AHH346" s="104"/>
      <c r="AHI346" s="104"/>
      <c r="AHJ346" s="104"/>
      <c r="AHK346" s="104"/>
      <c r="AHL346" s="104"/>
      <c r="AHM346" s="104"/>
      <c r="AHN346" s="104"/>
      <c r="AHO346" s="104"/>
      <c r="AHP346" s="104"/>
      <c r="AHQ346" s="104"/>
      <c r="AHR346" s="104"/>
      <c r="AHS346" s="104"/>
      <c r="AHT346" s="104"/>
      <c r="AHU346" s="104"/>
      <c r="AHV346" s="104"/>
      <c r="AHW346" s="104"/>
      <c r="AHX346" s="104"/>
      <c r="AHY346" s="104"/>
      <c r="AHZ346" s="104"/>
      <c r="AIA346" s="104"/>
      <c r="AIB346" s="104"/>
      <c r="AIC346" s="104"/>
      <c r="AID346" s="104"/>
      <c r="AIE346" s="104"/>
      <c r="AIF346" s="104"/>
      <c r="AIG346" s="104"/>
      <c r="AIH346" s="104"/>
      <c r="AII346" s="104"/>
      <c r="AIJ346" s="104"/>
      <c r="AIK346" s="104"/>
      <c r="AIL346" s="104"/>
      <c r="AIM346" s="104"/>
      <c r="AIN346" s="104"/>
      <c r="AIO346" s="104"/>
      <c r="AIP346" s="104"/>
      <c r="AIQ346" s="104"/>
      <c r="AIR346" s="104"/>
      <c r="AIS346" s="104"/>
      <c r="AIT346" s="104"/>
      <c r="AIU346" s="104"/>
      <c r="AIV346" s="104"/>
      <c r="AIW346" s="104"/>
      <c r="AIX346" s="104"/>
      <c r="AIY346" s="104"/>
      <c r="AIZ346" s="104"/>
      <c r="AJA346" s="104"/>
      <c r="AJB346" s="104"/>
      <c r="AJC346" s="104"/>
      <c r="AJD346" s="104"/>
      <c r="AJE346" s="104"/>
      <c r="AJF346" s="104"/>
      <c r="AJG346" s="104"/>
      <c r="AJH346" s="104"/>
      <c r="AJI346" s="104"/>
      <c r="AJJ346" s="104"/>
      <c r="AJK346" s="104"/>
      <c r="AJL346" s="104"/>
      <c r="AJM346" s="104"/>
      <c r="AJN346" s="104"/>
      <c r="AJO346" s="104"/>
      <c r="AJP346" s="104"/>
      <c r="AJQ346" s="104"/>
      <c r="AJR346" s="104"/>
      <c r="AJS346" s="104"/>
      <c r="AJT346" s="104"/>
      <c r="AJU346" s="104"/>
      <c r="AJV346" s="104"/>
      <c r="AJW346" s="104"/>
      <c r="AJX346" s="104"/>
      <c r="AJY346" s="104"/>
      <c r="AJZ346" s="104"/>
      <c r="AKA346" s="104"/>
      <c r="AKB346" s="104"/>
      <c r="AKC346" s="104"/>
      <c r="AKD346" s="104"/>
      <c r="AKE346" s="104"/>
      <c r="AKF346" s="104"/>
      <c r="AKG346" s="104"/>
      <c r="AKH346" s="104"/>
      <c r="AKI346" s="104"/>
      <c r="AKJ346" s="104"/>
      <c r="AKK346" s="104"/>
      <c r="AKL346" s="104"/>
      <c r="AKM346" s="104"/>
      <c r="AKN346" s="104"/>
      <c r="AKO346" s="104"/>
      <c r="AKP346" s="104"/>
      <c r="AKQ346" s="104"/>
      <c r="AKR346" s="104"/>
      <c r="AKS346" s="104"/>
      <c r="AKT346" s="104"/>
      <c r="AKU346" s="104"/>
      <c r="AKV346" s="104"/>
      <c r="AKW346" s="104"/>
      <c r="AKX346" s="104"/>
      <c r="AKY346" s="104"/>
      <c r="AKZ346" s="104"/>
      <c r="ALA346" s="104"/>
      <c r="ALB346" s="104"/>
      <c r="ALC346" s="104"/>
      <c r="ALD346" s="104"/>
      <c r="ALE346" s="104"/>
      <c r="ALF346" s="104"/>
      <c r="ALG346" s="104"/>
      <c r="ALH346" s="104"/>
      <c r="ALI346" s="104"/>
      <c r="ALJ346" s="104"/>
      <c r="ALK346" s="104"/>
      <c r="ALL346" s="104"/>
      <c r="ALM346" s="104"/>
      <c r="ALN346" s="104"/>
      <c r="ALO346" s="104"/>
      <c r="ALP346" s="104"/>
      <c r="ALQ346" s="104"/>
      <c r="ALR346" s="104"/>
      <c r="ALS346" s="104"/>
      <c r="ALT346" s="104"/>
      <c r="ALU346" s="104"/>
      <c r="ALV346" s="104"/>
      <c r="ALW346" s="104"/>
      <c r="ALX346" s="104"/>
      <c r="ALY346" s="104"/>
      <c r="ALZ346" s="104"/>
      <c r="AMA346" s="104"/>
      <c r="AMB346" s="104"/>
      <c r="AMC346" s="104"/>
      <c r="AMD346" s="104"/>
      <c r="AME346" s="104"/>
      <c r="AMF346" s="104"/>
      <c r="AMG346" s="104"/>
      <c r="AMH346" s="104"/>
      <c r="AMI346" s="104"/>
      <c r="AMJ346" s="104"/>
      <c r="AMK346" s="104"/>
      <c r="AML346" s="104"/>
      <c r="AMM346" s="104"/>
      <c r="AMN346" s="104"/>
      <c r="AMO346" s="104"/>
      <c r="AMP346" s="104"/>
      <c r="AMQ346" s="104"/>
      <c r="AMR346" s="104"/>
      <c r="AMS346" s="104"/>
      <c r="AMT346" s="104"/>
      <c r="AMU346" s="104"/>
      <c r="AMV346" s="104"/>
      <c r="AMW346" s="104"/>
      <c r="AMX346" s="104"/>
      <c r="AMY346" s="104"/>
      <c r="AMZ346" s="104"/>
      <c r="ANA346" s="104"/>
      <c r="ANB346" s="104"/>
      <c r="ANC346" s="104"/>
      <c r="AND346" s="104"/>
      <c r="ANE346" s="104"/>
      <c r="ANF346" s="104"/>
      <c r="ANG346" s="104"/>
      <c r="ANH346" s="104"/>
      <c r="ANI346" s="104"/>
      <c r="ANJ346" s="104"/>
      <c r="ANK346" s="104"/>
      <c r="ANL346" s="104"/>
      <c r="ANM346" s="104"/>
      <c r="ANN346" s="104"/>
      <c r="ANO346" s="104"/>
      <c r="ANP346" s="104"/>
      <c r="ANQ346" s="104"/>
      <c r="ANR346" s="104"/>
      <c r="ANS346" s="104"/>
      <c r="ANT346" s="104"/>
      <c r="ANU346" s="104"/>
      <c r="ANV346" s="104"/>
      <c r="ANW346" s="104"/>
      <c r="ANX346" s="104"/>
      <c r="ANY346" s="104"/>
      <c r="ANZ346" s="104"/>
      <c r="AOA346" s="104"/>
      <c r="AOB346" s="104"/>
      <c r="AOC346" s="104"/>
      <c r="AOD346" s="104"/>
      <c r="AOE346" s="104"/>
      <c r="AOF346" s="104"/>
      <c r="AOG346" s="104"/>
      <c r="AOH346" s="104"/>
      <c r="AOI346" s="104"/>
      <c r="AOJ346" s="104"/>
      <c r="AOK346" s="104"/>
      <c r="AOL346" s="104"/>
      <c r="AOM346" s="104"/>
      <c r="AON346" s="104"/>
      <c r="AOO346" s="104"/>
      <c r="AOP346" s="104"/>
      <c r="AOQ346" s="104"/>
      <c r="AOR346" s="104"/>
      <c r="AOS346" s="104"/>
      <c r="AOT346" s="104"/>
      <c r="AOU346" s="104"/>
      <c r="AOV346" s="104"/>
      <c r="AOW346" s="104"/>
      <c r="AOX346" s="104"/>
      <c r="AOY346" s="104"/>
      <c r="AOZ346" s="104"/>
      <c r="APA346" s="104"/>
      <c r="APB346" s="104"/>
      <c r="APC346" s="104"/>
      <c r="APD346" s="104"/>
      <c r="APE346" s="104"/>
      <c r="APF346" s="104"/>
      <c r="APG346" s="104"/>
      <c r="APH346" s="104"/>
      <c r="API346" s="104"/>
      <c r="APJ346" s="104"/>
      <c r="APK346" s="104"/>
      <c r="APL346" s="104"/>
      <c r="APM346" s="104"/>
      <c r="APN346" s="104"/>
      <c r="APO346" s="104"/>
      <c r="APP346" s="104"/>
      <c r="APQ346" s="104"/>
      <c r="APR346" s="104"/>
      <c r="APS346" s="104"/>
      <c r="APT346" s="104"/>
      <c r="APU346" s="104"/>
      <c r="APV346" s="104"/>
      <c r="APW346" s="104"/>
      <c r="APX346" s="104"/>
      <c r="APY346" s="104"/>
      <c r="APZ346" s="104"/>
      <c r="AQA346" s="104"/>
      <c r="AQB346" s="104"/>
      <c r="AQC346" s="104"/>
      <c r="AQD346" s="104"/>
      <c r="AQE346" s="104"/>
      <c r="AQF346" s="104"/>
      <c r="AQG346" s="104"/>
      <c r="AQH346" s="104"/>
      <c r="AQI346" s="104"/>
      <c r="AQJ346" s="104"/>
      <c r="AQK346" s="104"/>
      <c r="AQL346" s="104"/>
      <c r="AQM346" s="104"/>
      <c r="AQN346" s="104"/>
      <c r="AQO346" s="104"/>
      <c r="AQP346" s="104"/>
      <c r="AQQ346" s="104"/>
      <c r="AQR346" s="104"/>
      <c r="AQS346" s="104"/>
      <c r="AQT346" s="104"/>
      <c r="AQU346" s="104"/>
      <c r="AQV346" s="104"/>
      <c r="AQW346" s="104"/>
      <c r="AQX346" s="104"/>
      <c r="AQY346" s="104"/>
      <c r="AQZ346" s="104"/>
      <c r="ARA346" s="104"/>
      <c r="ARB346" s="104"/>
      <c r="ARC346" s="104"/>
      <c r="ARD346" s="104"/>
      <c r="ARE346" s="104"/>
      <c r="ARF346" s="104"/>
      <c r="ARG346" s="104"/>
      <c r="ARH346" s="104"/>
      <c r="ARI346" s="104"/>
      <c r="ARJ346" s="104"/>
      <c r="ARK346" s="104"/>
      <c r="ARL346" s="104"/>
      <c r="ARM346" s="104"/>
      <c r="ARN346" s="104"/>
      <c r="ARO346" s="104"/>
      <c r="ARP346" s="104"/>
      <c r="ARQ346" s="104"/>
      <c r="ARR346" s="104"/>
      <c r="ARS346" s="104"/>
      <c r="ART346" s="104"/>
      <c r="ARU346" s="104"/>
      <c r="ARV346" s="104"/>
      <c r="ARW346" s="104"/>
      <c r="ARX346" s="104"/>
      <c r="ARY346" s="104"/>
      <c r="ARZ346" s="104"/>
      <c r="ASA346" s="104"/>
      <c r="ASB346" s="104"/>
      <c r="ASC346" s="104"/>
      <c r="ASD346" s="104"/>
      <c r="ASE346" s="104"/>
      <c r="ASF346" s="104"/>
      <c r="ASG346" s="104"/>
      <c r="ASH346" s="104"/>
      <c r="ASI346" s="104"/>
      <c r="ASJ346" s="104"/>
      <c r="ASK346" s="104"/>
      <c r="ASL346" s="104"/>
      <c r="ASM346" s="104"/>
      <c r="ASN346" s="104"/>
      <c r="ASO346" s="104"/>
      <c r="ASP346" s="104"/>
      <c r="ASQ346" s="104"/>
      <c r="ASR346" s="104"/>
      <c r="ASS346" s="104"/>
      <c r="AST346" s="104"/>
      <c r="ASU346" s="104"/>
      <c r="ASV346" s="104"/>
      <c r="ASW346" s="104"/>
      <c r="ASX346" s="104"/>
      <c r="ASY346" s="104"/>
      <c r="ASZ346" s="104"/>
      <c r="ATA346" s="104"/>
      <c r="ATB346" s="104"/>
      <c r="ATC346" s="104"/>
      <c r="ATD346" s="104"/>
      <c r="ATE346" s="104"/>
      <c r="ATF346" s="104"/>
      <c r="ATG346" s="104"/>
      <c r="ATH346" s="104"/>
      <c r="ATI346" s="104"/>
      <c r="ATJ346" s="104"/>
      <c r="ATK346" s="104"/>
      <c r="ATL346" s="104"/>
      <c r="ATM346" s="104"/>
      <c r="ATN346" s="104"/>
      <c r="ATO346" s="104"/>
      <c r="ATP346" s="104"/>
      <c r="ATQ346" s="104"/>
      <c r="ATR346" s="104"/>
      <c r="ATS346" s="104"/>
      <c r="ATT346" s="104"/>
      <c r="ATU346" s="104"/>
      <c r="ATV346" s="104"/>
      <c r="ATW346" s="104"/>
      <c r="ATX346" s="104"/>
      <c r="ATY346" s="104"/>
      <c r="ATZ346" s="104"/>
      <c r="AUA346" s="104"/>
      <c r="AUB346" s="104"/>
      <c r="AUC346" s="104"/>
      <c r="AUD346" s="104"/>
      <c r="AUE346" s="104"/>
      <c r="AUF346" s="104"/>
      <c r="AUG346" s="104"/>
      <c r="AUH346" s="104"/>
      <c r="AUI346" s="104"/>
      <c r="AUJ346" s="104"/>
      <c r="AUK346" s="104"/>
      <c r="AUL346" s="104"/>
      <c r="AUM346" s="104"/>
      <c r="AUN346" s="104"/>
      <c r="AUO346" s="104"/>
      <c r="AUP346" s="104"/>
      <c r="AUQ346" s="104"/>
      <c r="AUR346" s="104"/>
      <c r="AUS346" s="104"/>
      <c r="AUT346" s="104"/>
      <c r="AUU346" s="104"/>
      <c r="AUV346" s="104"/>
      <c r="AUW346" s="104"/>
      <c r="AUX346" s="104"/>
      <c r="AUY346" s="104"/>
      <c r="AUZ346" s="104"/>
      <c r="AVA346" s="104"/>
      <c r="AVB346" s="104"/>
      <c r="AVC346" s="104"/>
      <c r="AVD346" s="104"/>
      <c r="AVE346" s="104"/>
      <c r="AVF346" s="104"/>
      <c r="AVG346" s="104"/>
      <c r="AVH346" s="104"/>
      <c r="AVI346" s="104"/>
      <c r="AVJ346" s="104"/>
      <c r="AVK346" s="104"/>
      <c r="AVL346" s="104"/>
      <c r="AVM346" s="104"/>
      <c r="AVN346" s="104"/>
      <c r="AVO346" s="104"/>
      <c r="AVP346" s="104"/>
      <c r="AVQ346" s="104"/>
      <c r="AVR346" s="104"/>
      <c r="AVS346" s="104"/>
      <c r="AVT346" s="104"/>
      <c r="AVU346" s="104"/>
      <c r="AVV346" s="104"/>
      <c r="AVW346" s="104"/>
      <c r="AVX346" s="104"/>
      <c r="AVY346" s="104"/>
      <c r="AVZ346" s="104"/>
      <c r="AWA346" s="104"/>
      <c r="AWB346" s="104"/>
      <c r="AWC346" s="104"/>
      <c r="AWD346" s="104"/>
      <c r="AWE346" s="104"/>
      <c r="AWF346" s="104"/>
      <c r="AWG346" s="104"/>
      <c r="AWH346" s="104"/>
      <c r="AWI346" s="104"/>
      <c r="AWJ346" s="104"/>
      <c r="AWK346" s="104"/>
      <c r="AWL346" s="104"/>
      <c r="AWM346" s="104"/>
      <c r="AWN346" s="104"/>
      <c r="AWO346" s="104"/>
      <c r="AWP346" s="104"/>
      <c r="AWQ346" s="104"/>
      <c r="AWR346" s="104"/>
      <c r="AWS346" s="104"/>
      <c r="AWT346" s="104"/>
      <c r="AWU346" s="104"/>
      <c r="AWV346" s="104"/>
      <c r="AWW346" s="104"/>
      <c r="AWX346" s="104"/>
      <c r="AWY346" s="104"/>
      <c r="AWZ346" s="104"/>
      <c r="AXA346" s="104"/>
      <c r="AXB346" s="104"/>
      <c r="AXC346" s="104"/>
      <c r="AXD346" s="104"/>
      <c r="AXE346" s="104"/>
      <c r="AXF346" s="104"/>
      <c r="AXG346" s="104"/>
      <c r="AXH346" s="104"/>
      <c r="AXI346" s="104"/>
      <c r="AXJ346" s="104"/>
      <c r="AXK346" s="104"/>
      <c r="AXL346" s="104"/>
      <c r="AXM346" s="104"/>
      <c r="AXN346" s="104"/>
      <c r="AXO346" s="104"/>
      <c r="AXP346" s="104"/>
      <c r="AXQ346" s="104"/>
      <c r="AXR346" s="104"/>
      <c r="AXS346" s="104"/>
      <c r="AXT346" s="104"/>
      <c r="AXU346" s="104"/>
      <c r="AXV346" s="104"/>
      <c r="AXW346" s="104"/>
      <c r="AXX346" s="104"/>
      <c r="AXY346" s="104"/>
      <c r="AXZ346" s="104"/>
      <c r="AYA346" s="104"/>
      <c r="AYB346" s="104"/>
      <c r="AYC346" s="104"/>
      <c r="AYD346" s="104"/>
      <c r="AYE346" s="104"/>
      <c r="AYF346" s="104"/>
      <c r="AYG346" s="104"/>
      <c r="AYH346" s="104"/>
      <c r="AYI346" s="104"/>
      <c r="AYJ346" s="104"/>
      <c r="AYK346" s="104"/>
      <c r="AYL346" s="104"/>
      <c r="AYM346" s="104"/>
      <c r="AYN346" s="104"/>
      <c r="AYO346" s="104"/>
      <c r="AYP346" s="104"/>
      <c r="AYQ346" s="104"/>
      <c r="AYR346" s="104"/>
      <c r="AYS346" s="104"/>
      <c r="AYT346" s="104"/>
      <c r="AYU346" s="104"/>
      <c r="AYV346" s="104"/>
      <c r="AYW346" s="104"/>
      <c r="AYX346" s="104"/>
      <c r="AYY346" s="104"/>
      <c r="AYZ346" s="104"/>
      <c r="AZA346" s="104"/>
      <c r="AZB346" s="104"/>
      <c r="AZC346" s="104"/>
      <c r="AZD346" s="104"/>
      <c r="AZE346" s="104"/>
      <c r="AZF346" s="104"/>
      <c r="AZG346" s="104"/>
      <c r="AZH346" s="104"/>
      <c r="AZI346" s="104"/>
      <c r="AZJ346" s="104"/>
      <c r="AZK346" s="104"/>
      <c r="AZL346" s="104"/>
      <c r="AZM346" s="104"/>
      <c r="AZN346" s="104"/>
      <c r="AZO346" s="104"/>
      <c r="AZP346" s="104"/>
      <c r="AZQ346" s="104"/>
      <c r="AZR346" s="104"/>
      <c r="AZS346" s="104"/>
      <c r="AZT346" s="104"/>
      <c r="AZU346" s="104"/>
      <c r="AZV346" s="104"/>
      <c r="AZW346" s="104"/>
      <c r="AZX346" s="104"/>
      <c r="AZY346" s="104"/>
      <c r="AZZ346" s="104"/>
      <c r="BAA346" s="104"/>
      <c r="BAB346" s="104"/>
      <c r="BAC346" s="104"/>
      <c r="BAD346" s="104"/>
      <c r="BAE346" s="104"/>
      <c r="BAF346" s="104"/>
      <c r="BAG346" s="104"/>
      <c r="BAH346" s="104"/>
      <c r="BAI346" s="104"/>
      <c r="BAJ346" s="104"/>
      <c r="BAK346" s="104"/>
      <c r="BAL346" s="104"/>
      <c r="BAM346" s="104"/>
      <c r="BAN346" s="104"/>
      <c r="BAO346" s="104"/>
      <c r="BAP346" s="104"/>
      <c r="BAQ346" s="104"/>
      <c r="BAR346" s="104"/>
      <c r="BAS346" s="104"/>
      <c r="BAT346" s="104"/>
      <c r="BAU346" s="104"/>
      <c r="BAV346" s="104"/>
      <c r="BAW346" s="104"/>
      <c r="BAX346" s="104"/>
      <c r="BAY346" s="104"/>
      <c r="BAZ346" s="104"/>
      <c r="BBA346" s="104"/>
      <c r="BBB346" s="104"/>
      <c r="BBC346" s="104"/>
      <c r="BBD346" s="104"/>
      <c r="BBE346" s="104"/>
      <c r="BBF346" s="104"/>
      <c r="BBG346" s="104"/>
      <c r="BBH346" s="104"/>
      <c r="BBI346" s="104"/>
      <c r="BBJ346" s="104"/>
      <c r="BBK346" s="104"/>
      <c r="BBL346" s="104"/>
      <c r="BBM346" s="104"/>
      <c r="BBN346" s="104"/>
      <c r="BBO346" s="104"/>
      <c r="BBP346" s="104"/>
      <c r="BBQ346" s="104"/>
      <c r="BBR346" s="104"/>
      <c r="BBS346" s="104"/>
      <c r="BBT346" s="104"/>
      <c r="BBU346" s="104"/>
      <c r="BBV346" s="104"/>
      <c r="BBW346" s="104"/>
      <c r="BBX346" s="104"/>
      <c r="BBY346" s="104"/>
      <c r="BBZ346" s="104"/>
      <c r="BCA346" s="104"/>
      <c r="BCB346" s="104"/>
      <c r="BCC346" s="104"/>
      <c r="BCD346" s="104"/>
      <c r="BCE346" s="104"/>
      <c r="BCF346" s="104"/>
      <c r="BCG346" s="104"/>
      <c r="BCH346" s="104"/>
      <c r="BCI346" s="104"/>
      <c r="BCJ346" s="104"/>
      <c r="BCK346" s="104"/>
      <c r="BCL346" s="104"/>
      <c r="BCM346" s="104"/>
      <c r="BCN346" s="104"/>
      <c r="BCO346" s="104"/>
      <c r="BCP346" s="104"/>
      <c r="BCQ346" s="104"/>
      <c r="BCR346" s="104"/>
      <c r="BCS346" s="104"/>
      <c r="BCT346" s="104"/>
      <c r="BCU346" s="104"/>
      <c r="BCV346" s="104"/>
      <c r="BCW346" s="104"/>
      <c r="BCX346" s="104"/>
      <c r="BCY346" s="104"/>
      <c r="BCZ346" s="104"/>
      <c r="BDA346" s="104"/>
      <c r="BDB346" s="104"/>
      <c r="BDC346" s="104"/>
      <c r="BDD346" s="104"/>
      <c r="BDE346" s="104"/>
      <c r="BDF346" s="104"/>
      <c r="BDG346" s="104"/>
      <c r="BDH346" s="104"/>
      <c r="BDI346" s="104"/>
      <c r="BDJ346" s="104"/>
      <c r="BDK346" s="104"/>
      <c r="BDL346" s="104"/>
      <c r="BDM346" s="104"/>
      <c r="BDN346" s="104"/>
      <c r="BDO346" s="104"/>
      <c r="BDP346" s="104"/>
      <c r="BDQ346" s="104"/>
      <c r="BDR346" s="104"/>
      <c r="BDS346" s="104"/>
      <c r="BDT346" s="104"/>
      <c r="BDU346" s="104"/>
      <c r="BDV346" s="104"/>
      <c r="BDW346" s="104"/>
      <c r="BDX346" s="104"/>
      <c r="BDY346" s="104"/>
      <c r="BDZ346" s="104"/>
      <c r="BEA346" s="104"/>
      <c r="BEB346" s="104"/>
      <c r="BEC346" s="104"/>
      <c r="BED346" s="104"/>
      <c r="BEE346" s="104"/>
      <c r="BEF346" s="104"/>
      <c r="BEG346" s="104"/>
      <c r="BEH346" s="104"/>
      <c r="BEI346" s="104"/>
      <c r="BEJ346" s="104"/>
      <c r="BEK346" s="104"/>
      <c r="BEL346" s="104"/>
      <c r="BEM346" s="104"/>
      <c r="BEN346" s="104"/>
      <c r="BEO346" s="104"/>
      <c r="BEP346" s="104"/>
      <c r="BEQ346" s="104"/>
      <c r="BER346" s="104"/>
      <c r="BES346" s="104"/>
      <c r="BET346" s="104"/>
      <c r="BEU346" s="104"/>
      <c r="BEV346" s="104"/>
      <c r="BEW346" s="104"/>
      <c r="BEX346" s="104"/>
      <c r="BEY346" s="104"/>
      <c r="BEZ346" s="104"/>
      <c r="BFA346" s="104"/>
      <c r="BFB346" s="104"/>
      <c r="BFC346" s="104"/>
      <c r="BFD346" s="104"/>
      <c r="BFE346" s="104"/>
      <c r="BFF346" s="104"/>
      <c r="BFG346" s="104"/>
      <c r="BFH346" s="104"/>
      <c r="BFI346" s="104"/>
      <c r="BFJ346" s="104"/>
      <c r="BFK346" s="104"/>
      <c r="BFL346" s="104"/>
      <c r="BFM346" s="104"/>
      <c r="BFN346" s="104"/>
      <c r="BFO346" s="104"/>
      <c r="BFP346" s="104"/>
      <c r="BFQ346" s="104"/>
      <c r="BFR346" s="104"/>
      <c r="BFS346" s="104"/>
      <c r="BFT346" s="104"/>
      <c r="BFU346" s="104"/>
      <c r="BFV346" s="104"/>
      <c r="BFW346" s="104"/>
      <c r="BFX346" s="104"/>
      <c r="BFY346" s="104"/>
      <c r="BFZ346" s="104"/>
      <c r="BGA346" s="104"/>
      <c r="BGB346" s="104"/>
      <c r="BGC346" s="104"/>
      <c r="BGD346" s="104"/>
      <c r="BGE346" s="104"/>
      <c r="BGF346" s="104"/>
      <c r="BGG346" s="104"/>
      <c r="BGH346" s="104"/>
      <c r="BGI346" s="104"/>
      <c r="BGJ346" s="104"/>
      <c r="BGK346" s="104"/>
      <c r="BGL346" s="104"/>
      <c r="BGM346" s="104"/>
      <c r="BGN346" s="104"/>
      <c r="BGO346" s="104"/>
      <c r="BGP346" s="104"/>
      <c r="BGQ346" s="104"/>
      <c r="BGR346" s="104"/>
      <c r="BGS346" s="104"/>
      <c r="BGT346" s="104"/>
      <c r="BGU346" s="104"/>
      <c r="BGV346" s="104"/>
      <c r="BGW346" s="104"/>
      <c r="BGX346" s="104"/>
      <c r="BGY346" s="104"/>
      <c r="BGZ346" s="104"/>
      <c r="BHA346" s="104"/>
      <c r="BHB346" s="104"/>
      <c r="BHC346" s="104"/>
      <c r="BHD346" s="104"/>
      <c r="BHE346" s="104"/>
      <c r="BHF346" s="104"/>
      <c r="BHG346" s="104"/>
      <c r="BHH346" s="104"/>
      <c r="BHI346" s="104"/>
      <c r="BHJ346" s="104"/>
      <c r="BHK346" s="104"/>
      <c r="BHL346" s="104"/>
      <c r="BHM346" s="104"/>
      <c r="BHN346" s="104"/>
      <c r="BHO346" s="104"/>
      <c r="BHP346" s="104"/>
      <c r="BHQ346" s="104"/>
      <c r="BHR346" s="104"/>
      <c r="BHS346" s="104"/>
      <c r="BHT346" s="104"/>
      <c r="BHU346" s="104"/>
      <c r="BHV346" s="104"/>
      <c r="BHW346" s="104"/>
      <c r="BHX346" s="104"/>
      <c r="BHY346" s="104"/>
      <c r="BHZ346" s="104"/>
      <c r="BIA346" s="104"/>
      <c r="BIB346" s="104"/>
      <c r="BIC346" s="104"/>
      <c r="BID346" s="104"/>
      <c r="BIE346" s="104"/>
      <c r="BIF346" s="104"/>
      <c r="BIG346" s="104"/>
      <c r="BIH346" s="104"/>
      <c r="BII346" s="104"/>
      <c r="BIJ346" s="104"/>
      <c r="BIK346" s="104"/>
      <c r="BIL346" s="104"/>
      <c r="BIM346" s="104"/>
      <c r="BIN346" s="104"/>
      <c r="BIO346" s="104"/>
      <c r="BIP346" s="104"/>
      <c r="BIQ346" s="104"/>
      <c r="BIR346" s="104"/>
      <c r="BIS346" s="104"/>
      <c r="BIT346" s="104"/>
      <c r="BIU346" s="104"/>
      <c r="BIV346" s="104"/>
      <c r="BIW346" s="104"/>
      <c r="BIX346" s="104"/>
      <c r="BIY346" s="104"/>
      <c r="BIZ346" s="104"/>
      <c r="BJA346" s="104"/>
      <c r="BJB346" s="104"/>
      <c r="BJC346" s="104"/>
      <c r="BJD346" s="104"/>
      <c r="BJE346" s="104"/>
      <c r="BJF346" s="104"/>
      <c r="BJG346" s="104"/>
      <c r="BJH346" s="104"/>
      <c r="BJI346" s="104"/>
      <c r="BJJ346" s="104"/>
      <c r="BJK346" s="104"/>
      <c r="BJL346" s="104"/>
      <c r="BJM346" s="104"/>
      <c r="BJN346" s="104"/>
      <c r="BJO346" s="104"/>
      <c r="BJP346" s="104"/>
      <c r="BJQ346" s="104"/>
      <c r="BJR346" s="104"/>
      <c r="BJS346" s="104"/>
      <c r="BJT346" s="104"/>
      <c r="BJU346" s="104"/>
      <c r="BJV346" s="104"/>
      <c r="BJW346" s="104"/>
      <c r="BJX346" s="104"/>
      <c r="BJY346" s="104"/>
      <c r="BJZ346" s="104"/>
      <c r="BKA346" s="104"/>
      <c r="BKB346" s="104"/>
      <c r="BKC346" s="104"/>
      <c r="BKD346" s="104"/>
      <c r="BKE346" s="104"/>
      <c r="BKF346" s="104"/>
      <c r="BKG346" s="104"/>
      <c r="BKH346" s="104"/>
      <c r="BKI346" s="104"/>
      <c r="BKJ346" s="104"/>
      <c r="BKK346" s="104"/>
      <c r="BKL346" s="104"/>
      <c r="BKM346" s="104"/>
      <c r="BKN346" s="104"/>
      <c r="BKO346" s="104"/>
      <c r="BKP346" s="104"/>
      <c r="BKQ346" s="104"/>
      <c r="BKR346" s="104"/>
      <c r="BKS346" s="104"/>
      <c r="BKT346" s="104"/>
      <c r="BKU346" s="104"/>
      <c r="BKV346" s="104"/>
      <c r="BKW346" s="104"/>
      <c r="BKX346" s="104"/>
      <c r="BKY346" s="104"/>
      <c r="BKZ346" s="104"/>
      <c r="BLA346" s="104"/>
      <c r="BLB346" s="104"/>
      <c r="BLC346" s="104"/>
      <c r="BLD346" s="104"/>
      <c r="BLE346" s="104"/>
      <c r="BLF346" s="104"/>
      <c r="BLG346" s="104"/>
      <c r="BLH346" s="104"/>
      <c r="BLI346" s="104"/>
      <c r="BLJ346" s="104"/>
      <c r="BLK346" s="104"/>
      <c r="BLL346" s="104"/>
      <c r="BLM346" s="104"/>
      <c r="BLN346" s="104"/>
      <c r="BLO346" s="104"/>
      <c r="BLP346" s="104"/>
      <c r="BLQ346" s="104"/>
      <c r="BLR346" s="104"/>
      <c r="BLS346" s="104"/>
      <c r="BLT346" s="104"/>
      <c r="BLU346" s="104"/>
      <c r="BLV346" s="104"/>
      <c r="BLW346" s="104"/>
      <c r="BLX346" s="104"/>
      <c r="BLY346" s="104"/>
      <c r="BLZ346" s="104"/>
      <c r="BMA346" s="104"/>
      <c r="BMB346" s="104"/>
      <c r="BMC346" s="104"/>
      <c r="BMD346" s="104"/>
      <c r="BME346" s="104"/>
      <c r="BMF346" s="104"/>
      <c r="BMG346" s="104"/>
      <c r="BMH346" s="104"/>
      <c r="BMI346" s="104"/>
      <c r="BMJ346" s="104"/>
      <c r="BMK346" s="104"/>
      <c r="BML346" s="104"/>
      <c r="BMM346" s="104"/>
      <c r="BMN346" s="104"/>
      <c r="BMO346" s="104"/>
      <c r="BMP346" s="104"/>
      <c r="BMQ346" s="104"/>
      <c r="BMR346" s="104"/>
      <c r="BMS346" s="104"/>
      <c r="BMT346" s="104"/>
      <c r="BMU346" s="104"/>
      <c r="BMV346" s="104"/>
      <c r="BMW346" s="104"/>
      <c r="BMX346" s="104"/>
      <c r="BMY346" s="104"/>
      <c r="BMZ346" s="104"/>
      <c r="BNA346" s="104"/>
      <c r="BNB346" s="104"/>
      <c r="BNC346" s="104"/>
      <c r="BND346" s="104"/>
      <c r="BNE346" s="104"/>
      <c r="BNF346" s="104"/>
      <c r="BNG346" s="104"/>
      <c r="BNH346" s="104"/>
      <c r="BNI346" s="104"/>
      <c r="BNJ346" s="104"/>
      <c r="BNK346" s="104"/>
      <c r="BNL346" s="104"/>
      <c r="BNM346" s="104"/>
      <c r="BNN346" s="104"/>
      <c r="BNO346" s="104"/>
      <c r="BNP346" s="104"/>
      <c r="BNQ346" s="104"/>
      <c r="BNR346" s="104"/>
      <c r="BNS346" s="104"/>
      <c r="BNT346" s="104"/>
      <c r="BNU346" s="104"/>
      <c r="BNV346" s="104"/>
      <c r="BNW346" s="104"/>
      <c r="BNX346" s="104"/>
      <c r="BNY346" s="104"/>
      <c r="BNZ346" s="104"/>
      <c r="BOA346" s="104"/>
      <c r="BOB346" s="104"/>
      <c r="BOC346" s="104"/>
      <c r="BOD346" s="104"/>
      <c r="BOE346" s="104"/>
      <c r="BOF346" s="104"/>
      <c r="BOG346" s="104"/>
      <c r="BOH346" s="104"/>
      <c r="BOI346" s="104"/>
      <c r="BOJ346" s="104"/>
      <c r="BOK346" s="104"/>
      <c r="BOL346" s="104"/>
      <c r="BOM346" s="104"/>
      <c r="BON346" s="104"/>
      <c r="BOO346" s="104"/>
      <c r="BOP346" s="104"/>
      <c r="BOQ346" s="104"/>
      <c r="BOR346" s="104"/>
      <c r="BOS346" s="104"/>
      <c r="BOT346" s="104"/>
      <c r="BOU346" s="104"/>
      <c r="BOV346" s="104"/>
      <c r="BOW346" s="104"/>
      <c r="BOX346" s="104"/>
      <c r="BOY346" s="104"/>
      <c r="BOZ346" s="104"/>
      <c r="BPA346" s="104"/>
      <c r="BPB346" s="104"/>
      <c r="BPC346" s="104"/>
      <c r="BPD346" s="104"/>
      <c r="BPE346" s="104"/>
      <c r="BPF346" s="104"/>
      <c r="BPG346" s="104"/>
      <c r="BPH346" s="104"/>
      <c r="BPI346" s="104"/>
      <c r="BPJ346" s="104"/>
      <c r="BPK346" s="104"/>
      <c r="BPL346" s="104"/>
      <c r="BPM346" s="104"/>
      <c r="BPN346" s="104"/>
      <c r="BPO346" s="104"/>
      <c r="BPP346" s="104"/>
      <c r="BPQ346" s="104"/>
      <c r="BPR346" s="104"/>
      <c r="BPS346" s="104"/>
      <c r="BPT346" s="104"/>
      <c r="BPU346" s="104"/>
      <c r="BPV346" s="104"/>
      <c r="BPW346" s="104"/>
      <c r="BPX346" s="104"/>
      <c r="BPY346" s="104"/>
      <c r="BPZ346" s="104"/>
      <c r="BQA346" s="104"/>
      <c r="BQB346" s="104"/>
      <c r="BQC346" s="104"/>
      <c r="BQD346" s="104"/>
      <c r="BQE346" s="104"/>
      <c r="BQF346" s="104"/>
      <c r="BQG346" s="104"/>
      <c r="BQH346" s="104"/>
      <c r="BQI346" s="104"/>
      <c r="BQJ346" s="104"/>
      <c r="BQK346" s="104"/>
      <c r="BQL346" s="104"/>
      <c r="BQM346" s="104"/>
      <c r="BQN346" s="104"/>
      <c r="BQO346" s="104"/>
      <c r="BQP346" s="104"/>
      <c r="BQQ346" s="104"/>
      <c r="BQR346" s="104"/>
      <c r="BQS346" s="104"/>
      <c r="BQT346" s="104"/>
      <c r="BQU346" s="104"/>
      <c r="BQV346" s="104"/>
      <c r="BQW346" s="104"/>
      <c r="BQX346" s="104"/>
      <c r="BQY346" s="104"/>
      <c r="BQZ346" s="104"/>
      <c r="BRA346" s="104"/>
      <c r="BRB346" s="104"/>
      <c r="BRC346" s="104"/>
      <c r="BRD346" s="104"/>
      <c r="BRE346" s="104"/>
      <c r="BRF346" s="104"/>
      <c r="BRG346" s="104"/>
      <c r="BRH346" s="104"/>
      <c r="BRI346" s="104"/>
      <c r="BRJ346" s="104"/>
      <c r="BRK346" s="104"/>
      <c r="BRL346" s="104"/>
      <c r="BRM346" s="104"/>
      <c r="BRN346" s="104"/>
      <c r="BRO346" s="104"/>
      <c r="BRP346" s="104"/>
      <c r="BRQ346" s="104"/>
      <c r="BRR346" s="104"/>
      <c r="BRS346" s="104"/>
      <c r="BRT346" s="104"/>
      <c r="BRU346" s="104"/>
      <c r="BRV346" s="104"/>
      <c r="BRW346" s="104"/>
      <c r="BRX346" s="104"/>
      <c r="BRY346" s="104"/>
      <c r="BRZ346" s="104"/>
      <c r="BSA346" s="104"/>
      <c r="BSB346" s="104"/>
      <c r="BSC346" s="104"/>
      <c r="BSD346" s="104"/>
      <c r="BSE346" s="104"/>
      <c r="BSF346" s="104"/>
      <c r="BSG346" s="104"/>
      <c r="BSH346" s="104"/>
      <c r="BSI346" s="104"/>
      <c r="BSJ346" s="104"/>
      <c r="BSK346" s="104"/>
      <c r="BSL346" s="104"/>
      <c r="BSM346" s="104"/>
      <c r="BSN346" s="104"/>
      <c r="BSO346" s="104"/>
      <c r="BSP346" s="104"/>
      <c r="BSQ346" s="104"/>
      <c r="BSR346" s="104"/>
      <c r="BSS346" s="104"/>
      <c r="BST346" s="104"/>
      <c r="BSU346" s="104"/>
      <c r="BSV346" s="104"/>
      <c r="BSW346" s="104"/>
      <c r="BSX346" s="104"/>
      <c r="BSY346" s="104"/>
      <c r="BSZ346" s="104"/>
      <c r="BTA346" s="104"/>
      <c r="BTB346" s="104"/>
      <c r="BTC346" s="104"/>
      <c r="BTD346" s="104"/>
      <c r="BTE346" s="104"/>
      <c r="BTF346" s="104"/>
      <c r="BTG346" s="104"/>
      <c r="BTH346" s="104"/>
      <c r="BTI346" s="104"/>
      <c r="BTJ346" s="104"/>
      <c r="BTK346" s="104"/>
      <c r="BTL346" s="104"/>
      <c r="BTM346" s="104"/>
      <c r="BTN346" s="104"/>
      <c r="BTO346" s="104"/>
      <c r="BTP346" s="104"/>
      <c r="BTQ346" s="104"/>
      <c r="BTR346" s="104"/>
      <c r="BTS346" s="104"/>
      <c r="BTT346" s="104"/>
      <c r="BTU346" s="104"/>
      <c r="BTV346" s="104"/>
      <c r="BTW346" s="104"/>
      <c r="BTX346" s="104"/>
      <c r="BTY346" s="104"/>
      <c r="BTZ346" s="104"/>
      <c r="BUA346" s="104"/>
      <c r="BUB346" s="104"/>
      <c r="BUC346" s="104"/>
      <c r="BUD346" s="104"/>
      <c r="BUE346" s="104"/>
      <c r="BUF346" s="104"/>
      <c r="BUG346" s="104"/>
      <c r="BUH346" s="104"/>
      <c r="BUI346" s="104"/>
      <c r="BUJ346" s="104"/>
      <c r="BUK346" s="104"/>
      <c r="BUL346" s="104"/>
      <c r="BUM346" s="104"/>
      <c r="BUN346" s="104"/>
      <c r="BUO346" s="104"/>
      <c r="BUP346" s="104"/>
      <c r="BUQ346" s="104"/>
      <c r="BUR346" s="104"/>
      <c r="BUS346" s="104"/>
      <c r="BUT346" s="104"/>
      <c r="BUU346" s="104"/>
      <c r="BUV346" s="104"/>
      <c r="BUW346" s="104"/>
      <c r="BUX346" s="104"/>
      <c r="BUY346" s="104"/>
      <c r="BUZ346" s="104"/>
      <c r="BVA346" s="104"/>
      <c r="BVB346" s="104"/>
      <c r="BVC346" s="104"/>
      <c r="BVD346" s="104"/>
      <c r="BVE346" s="104"/>
      <c r="BVF346" s="104"/>
      <c r="BVG346" s="104"/>
      <c r="BVH346" s="104"/>
      <c r="BVI346" s="104"/>
      <c r="BVJ346" s="104"/>
      <c r="BVK346" s="104"/>
      <c r="BVL346" s="104"/>
      <c r="BVM346" s="104"/>
      <c r="BVN346" s="104"/>
      <c r="BVO346" s="104"/>
      <c r="BVP346" s="104"/>
      <c r="BVQ346" s="104"/>
      <c r="BVR346" s="104"/>
      <c r="BVS346" s="104"/>
      <c r="BVT346" s="104"/>
      <c r="BVU346" s="104"/>
      <c r="BVV346" s="104"/>
      <c r="BVW346" s="104"/>
      <c r="BVX346" s="104"/>
      <c r="BVY346" s="104"/>
      <c r="BVZ346" s="104"/>
      <c r="BWA346" s="104"/>
      <c r="BWB346" s="104"/>
      <c r="BWC346" s="104"/>
      <c r="BWD346" s="104"/>
      <c r="BWE346" s="104"/>
      <c r="BWF346" s="104"/>
      <c r="BWG346" s="104"/>
      <c r="BWH346" s="104"/>
      <c r="BWI346" s="104"/>
      <c r="BWJ346" s="104"/>
      <c r="BWK346" s="104"/>
      <c r="BWL346" s="104"/>
      <c r="BWM346" s="104"/>
      <c r="BWN346" s="104"/>
      <c r="BWO346" s="104"/>
      <c r="BWP346" s="104"/>
      <c r="BWQ346" s="104"/>
      <c r="BWR346" s="104"/>
      <c r="BWS346" s="104"/>
      <c r="BWT346" s="104"/>
      <c r="BWU346" s="104"/>
      <c r="BWV346" s="104"/>
      <c r="BWW346" s="104"/>
      <c r="BWX346" s="104"/>
      <c r="BWY346" s="104"/>
      <c r="BWZ346" s="104"/>
      <c r="BXA346" s="104"/>
      <c r="BXB346" s="104"/>
      <c r="BXC346" s="104"/>
      <c r="BXD346" s="104"/>
      <c r="BXE346" s="104"/>
      <c r="BXF346" s="104"/>
      <c r="BXG346" s="104"/>
      <c r="BXH346" s="104"/>
      <c r="BXI346" s="104"/>
      <c r="BXJ346" s="104"/>
      <c r="BXK346" s="104"/>
      <c r="BXL346" s="104"/>
      <c r="BXM346" s="104"/>
      <c r="BXN346" s="104"/>
      <c r="BXO346" s="104"/>
      <c r="BXP346" s="104"/>
      <c r="BXQ346" s="104"/>
      <c r="BXR346" s="104"/>
      <c r="BXS346" s="104"/>
      <c r="BXT346" s="104"/>
      <c r="BXU346" s="104"/>
      <c r="BXV346" s="104"/>
      <c r="BXW346" s="104"/>
      <c r="BXX346" s="104"/>
      <c r="BXY346" s="104"/>
      <c r="BXZ346" s="104"/>
      <c r="BYA346" s="104"/>
      <c r="BYB346" s="104"/>
      <c r="BYC346" s="104"/>
      <c r="BYD346" s="104"/>
      <c r="BYE346" s="104"/>
      <c r="BYF346" s="104"/>
      <c r="BYG346" s="104"/>
      <c r="BYH346" s="104"/>
      <c r="BYI346" s="104"/>
      <c r="BYJ346" s="104"/>
      <c r="BYK346" s="104"/>
      <c r="BYL346" s="104"/>
      <c r="BYM346" s="104"/>
      <c r="BYN346" s="104"/>
      <c r="BYO346" s="104"/>
      <c r="BYP346" s="104"/>
      <c r="BYQ346" s="104"/>
      <c r="BYR346" s="104"/>
      <c r="BYS346" s="104"/>
      <c r="BYT346" s="104"/>
      <c r="BYU346" s="104"/>
      <c r="BYV346" s="104"/>
      <c r="BYW346" s="104"/>
      <c r="BYX346" s="104"/>
      <c r="BYY346" s="104"/>
      <c r="BYZ346" s="104"/>
      <c r="BZA346" s="104"/>
      <c r="BZB346" s="104"/>
      <c r="BZC346" s="104"/>
      <c r="BZD346" s="104"/>
      <c r="BZE346" s="104"/>
      <c r="BZF346" s="104"/>
      <c r="BZG346" s="104"/>
      <c r="BZH346" s="104"/>
      <c r="BZI346" s="104"/>
      <c r="BZJ346" s="104"/>
      <c r="BZK346" s="104"/>
      <c r="BZL346" s="104"/>
      <c r="BZM346" s="104"/>
      <c r="BZN346" s="104"/>
      <c r="BZO346" s="104"/>
      <c r="BZP346" s="104"/>
      <c r="BZQ346" s="104"/>
      <c r="BZR346" s="104"/>
      <c r="BZS346" s="104"/>
      <c r="BZT346" s="104"/>
      <c r="BZU346" s="104"/>
      <c r="BZV346" s="104"/>
      <c r="BZW346" s="104"/>
      <c r="BZX346" s="104"/>
      <c r="BZY346" s="104"/>
      <c r="BZZ346" s="104"/>
      <c r="CAA346" s="104"/>
      <c r="CAB346" s="104"/>
      <c r="CAC346" s="104"/>
      <c r="CAD346" s="104"/>
      <c r="CAE346" s="104"/>
      <c r="CAF346" s="104"/>
      <c r="CAG346" s="104"/>
      <c r="CAH346" s="104"/>
      <c r="CAI346" s="104"/>
      <c r="CAJ346" s="104"/>
      <c r="CAK346" s="104"/>
      <c r="CAL346" s="104"/>
      <c r="CAM346" s="104"/>
      <c r="CAN346" s="104"/>
      <c r="CAO346" s="104"/>
      <c r="CAP346" s="104"/>
      <c r="CAQ346" s="104"/>
      <c r="CAR346" s="104"/>
      <c r="CAS346" s="104"/>
      <c r="CAT346" s="104"/>
      <c r="CAU346" s="104"/>
      <c r="CAV346" s="104"/>
      <c r="CAW346" s="104"/>
      <c r="CAX346" s="104"/>
      <c r="CAY346" s="104"/>
      <c r="CAZ346" s="104"/>
      <c r="CBA346" s="104"/>
      <c r="CBB346" s="104"/>
      <c r="CBC346" s="104"/>
      <c r="CBD346" s="104"/>
      <c r="CBE346" s="104"/>
      <c r="CBF346" s="104"/>
      <c r="CBG346" s="104"/>
      <c r="CBH346" s="104"/>
      <c r="CBI346" s="104"/>
      <c r="CBJ346" s="104"/>
      <c r="CBK346" s="104"/>
      <c r="CBL346" s="104"/>
      <c r="CBM346" s="104"/>
      <c r="CBN346" s="104"/>
      <c r="CBO346" s="104"/>
      <c r="CBP346" s="104"/>
      <c r="CBQ346" s="104"/>
      <c r="CBR346" s="104"/>
      <c r="CBS346" s="104"/>
      <c r="CBT346" s="104"/>
      <c r="CBU346" s="104"/>
      <c r="CBV346" s="104"/>
      <c r="CBW346" s="104"/>
      <c r="CBX346" s="104"/>
      <c r="CBY346" s="104"/>
      <c r="CBZ346" s="104"/>
      <c r="CCA346" s="104"/>
      <c r="CCB346" s="104"/>
      <c r="CCC346" s="104"/>
      <c r="CCD346" s="104"/>
      <c r="CCE346" s="104"/>
      <c r="CCF346" s="104"/>
      <c r="CCG346" s="104"/>
      <c r="CCH346" s="104"/>
      <c r="CCI346" s="104"/>
      <c r="CCJ346" s="104"/>
      <c r="CCK346" s="104"/>
      <c r="CCL346" s="104"/>
      <c r="CCM346" s="104"/>
      <c r="CCN346" s="104"/>
      <c r="CCO346" s="104"/>
      <c r="CCP346" s="104"/>
      <c r="CCQ346" s="104"/>
      <c r="CCR346" s="104"/>
      <c r="CCS346" s="104"/>
      <c r="CCT346" s="104"/>
      <c r="CCU346" s="104"/>
      <c r="CCV346" s="104"/>
      <c r="CCW346" s="104"/>
      <c r="CCX346" s="104"/>
      <c r="CCY346" s="104"/>
      <c r="CCZ346" s="104"/>
      <c r="CDA346" s="104"/>
      <c r="CDB346" s="104"/>
      <c r="CDC346" s="104"/>
      <c r="CDD346" s="104"/>
      <c r="CDE346" s="104"/>
      <c r="CDF346" s="104"/>
      <c r="CDG346" s="104"/>
      <c r="CDH346" s="104"/>
      <c r="CDI346" s="104"/>
      <c r="CDJ346" s="104"/>
      <c r="CDK346" s="104"/>
      <c r="CDL346" s="104"/>
      <c r="CDM346" s="104"/>
      <c r="CDN346" s="104"/>
      <c r="CDO346" s="104"/>
      <c r="CDP346" s="104"/>
      <c r="CDQ346" s="104"/>
      <c r="CDR346" s="104"/>
      <c r="CDS346" s="104"/>
      <c r="CDT346" s="104"/>
      <c r="CDU346" s="104"/>
      <c r="CDV346" s="104"/>
      <c r="CDW346" s="104"/>
      <c r="CDX346" s="104"/>
      <c r="CDY346" s="104"/>
      <c r="CDZ346" s="104"/>
      <c r="CEA346" s="104"/>
      <c r="CEB346" s="104"/>
      <c r="CEC346" s="104"/>
      <c r="CED346" s="104"/>
      <c r="CEE346" s="104"/>
      <c r="CEF346" s="104"/>
      <c r="CEG346" s="104"/>
      <c r="CEH346" s="104"/>
      <c r="CEI346" s="104"/>
      <c r="CEJ346" s="104"/>
      <c r="CEK346" s="104"/>
      <c r="CEL346" s="104"/>
      <c r="CEM346" s="104"/>
      <c r="CEN346" s="104"/>
      <c r="CEO346" s="104"/>
      <c r="CEP346" s="104"/>
      <c r="CEQ346" s="104"/>
      <c r="CER346" s="104"/>
      <c r="CES346" s="104"/>
      <c r="CET346" s="104"/>
      <c r="CEU346" s="104"/>
      <c r="CEV346" s="104"/>
      <c r="CEW346" s="104"/>
      <c r="CEX346" s="104"/>
      <c r="CEY346" s="104"/>
      <c r="CEZ346" s="104"/>
      <c r="CFA346" s="104"/>
      <c r="CFB346" s="104"/>
      <c r="CFC346" s="104"/>
      <c r="CFD346" s="104"/>
      <c r="CFE346" s="104"/>
      <c r="CFF346" s="104"/>
      <c r="CFG346" s="104"/>
      <c r="CFH346" s="104"/>
      <c r="CFI346" s="104"/>
      <c r="CFJ346" s="104"/>
      <c r="CFK346" s="104"/>
      <c r="CFL346" s="104"/>
      <c r="CFM346" s="104"/>
      <c r="CFN346" s="104"/>
      <c r="CFO346" s="104"/>
      <c r="CFP346" s="104"/>
      <c r="CFQ346" s="104"/>
      <c r="CFR346" s="104"/>
      <c r="CFS346" s="104"/>
      <c r="CFT346" s="104"/>
      <c r="CFU346" s="104"/>
      <c r="CFV346" s="104"/>
      <c r="CFW346" s="104"/>
      <c r="CFX346" s="104"/>
      <c r="CFY346" s="104"/>
      <c r="CFZ346" s="104"/>
      <c r="CGA346" s="104"/>
      <c r="CGB346" s="104"/>
      <c r="CGC346" s="104"/>
      <c r="CGD346" s="104"/>
      <c r="CGE346" s="104"/>
      <c r="CGF346" s="104"/>
      <c r="CGG346" s="104"/>
      <c r="CGH346" s="104"/>
      <c r="CGI346" s="104"/>
      <c r="CGJ346" s="104"/>
      <c r="CGK346" s="104"/>
      <c r="CGL346" s="104"/>
      <c r="CGM346" s="104"/>
      <c r="CGN346" s="104"/>
      <c r="CGO346" s="104"/>
      <c r="CGP346" s="104"/>
      <c r="CGQ346" s="104"/>
      <c r="CGR346" s="104"/>
      <c r="CGS346" s="104"/>
      <c r="CGT346" s="104"/>
      <c r="CGU346" s="104"/>
      <c r="CGV346" s="104"/>
      <c r="CGW346" s="104"/>
      <c r="CGX346" s="104"/>
      <c r="CGY346" s="104"/>
      <c r="CGZ346" s="104"/>
      <c r="CHA346" s="104"/>
      <c r="CHB346" s="104"/>
      <c r="CHC346" s="104"/>
      <c r="CHD346" s="104"/>
      <c r="CHE346" s="104"/>
      <c r="CHF346" s="104"/>
      <c r="CHG346" s="104"/>
      <c r="CHH346" s="104"/>
      <c r="CHI346" s="104"/>
      <c r="CHJ346" s="104"/>
      <c r="CHK346" s="104"/>
      <c r="CHL346" s="104"/>
      <c r="CHM346" s="104"/>
      <c r="CHN346" s="104"/>
      <c r="CHO346" s="104"/>
      <c r="CHP346" s="104"/>
      <c r="CHQ346" s="104"/>
      <c r="CHR346" s="104"/>
      <c r="CHS346" s="104"/>
      <c r="CHT346" s="104"/>
      <c r="CHU346" s="104"/>
      <c r="CHV346" s="104"/>
      <c r="CHW346" s="104"/>
      <c r="CHX346" s="104"/>
      <c r="CHY346" s="104"/>
      <c r="CHZ346" s="104"/>
      <c r="CIA346" s="104"/>
      <c r="CIB346" s="104"/>
      <c r="CIC346" s="104"/>
      <c r="CID346" s="104"/>
      <c r="CIE346" s="104"/>
      <c r="CIF346" s="104"/>
      <c r="CIG346" s="104"/>
      <c r="CIH346" s="104"/>
      <c r="CII346" s="104"/>
      <c r="CIJ346" s="104"/>
      <c r="CIK346" s="104"/>
      <c r="CIL346" s="104"/>
      <c r="CIM346" s="104"/>
      <c r="CIN346" s="104"/>
      <c r="CIO346" s="104"/>
      <c r="CIP346" s="104"/>
      <c r="CIQ346" s="104"/>
      <c r="CIR346" s="104"/>
      <c r="CIS346" s="104"/>
      <c r="CIT346" s="104"/>
      <c r="CIU346" s="104"/>
      <c r="CIV346" s="104"/>
      <c r="CIW346" s="104"/>
      <c r="CIX346" s="104"/>
      <c r="CIY346" s="104"/>
      <c r="CIZ346" s="104"/>
      <c r="CJA346" s="104"/>
      <c r="CJB346" s="104"/>
      <c r="CJC346" s="104"/>
      <c r="CJD346" s="104"/>
      <c r="CJE346" s="104"/>
      <c r="CJF346" s="104"/>
      <c r="CJG346" s="104"/>
      <c r="CJH346" s="104"/>
      <c r="CJI346" s="104"/>
      <c r="CJJ346" s="104"/>
      <c r="CJK346" s="104"/>
      <c r="CJL346" s="104"/>
      <c r="CJM346" s="104"/>
      <c r="CJN346" s="104"/>
      <c r="CJO346" s="104"/>
      <c r="CJP346" s="104"/>
      <c r="CJQ346" s="104"/>
      <c r="CJR346" s="104"/>
      <c r="CJS346" s="104"/>
      <c r="CJT346" s="104"/>
      <c r="CJU346" s="104"/>
      <c r="CJV346" s="104"/>
      <c r="CJW346" s="104"/>
      <c r="CJX346" s="104"/>
      <c r="CJY346" s="104"/>
      <c r="CJZ346" s="104"/>
      <c r="CKA346" s="104"/>
      <c r="CKB346" s="104"/>
      <c r="CKC346" s="104"/>
      <c r="CKD346" s="104"/>
      <c r="CKE346" s="104"/>
      <c r="CKF346" s="104"/>
      <c r="CKG346" s="104"/>
      <c r="CKH346" s="104"/>
      <c r="CKI346" s="104"/>
      <c r="CKJ346" s="104"/>
      <c r="CKK346" s="104"/>
      <c r="CKL346" s="104"/>
      <c r="CKM346" s="104"/>
      <c r="CKN346" s="104"/>
      <c r="CKO346" s="104"/>
      <c r="CKP346" s="104"/>
      <c r="CKQ346" s="104"/>
      <c r="CKR346" s="104"/>
      <c r="CKS346" s="104"/>
      <c r="CKT346" s="104"/>
      <c r="CKU346" s="104"/>
      <c r="CKV346" s="104"/>
      <c r="CKW346" s="104"/>
      <c r="CKX346" s="104"/>
      <c r="CKY346" s="104"/>
      <c r="CKZ346" s="104"/>
      <c r="CLA346" s="104"/>
      <c r="CLB346" s="104"/>
      <c r="CLC346" s="104"/>
      <c r="CLD346" s="104"/>
      <c r="CLE346" s="104"/>
      <c r="CLF346" s="104"/>
      <c r="CLG346" s="104"/>
      <c r="CLH346" s="104"/>
      <c r="CLI346" s="104"/>
      <c r="CLJ346" s="104"/>
      <c r="CLK346" s="104"/>
      <c r="CLL346" s="104"/>
      <c r="CLM346" s="104"/>
      <c r="CLN346" s="104"/>
      <c r="CLO346" s="104"/>
      <c r="CLP346" s="104"/>
      <c r="CLQ346" s="104"/>
      <c r="CLR346" s="104"/>
      <c r="CLS346" s="104"/>
      <c r="CLT346" s="104"/>
      <c r="CLU346" s="104"/>
      <c r="CLV346" s="104"/>
      <c r="CLW346" s="104"/>
      <c r="CLX346" s="104"/>
      <c r="CLY346" s="104"/>
      <c r="CLZ346" s="104"/>
      <c r="CMA346" s="104"/>
      <c r="CMB346" s="104"/>
      <c r="CMC346" s="104"/>
      <c r="CMD346" s="104"/>
      <c r="CME346" s="104"/>
      <c r="CMF346" s="104"/>
      <c r="CMG346" s="104"/>
      <c r="CMH346" s="104"/>
      <c r="CMI346" s="104"/>
      <c r="CMJ346" s="104"/>
      <c r="CMK346" s="104"/>
      <c r="CML346" s="104"/>
      <c r="CMM346" s="104"/>
      <c r="CMN346" s="104"/>
      <c r="CMO346" s="104"/>
      <c r="CMP346" s="104"/>
      <c r="CMQ346" s="104"/>
      <c r="CMR346" s="104"/>
      <c r="CMS346" s="104"/>
      <c r="CMT346" s="104"/>
      <c r="CMU346" s="104"/>
      <c r="CMV346" s="104"/>
      <c r="CMW346" s="104"/>
      <c r="CMX346" s="104"/>
      <c r="CMY346" s="104"/>
      <c r="CMZ346" s="104"/>
      <c r="CNA346" s="104"/>
      <c r="CNB346" s="104"/>
      <c r="CNC346" s="104"/>
      <c r="CND346" s="104"/>
      <c r="CNE346" s="104"/>
      <c r="CNF346" s="104"/>
      <c r="CNG346" s="104"/>
      <c r="CNH346" s="104"/>
      <c r="CNI346" s="104"/>
      <c r="CNJ346" s="104"/>
      <c r="CNK346" s="104"/>
      <c r="CNL346" s="104"/>
      <c r="CNM346" s="104"/>
      <c r="CNN346" s="104"/>
      <c r="CNO346" s="104"/>
      <c r="CNP346" s="104"/>
      <c r="CNQ346" s="104"/>
      <c r="CNR346" s="104"/>
      <c r="CNS346" s="104"/>
      <c r="CNT346" s="104"/>
      <c r="CNU346" s="104"/>
      <c r="CNV346" s="104"/>
      <c r="CNW346" s="104"/>
      <c r="CNX346" s="104"/>
      <c r="CNY346" s="104"/>
      <c r="CNZ346" s="104"/>
      <c r="COA346" s="104"/>
      <c r="COB346" s="104"/>
      <c r="COC346" s="104"/>
      <c r="COD346" s="104"/>
      <c r="COE346" s="104"/>
      <c r="COF346" s="104"/>
      <c r="COG346" s="104"/>
      <c r="COH346" s="104"/>
      <c r="COI346" s="104"/>
      <c r="COJ346" s="104"/>
      <c r="COK346" s="104"/>
      <c r="COL346" s="104"/>
      <c r="COM346" s="104"/>
      <c r="CON346" s="104"/>
      <c r="COO346" s="104"/>
      <c r="COP346" s="104"/>
      <c r="COQ346" s="104"/>
      <c r="COR346" s="104"/>
      <c r="COS346" s="104"/>
      <c r="COT346" s="104"/>
      <c r="COU346" s="104"/>
      <c r="COV346" s="104"/>
      <c r="COW346" s="104"/>
      <c r="COX346" s="104"/>
      <c r="COY346" s="104"/>
      <c r="COZ346" s="104"/>
      <c r="CPA346" s="104"/>
      <c r="CPB346" s="104"/>
      <c r="CPC346" s="104"/>
      <c r="CPD346" s="104"/>
      <c r="CPE346" s="104"/>
      <c r="CPF346" s="104"/>
      <c r="CPG346" s="104"/>
      <c r="CPH346" s="104"/>
      <c r="CPI346" s="104"/>
      <c r="CPJ346" s="104"/>
      <c r="CPK346" s="104"/>
      <c r="CPL346" s="104"/>
      <c r="CPM346" s="104"/>
      <c r="CPN346" s="104"/>
      <c r="CPO346" s="104"/>
      <c r="CPP346" s="104"/>
      <c r="CPQ346" s="104"/>
      <c r="CPR346" s="104"/>
      <c r="CPS346" s="104"/>
      <c r="CPT346" s="104"/>
      <c r="CPU346" s="104"/>
      <c r="CPV346" s="104"/>
      <c r="CPW346" s="104"/>
      <c r="CPX346" s="104"/>
      <c r="CPY346" s="104"/>
      <c r="CPZ346" s="104"/>
      <c r="CQA346" s="104"/>
      <c r="CQB346" s="104"/>
      <c r="CQC346" s="104"/>
      <c r="CQD346" s="104"/>
      <c r="CQE346" s="104"/>
      <c r="CQF346" s="104"/>
      <c r="CQG346" s="104"/>
      <c r="CQH346" s="104"/>
      <c r="CQI346" s="104"/>
      <c r="CQJ346" s="104"/>
      <c r="CQK346" s="104"/>
      <c r="CQL346" s="104"/>
      <c r="CQM346" s="104"/>
      <c r="CQN346" s="104"/>
      <c r="CQO346" s="104"/>
      <c r="CQP346" s="104"/>
      <c r="CQQ346" s="104"/>
      <c r="CQR346" s="104"/>
      <c r="CQS346" s="104"/>
      <c r="CQT346" s="104"/>
      <c r="CQU346" s="104"/>
      <c r="CQV346" s="104"/>
      <c r="CQW346" s="104"/>
      <c r="CQX346" s="104"/>
      <c r="CQY346" s="104"/>
      <c r="CQZ346" s="104"/>
      <c r="CRA346" s="104"/>
      <c r="CRB346" s="104"/>
      <c r="CRC346" s="104"/>
      <c r="CRD346" s="104"/>
      <c r="CRE346" s="104"/>
      <c r="CRF346" s="104"/>
      <c r="CRG346" s="104"/>
      <c r="CRH346" s="104"/>
      <c r="CRI346" s="104"/>
      <c r="CRJ346" s="104"/>
      <c r="CRK346" s="104"/>
      <c r="CRL346" s="104"/>
      <c r="CRM346" s="104"/>
      <c r="CRN346" s="104"/>
      <c r="CRO346" s="104"/>
      <c r="CRP346" s="104"/>
      <c r="CRQ346" s="104"/>
      <c r="CRR346" s="104"/>
      <c r="CRS346" s="104"/>
      <c r="CRT346" s="104"/>
      <c r="CRU346" s="104"/>
      <c r="CRV346" s="104"/>
      <c r="CRW346" s="104"/>
      <c r="CRX346" s="104"/>
      <c r="CRY346" s="104"/>
      <c r="CRZ346" s="104"/>
      <c r="CSA346" s="104"/>
      <c r="CSB346" s="104"/>
      <c r="CSC346" s="104"/>
      <c r="CSD346" s="104"/>
      <c r="CSE346" s="104"/>
      <c r="CSF346" s="104"/>
      <c r="CSG346" s="104"/>
      <c r="CSH346" s="104"/>
      <c r="CSI346" s="104"/>
      <c r="CSJ346" s="104"/>
      <c r="CSK346" s="104"/>
      <c r="CSL346" s="104"/>
      <c r="CSM346" s="104"/>
      <c r="CSN346" s="104"/>
      <c r="CSO346" s="104"/>
      <c r="CSP346" s="104"/>
      <c r="CSQ346" s="104"/>
      <c r="CSR346" s="104"/>
      <c r="CSS346" s="104"/>
      <c r="CST346" s="104"/>
      <c r="CSU346" s="104"/>
      <c r="CSV346" s="104"/>
      <c r="CSW346" s="104"/>
      <c r="CSX346" s="104"/>
      <c r="CSY346" s="104"/>
      <c r="CSZ346" s="104"/>
      <c r="CTA346" s="104"/>
      <c r="CTB346" s="104"/>
      <c r="CTC346" s="104"/>
      <c r="CTD346" s="104"/>
      <c r="CTE346" s="104"/>
      <c r="CTF346" s="104"/>
      <c r="CTG346" s="104"/>
      <c r="CTH346" s="104"/>
      <c r="CTI346" s="104"/>
      <c r="CTJ346" s="104"/>
      <c r="CTK346" s="104"/>
      <c r="CTL346" s="104"/>
      <c r="CTM346" s="104"/>
      <c r="CTN346" s="104"/>
      <c r="CTO346" s="104"/>
      <c r="CTP346" s="104"/>
      <c r="CTQ346" s="104"/>
      <c r="CTR346" s="104"/>
      <c r="CTS346" s="104"/>
      <c r="CTT346" s="104"/>
      <c r="CTU346" s="104"/>
      <c r="CTV346" s="104"/>
      <c r="CTW346" s="104"/>
      <c r="CTX346" s="104"/>
      <c r="CTY346" s="104"/>
      <c r="CTZ346" s="104"/>
      <c r="CUA346" s="104"/>
    </row>
  </sheetData>
  <mergeCells count="17">
    <mergeCell ref="A1:B1"/>
    <mergeCell ref="A2:B2"/>
    <mergeCell ref="A3:B3"/>
    <mergeCell ref="A4:B4"/>
    <mergeCell ref="A5:H5"/>
    <mergeCell ref="A37:H37"/>
    <mergeCell ref="A81:H81"/>
    <mergeCell ref="A95:H95"/>
    <mergeCell ref="A139:H139"/>
    <mergeCell ref="A179:H179"/>
    <mergeCell ref="A200:H200"/>
    <mergeCell ref="A232:H232"/>
    <mergeCell ref="A243:H243"/>
    <mergeCell ref="A276:H276"/>
    <mergeCell ref="A294:H294"/>
    <mergeCell ref="A298:H298"/>
    <mergeCell ref="A302:H302"/>
  </mergeCells>
  <conditionalFormatting sqref="F5">
    <cfRule type="containsBlanks" dxfId="2" priority="2">
      <formula>LEN(TRIM(F5))=0</formula>
    </cfRule>
  </conditionalFormatting>
  <conditionalFormatting sqref="H1:H6">
    <cfRule type="cellIs" dxfId="0" priority="4" operator="equal">
      <formula>"PASS"</formula>
    </cfRule>
    <cfRule type="cellIs" dxfId="1" priority="5" operator="equal">
      <formula>"FAIL"</formula>
    </cfRule>
  </conditionalFormatting>
  <conditionalFormatting sqref="A5:E5 G5:H5">
    <cfRule type="containsBlanks" dxfId="2" priority="6">
      <formula>LEN(TRIM(A5))=0</formula>
    </cfRule>
  </conditionalFormatting>
  <conditionalFormatting sqref="A81 A302 A139 A179 A200 A232 A243 A276 A294 A298">
    <cfRule type="containsBlanks" dxfId="2" priority="3">
      <formula>LEN(TRIM(A81))=0</formula>
    </cfRule>
  </conditionalFormatting>
  <hyperlinks>
    <hyperlink ref="C1" r:id="rId1" display="ilyn.global"/>
    <hyperlink ref="D106" r:id="rId1" display="1.Go to https://ilyn.global/ &#10;2.Click &quot;All&quot; section. &#10;3.Click &quot;MEN&quot; section."/>
    <hyperlink ref="D107" r:id="rId1" display="1.Go to https://ilyn.global/ &#10;2.Click &quot;All&quot; section. &#10;3.Click &quot;MEN&quot; section. &#10;4.Check the products."/>
    <hyperlink ref="D108" r:id="rId1" display="1.Go to https://ilyn.global/ &#10;2.Click &quot;All&quot; section. &#10;3.Click &quot;MEN&quot; section. &#10;4.Check the visibility and alignment."/>
    <hyperlink ref="D109" r:id="rId1" display="1.Go to https://ilyn.global/ &#10;2.Click &quot;All&quot; section. &#10;3.Click &quot;MEN&quot; section. &#10;4.Check the breadcrumb."/>
    <hyperlink ref="D110" r:id="rId1" display="1.Go to https://ilyn.global/ &#10;2.Click &quot;All&quot; section. &#10;3.Click &quot;MEN&quot; section.&#10; 4.check number of items match with number of product showed in the page"/>
    <hyperlink ref="D111" r:id="rId1" display="1.Go to https://ilyn.global/ &#10;2.Click &quot;All&quot; section. &#10;3.Click &quot;MEN&quot; section. 4.Check the image information."/>
    <hyperlink ref="D112" r:id="rId1" display="1.Go to https://ilyn.global/ &#10;2.Click &quot;All&quot; section. &#10;3.Click &quot;MEN&quot; section. 4.check the &quot;breadcrumb&quot;"/>
    <hyperlink ref="D113" r:id="rId1" display="1.Go to https://ilyn.global/ &#10;2.Click &quot;All&quot; section. &#10;3.Click &quot;MEN&quot; section. 4.Click the variants."/>
    <hyperlink ref="D114" r:id="rId1" display="1.Go to https://ilyn.global/ &#10; 2.Click &quot;All&quot; section. &#10; 3.Click &quot;WOMEN&quot; section."/>
    <hyperlink ref="D115" r:id="rId1" display="1.Go to https://ilyn.global/ &#10; 2.Click &quot;All&quot; section. &#10; 3.Click &quot;WOMEN&quot; section. &#10; 4.Check the products."/>
    <hyperlink ref="D116" r:id="rId1" display="1.Go to https://ilyn.global/ &#10; 2.Click &quot;All&quot; section. &#10; 3.Click &quot;WOMEN&quot; section. &#10; 4.Check the visibility and alignment."/>
    <hyperlink ref="D117" r:id="rId1" display="1.Go to https://ilyn.global/ &#10; 2.Click &quot;All&quot; section. &#10; 3.Click &quot;WOMEN&quot; section. &#10; 4.Check the breadcrumb."/>
    <hyperlink ref="D118" r:id="rId1" display="1.Go to https://ilyn.global/ &#10; 2.Click &quot;All&quot; section. &#10; 3.Click &quot;WOMEN&quot; section. &#10; 4.Check number of items match with number of products shown on the page."/>
    <hyperlink ref="D119" r:id="rId1" display="1.Go to https://ilyn.global/ &#10; 2.Click &quot;All&quot; section. &#10; 3.Click &quot;WOMEN&quot; section. &#10; 4.Check the image information."/>
    <hyperlink ref="D120" r:id="rId1" display="1.Go to https://ilyn.global/ &#10; 2.Click &quot;All&quot; section. &#10; 3.Click &quot;WOMEN&quot; section. &#10; 4.Check the breadcrumb."/>
    <hyperlink ref="D121" r:id="rId1" display="1.Go to https://ilyn.global/ &#10; 2.Click &quot;All&quot; section. &#10; 3.Click &quot;WOMEN&quot; section. &#10; 4.Click the variants."/>
    <hyperlink ref="D122" r:id="rId1" display="1.Go to https://ilyn.global/ &#10; 2.Click &quot;All&quot; section. &#10; 3.Click &quot;WOMEN&quot; section. &#10; 4.Check the products."/>
    <hyperlink ref="D123" r:id="rId1" display="1.Go to https://ilyn.global/ &#10; 2.Click &quot;All&quot; section. &#10; 3.Click &quot;KIDS&quot; section."/>
    <hyperlink ref="D124" r:id="rId1" display="1.Go to https://ilyn.global/ &#10; 2.Click &quot;All&quot; section. &#10; 3.Click &quot;KIDS&quot; section."/>
    <hyperlink ref="D125" r:id="rId1" display="1.Go to https://ilyn.global/ &#10; 2.Click &quot;All&quot; section. &#10; 3.Click &quot;KIDS&quot; section. &#10; 4.Check the products."/>
    <hyperlink ref="D126" r:id="rId1" display="1.Go to https://ilyn.global/ &#10; 2.Click &quot;All&quot; section. &#10; 3.Click &quot;KIDS&quot; section. &#10; 4.Check the visibility and alignment."/>
    <hyperlink ref="D127" r:id="rId1" display="1.Go to https://ilyn.global/ &#10; 2.Click &quot;All&quot; section. &#10; 3.Click &quot;KIDS&quot; section. &#10; 4.Check the breadcrumb."/>
    <hyperlink ref="D128" r:id="rId1" display="1.Go to https://ilyn.global/ &#10; 2.Click &quot;All&quot; section. &#10; 3.Click &quot;KIDS&quot; section. &#10; 4.Check number of items match with number of products shown on the page"/>
    <hyperlink ref="D129" r:id="rId1" display="1.Go to https://ilyn.global/ &#10; 2.Click &quot;All&quot; section. &#10; 3.Click &quot;KIDS&quot; section. &#10; 4.Check the image information."/>
    <hyperlink ref="D130" r:id="rId1" display="1.Go to https://ilyn.global/ &#10; 2.Click &quot;All&quot; section. &#10; 3.Click &quot;KIDS&quot; section. &#10; 4.Check the breadcrumb"/>
    <hyperlink ref="D131" r:id="rId1" display="1.Go to https://ilyn.global/ &#10; 2.Click &quot;All&quot; section. &#10; 3.Click &quot;KIDS&quot; section. &#10; 4.Click the variants."/>
    <hyperlink ref="D132" r:id="rId1" display="1.Go to https://ilyn.global/ &#10; 2.Click &quot;All&quot; section. &#10; 3.Click &quot;KIDS&quot; section. &#10; 4.Check the products."/>
    <hyperlink ref="D133" r:id="rId1" display="1.Go to https://ilyn.global/ &#10; 2.Click on &quot;AW25 NEW ARRIVALS&quot; menu &#10; 3.Click &quot;FOOTWEAR&quot; section."/>
    <hyperlink ref="D134" r:id="rId1" display="1.Go to https://ilyn.global/ &#10; 2.Click on &quot;AW25 NEW ARRIVALS&quot; menu &#10; 3.Click &quot;ACCESSORIES&quot; section."/>
    <hyperlink ref="D135" r:id="rId1" display="1.Go to https://ilyn.global/ &#10; 2.Click &quot;ACCESSORIES&quot; section."/>
    <hyperlink ref="D136" r:id="rId1" display="1.Go to https://ilyn.global/ &#10; 2.Click &quot;ACCESSORIES&quot; section. &#10; 3.Check the breadcrumb."/>
    <hyperlink ref="D137" r:id="rId1" display="1.Go to https://ilyn.global/ &#10; 2.Click &quot;ACCESSORIES&quot; section. &#10; 3.Check number of items match with number of product showed in the page."/>
    <hyperlink ref="D138" r:id="rId1" display="1.Go to https://ilyn.global/ &#10; 2.Click &quot;ACCESSORIES&quot; section. &#10; 3.Check the image information."/>
    <hyperlink ref="D141" r:id="rId1" display="1. Go to https://ilyn.global/ &#10; 2. Click &quot;MEN&quot; menu &#10; 3. Observe the sections listed under the MEN menu"/>
    <hyperlink ref="D142" r:id="rId1" display="1. Go to https://ilyn.global/ &#10; 2. Click &quot;MEN&quot; menu &#10; 3. Hover over or click &quot;Sherwani&quot; section &#10; 4. Observe variants &quot;Premium&quot; and &quot;Platinum&quot;"/>
    <hyperlink ref="D143" r:id="rId1" display="1. Go to https://ilyn.global/ &#10; 2. Click &quot;MEN&quot; menu &#10; 3. Click &quot;Sherwani&quot; section"/>
    <hyperlink ref="D144" r:id="rId1" display="1. Go to https://ilyn.global/ &#10; 2. Click &quot;MEN&quot; menu &#10; 3. Click &quot;Sherwani&quot; section &#10; 4. Observe displayed products"/>
    <hyperlink ref="D145" r:id="rId1" display="1. Go to https://ilyn.global/ &#10; 2. Click &quot;MEN&quot; menu &#10; 3. Hover over or click &quot;Thobe&quot; section &#10; 4. Observe variants"/>
    <hyperlink ref="D146" r:id="rId1" display="1. Go to https://ilyn.global/ &#10; 2. Click &quot;MEN&quot; menu &#10; 3. Click &quot;Thobe&quot; section"/>
    <hyperlink ref="D147" r:id="rId1" display="1. Go to https://ilyn.global/ &#10; 2. Click &quot;MEN&quot; menu &#10; 3. Click &quot;Thobe&quot; section &#10; 4. Observe displayed products"/>
    <hyperlink ref="D148" r:id="rId1" display="1. Go to https://ilyn.global/ &#10; 2. Click &quot;MEN&quot; menu &#10; 3. Hover over or click &quot;Kabli&quot; section &#10; 4. Observe variants"/>
    <hyperlink ref="D149" r:id="rId1" display="1. Go to https://ilyn.global/ &#10; 2. Click &quot;MEN&quot; menu &#10; 3. Click &quot;Kabli&quot; section"/>
    <hyperlink ref="D150" r:id="rId1" display="1. Go to https://ilyn.global/ &#10; 2. Click &quot;MEN&quot; menu &#10; 3. Click &quot;Kabli&quot; section &#10; 4. Observe displayed products"/>
    <hyperlink ref="D151" r:id="rId1" display="1. Go to https://ilyn.global/ &#10; 2. Click &quot;MEN&quot; menu &#10; 3. Hover over or click &quot;Punjabi&quot; section &#10; 4. Observe all variants listed"/>
    <hyperlink ref="D152" r:id="rId1" display="1. Go to https://ilyn.global/ &#10; 2. Click &quot;MEN&quot; menu &#10; 3. Click &quot;Punjabi&quot; section"/>
    <hyperlink ref="D153" r:id="rId1" display="1. Go to https://ilyn.global/ &#10; 2. Click &quot;MEN&quot; menu &#10; 3. Click &quot;Punjabi&quot; section &#10; 4. Observe displayed products"/>
    <hyperlink ref="D154" r:id="rId1" display="1. Go to https://ilyn.global/ &#10; 2. Click &quot;MEN&quot; menu &#10; 3. Hover over or click &quot;Waistcoats&quot; section &#10; 4. Observe listed variants"/>
    <hyperlink ref="D155" r:id="rId1" display="1. Go to https://ilyn.global/ &#10; 2. Click &quot;MEN&quot; menu &#10; 3. Click &quot;Waistcoats&quot; section"/>
    <hyperlink ref="D156" r:id="rId1" display="1. Go to https://ilyn.global/ &#10; 2. Click &quot;MEN&quot; menu &#10; 3. Click &quot;Waistcoats&quot; section &#10; 4. Observe displayed products"/>
    <hyperlink ref="D157" r:id="rId1" display="1. Go to https://ilyn.global/ &#10; 2. Click &quot;MEN&quot; menu &#10; 3. Hover over or click &quot;Shirts&quot; section &#10; 4. Observe listed variants"/>
    <hyperlink ref="D158" r:id="rId1" display="1. Go to https://ilyn.global/ &#10; 2. Click &quot;MEN&quot; menu &#10; 3. Click &quot;Shirts&quot; section"/>
    <hyperlink ref="D159" r:id="rId1" display="1. Go to https://ilyn.global/ &#10; 2. Click &quot;MEN&quot; menu &#10; 3. Click &quot;Shirts&quot; section &#10; 4. Observe displayed products"/>
    <hyperlink ref="D160" r:id="rId1" display="1. Go to https://ilyn.global/ &#10; 2. Click &quot;MEN&quot; menu &#10; 3. Hover over or click &quot;T-Shirts And Polos&quot; section &#10; 4. Observe variants"/>
    <hyperlink ref="D161" r:id="rId1" display="1. Go to https://ilyn.global/ &#10; 2. Click &quot;MEN&quot; menu &#10; 3. Click &quot;T-Shirts And Polos&quot; section"/>
    <hyperlink ref="D162" r:id="rId1" display="1. Go to https://ilyn.global/ &#10; 2. Click &quot;MEN&quot; menu &#10; 3. Click &quot;T-Shirts And Polos&quot; section &#10; 4. Observe displayed products"/>
    <hyperlink ref="D163" r:id="rId1" display="1. Go to https://ilyn.global/ &#10; 2. Click &quot;MEN&quot; menu &#10; 3. Hover over or click &quot;Jeans&quot; section &#10; 4. Observe variants"/>
    <hyperlink ref="D164" r:id="rId1" display="1. Go to https://ilyn.global/ &#10; 2. Click &quot;MEN&quot; menu &#10; 3. Click &quot;Jeans&quot; section &#10; 4. Observe displayed products"/>
    <hyperlink ref="D165" r:id="rId1" display="1. Go to https://ilyn.global/ &#10; 2. Click &quot;MEN&quot; menu &#10; 3. Click &quot;Jeans&quot; section"/>
    <hyperlink ref="D166" r:id="rId1" display="1. Go to https://ilyn.global/ &#10; 2. Click &quot;MEN&quot; menu &#10; 3. Click &quot;Jeans&quot; section &#10; 4. Observe displayed products"/>
    <hyperlink ref="D167" r:id="rId1" display="1. Go to https://ilyn.global/ &#10; 2. Click &quot;MEN&quot; menu &#10; 3. Hover over or click &quot;Joggers And L-Chinos&quot; section &#10; 4. Observe variants"/>
    <hyperlink ref="D168" r:id="rId1" display="1. Go to https://ilyn.global/ &#10; 2. Click &quot;MEN&quot; menu &#10; 3. Click &quot;Joggers And L-Chinos&quot; section"/>
    <hyperlink ref="D169" r:id="rId1" display="1. Go to https://ilyn.global/ &#10; 2. Click &quot;MEN&quot; menu &#10; 3. Click &quot;Joggers And L-Chinos&quot; section &#10; 4. Observe displayed products"/>
    <hyperlink ref="D170" r:id="rId1" display="1. Go to https://ilyn.global/ &#10; 2. Click &quot;MEN&quot; menu &#10; 3. Hover over or click &quot;Jackets And Outerwear&quot; section &#10; 4. Observe variants"/>
    <hyperlink ref="D171" r:id="rId1" display="1. Go to https://ilyn.global/ &#10; 2. Click &quot;MEN&quot; menu &#10; 3. Click &quot;Jackets And Outerwear&quot; section"/>
    <hyperlink ref="D172" r:id="rId1" display="1. Go to https://ilyn.global/ &#10; 2. Click &quot;MEN&quot; menu &#10; 3. Click &quot;Jackets And Outerwear&quot; section &#10; 4. Observe displayed products"/>
    <hyperlink ref="D173" r:id="rId1" display="1. Go to https://ilyn.global/ &#10; 2. Click &quot;MEN&quot; menu &#10; 3. Hover over or click &quot;Trousers And Chinos&quot; section &#10; 4. Observe variants"/>
    <hyperlink ref="D174" r:id="rId1" display="1. Go to https://ilyn.global/ &#10; 2. Click &quot;MEN&quot; menu &#10; 3. Click &quot;Trousers And Chinos&quot; section"/>
    <hyperlink ref="D175" r:id="rId1" display="1. Go to https://ilyn.global/ &#10; 2. Click &quot;MEN&quot; menu &#10; 3. Click &quot;Trousers And Chinos&quot; section &#10; 4. Observe displayed products"/>
    <hyperlink ref="D176" r:id="rId1" display="1. Go to https://ilyn.global/ &#10; 2. Click &quot;MEN&quot; menu &#10; 3. Hover over or click &quot;Essentials&quot; section &#10; 4. Observe variants"/>
    <hyperlink ref="D177" r:id="rId1" display="1. Go to https://ilyn.global/ &#10; 2. Click &quot;MEN&quot; menu &#10; 3. Click &quot;Essentials&quot; section"/>
    <hyperlink ref="D178" r:id="rId1" display="1. Go to https://ilyn.global/ &#10; 2. Click &quot;MEN&quot; menu &#10; 3. Click &quot;Essentials&quot; section &#10; 4. Observe displayed products"/>
    <hyperlink ref="D181" r:id="rId1" display="1. Go to https://ilyn.global/ &#10; 2. Click &quot;WOMEN&quot; menu &#10; 3. Observe the sections listed under the WOMEN menu"/>
    <hyperlink ref="D182" r:id="rId1" display="1. Go to https://ilyn.global/ &#10; 2. Click &quot;WOMEN&quot; menu &#10; 3. Hover over or click &quot;Abaya&quot; section &#10; 4. Observe variants"/>
    <hyperlink ref="D183" r:id="rId1" display="1. Go to https://ilyn.global/ &#10; 2. Click &quot;WOMEN&quot; menu &#10; 3. Click &quot;Abaya&quot; section"/>
    <hyperlink ref="D184" r:id="rId1" display="1. Go to https://ilyn.global/ &#10; 2. Click &quot;WOMEN&quot; menu &#10; 3. Click &quot;Abaya&quot; section &#10; 4. Observe displayed products"/>
    <hyperlink ref="D185" r:id="rId1" display="1. Go to https://ilyn.global/ &#10; 2. Click &quot;WOMEN&quot; menu &#10; 3. Hover over or click &quot;Tops&quot; section &#10; 4. Observe variants"/>
    <hyperlink ref="D186" r:id="rId1" display="1. Go to https://ilyn.global/ &#10; 2. Click &quot;WOMEN&quot; menu &#10; 3. Click &quot;Tops&quot; section"/>
    <hyperlink ref="D187" r:id="rId1" display="1. Go to https://ilyn.global/ &#10; 2. Click &quot;WOMEN&quot; menu &#10; 3. Click &quot;Tops&quot; section &#10; 4. Observe displayed products"/>
    <hyperlink ref="D188" r:id="rId1" display="1. Go to https://ilyn.global/ &#10; 2. Click &quot;WOMEN&quot; menu &#10; 3. Hover over or click &quot;Co-ords Dress Set&quot; section &#10; 4. Observe variants"/>
    <hyperlink ref="D189" r:id="rId1" display="1. Go to https://ilyn.global/ &#10; 2. Click &quot;WOMEN&quot; menu &#10; 3. Click &quot;Co-ords Dress Set&quot; section"/>
    <hyperlink ref="D190" r:id="rId1" display="1. Go to https://ilyn.global/ &#10; 2. Click &quot;WOMEN&quot; menu &#10; 3. Click &quot;Co-ords Dress Set&quot; section &#10; 4. Observe displayed products"/>
    <hyperlink ref="D191" r:id="rId1" display="1. Go to https://ilyn.global/ &#10; 2. Click &quot;WOMEN&quot; menu &#10; 3. Hover over or click &quot;Scarf&quot; section &#10; 4. Observe variants"/>
    <hyperlink ref="D192" r:id="rId1" display="1. Go to https://ilyn.global/ &#10; 2. Click &quot;WOMEN&quot; menu &#10; 3. Click &quot;Scarf&quot; section"/>
    <hyperlink ref="D193" r:id="rId1" display="1. Go to https://ilyn.global/ &#10; 2. Click &quot;WOMEN&quot; menu &#10; 3. Click &quot;Scarf&quot; section &#10; 4. Observe displayed products"/>
    <hyperlink ref="D194" r:id="rId1" display="1. Go to https://ilyn.global/ &#10; 2. Click &quot;WOMEN&quot; menu &#10; 3. Hover over or click &quot;Trousers&quot; section &#10; 4. Observe variants"/>
    <hyperlink ref="D195" r:id="rId1" display="1. Go to https://ilyn.global/ &#10; 2. Click &quot;WOMEN&quot; menu &#10; 3. Click &quot;Trousers&quot; section"/>
    <hyperlink ref="D196" r:id="rId1" display="1. Go to https://ilyn.global/ &#10; 2. Click &quot;WOMEN&quot; menu &#10; 3. Click &quot;Trousers&quot; section &#10; 4. Observe displayed products"/>
    <hyperlink ref="D197" r:id="rId1" display="1. Go to https://ilyn.global/ &#10; 2. Click &quot;WOMEN&quot; menu &#10; 3. Hover over or click &quot;Essentials&quot; section &#10; 4. Observe variants"/>
    <hyperlink ref="D198" r:id="rId1" display="1. Go to https://ilyn.global/ &#10; 2. Click &quot;WOMEN&quot; menu &#10; 3. Click &quot;Essentials&quot; section"/>
    <hyperlink ref="D199" r:id="rId1" display="1. Go to https://ilyn.global/ &#10; 2. Click &quot;WOMEN&quot; menu &#10; 3. Click &quot;Essentials&quot; section &#10; 4. Observe displayed products"/>
    <hyperlink ref="D202" r:id="rId1" display="1. Go to https://ilyn.global/ &#10; 2. Click &quot;KIDS&quot; menu &#10; 3. Observe all sections under the KIDS menu"/>
    <hyperlink ref="D203" r:id="rId1" display="1. Go to https://ilyn.global/ &#10; 2. Click &quot;KIDS&quot; menu &#10; 3. Click &quot;Panjabi&quot; section"/>
    <hyperlink ref="D204" r:id="rId1" display="1. Go to https://ilyn.global/ &#10; 2. Click &quot;KIDS&quot; menu &#10; 3. Click &quot;Panjabi&quot; section &#10; 4. Observe displayed products"/>
    <hyperlink ref="D205" r:id="rId1" display="1. Go to https://ilyn.global/ &#10; 2. Click &quot;KIDS&quot; menu &#10; 3. Click &quot;Waistcoats&quot; section"/>
    <hyperlink ref="D206" r:id="rId1" display="1. Go to https://ilyn.global/ &#10; 2. Click &quot;KIDS&quot; menu &#10; 3. Click &quot;Waistcoats&quot; section &#10; 4. Observe displayed products"/>
    <hyperlink ref="D207" r:id="rId1" display="1. Go to https://ilyn.global/ &#10; 2. Click &quot;KIDS&quot; menu &#10; 3. Click &quot;Shirts&quot; section"/>
    <hyperlink ref="D208" r:id="rId1" display="1. Go to https://ilyn.global/ &#10; 2. Click &quot;KIDS&quot; menu &#10; 3. Click &quot;Shirts&quot; section &#10; 4. Observe displayed products"/>
    <hyperlink ref="D209" r:id="rId1" display="1. Go to https://ilyn.global/ &#10; 2. Click &quot;KIDS&quot; menu &#10; 3. Click &quot;Panjabi With Waistcoat Set&quot; section"/>
    <hyperlink ref="D210" r:id="rId1" display="1. Go to https://ilyn.global/ &#10; 2. Click &quot;KIDS&quot; menu &#10; 3. Click &quot;Panjabi With Waistcoat Set&quot; section &#10; 4. Observe displayed products"/>
    <hyperlink ref="D211" r:id="rId1" display="1. Go to https://ilyn.global/ &#10; 2. Click &quot;KIDS&quot; menu &#10; 3. Observe all sections"/>
    <hyperlink ref="D212" r:id="rId1" display="1. Go to https://ilyn.global/ &#10; 2. Click &quot;KIDS&quot; menu &#10; 3. Click &quot;Panjabi&quot; section"/>
    <hyperlink ref="D213" r:id="rId1" display="1. Go to https://ilyn.global/ &#10; 2. Click &quot;KIDS&quot; menu &#10; 3. Click &quot;Panjabi&quot; section &#10; 4. Observe displayed products"/>
    <hyperlink ref="D214" r:id="rId1" display="1. Go to https://ilyn.global/ &#10; 2. Click &quot;KIDS&quot; menu &#10; 3. Click &quot;Waistcoats&quot; section"/>
    <hyperlink ref="D215" r:id="rId1" display="1. Go to https://ilyn.global/ &#10; 2. Click &quot;KIDS&quot; menu &#10; 3. Click &quot;Waistcoats&quot; section &#10; 4. Observe displayed products"/>
    <hyperlink ref="D216" r:id="rId1" display="1. Go to https://ilyn.global/ &#10; 2. Click &quot;KIDS&quot; menu &#10; 3. Click &quot;Shirts&quot; section"/>
    <hyperlink ref="D217" r:id="rId1" display="1. Go to https://ilyn.global/ &#10; 2. Click &quot;KIDS&quot; menu &#10; 3. Click &quot;Shirts&quot; section &#10; 4. Observe displayed products"/>
    <hyperlink ref="D218" r:id="rId1" display="1. Go to https://ilyn.global/ &#10; 2. Click &quot;KIDS&quot; menu &#10; 3. Click &quot;Panjabi With Waistcoat Set&quot; section"/>
    <hyperlink ref="D219" r:id="rId1" display="1. Go to https://ilyn.global/ &#10; 2. Click &quot;KIDS&quot; menu &#10; 3. Click &quot;Panjabi With Waistcoat Set&quot; section &#10; 4. Observe displayed products"/>
    <hyperlink ref="D220" r:id="rId1" display="1. Go to https://ilyn.global/ &#10; 2. Click &quot;KIDS&quot; menu &#10; 3. Observe all sections"/>
    <hyperlink ref="D221" r:id="rId1" display="1. Go to https://ilyn.global/ &#10; 2. Click &quot;KIDS&quot; menu &#10; 3. Click &quot;Panjabi&quot; section"/>
    <hyperlink ref="D222" r:id="rId1" display="1. Go to https://ilyn.global/ &#10; 2. Click &quot;KIDS&quot; menu &#10; 3. Click &quot;Panjabi&quot; section &#10; 4. Observe displayed products"/>
    <hyperlink ref="D223" r:id="rId1" display="1. Go to https://ilyn.global/ &#10; 2. Click &quot;KIDS&quot; menu &#10; 3. Click &quot;Waistcoats&quot; section"/>
    <hyperlink ref="D224" r:id="rId1" display="1. Go to https://ilyn.global/ &#10; 2. Click &quot;KIDS&quot; menu &#10; 3. Click &quot;Waistcoats&quot; section &#10; 4. Observe displayed products"/>
    <hyperlink ref="D225" r:id="rId1" display="1. Go to https://ilyn.global/ &#10; 2. Click &quot;KIDS&quot; menu &#10; 3. Click &quot;Shirts&quot; section"/>
    <hyperlink ref="D226" r:id="rId1" display="1. Go to https://ilyn.global/ &#10; 2. Click &quot;KIDS&quot; menu &#10; 3. Click &quot;Shirts&quot; section &#10; 4. Observe displayed products"/>
    <hyperlink ref="D227" r:id="rId1" display="1. Go to https://ilyn.global/ &#10; 2. Click &quot;KIDS&quot; menu &#10; 3. Click &quot;Panjabi With Waistcoat Set&quot; section"/>
    <hyperlink ref="D228" r:id="rId1" display="1. Go to https://ilyn.global/ &#10; 2. Click &quot;KIDS&quot; menu &#10; 3. Click &quot;Panjabi With Waistcoat Set&quot; section &#10; 4. Observe displayed products"/>
    <hyperlink ref="D229" r:id="rId1" display="1. Go to https://ilyn.global/ &#10; 2. Click &quot;KIDS&quot; menu &#10; 3. Observe all sections"/>
    <hyperlink ref="D230" r:id="rId1" display="1. Go to https://ilyn.global/ &#10; 2. Click &quot;KIDS&quot; menu &#10; 3. Click &quot;Panjabi&quot; section"/>
    <hyperlink ref="D231" r:id="rId1" display="1. Go to https://ilyn.global/ &#10; 2. Click &quot;KIDS&quot; menu &#10; 3. Click &quot;Panjabi&quot; section &#10; 4. Observe displayed products"/>
    <hyperlink ref="D234" r:id="rId1" display="1. Go to https://ilyn.global/ &#10; 2. Click &quot;FRAGRANCE&quot; menu &#10; 3. Observe all sections listed under FRAGRANCE menu"/>
    <hyperlink ref="D235" r:id="rId1" display="1. Go to https://ilyn.global/ &#10; 2. Click &quot;FRAGRANCE&quot; menu &#10; 3. Click &quot;All Fragrance&quot; section"/>
    <hyperlink ref="D236" r:id="rId1" display="1. Go to https://ilyn.global/ &#10; 2. Click &quot;FRAGRANCE&quot; menu &#10; 3. Click &quot;All Fragrance&quot; section &#10; 4. Observe displayed products"/>
    <hyperlink ref="D237" r:id="rId1" display="1. Go to https://ilyn.global/ &#10; 2. Click &quot;FRAGRANCE&quot; menu &#10; 3. Click &quot;Premium&quot; section"/>
    <hyperlink ref="D238" r:id="rId1" display="1. Go to https://ilyn.global/ &#10; 2. Click &quot;FRAGRANCE&quot; menu &#10; 3. Click &quot;Premium&quot; section &#10; 4. Observe displayed products"/>
    <hyperlink ref="D239" r:id="rId1" display="1. Go to https://ilyn.global/ &#10; 2. Click &quot;FRAGRANCE&quot; menu &#10; 3. Click &quot;Luxury&quot; section"/>
    <hyperlink ref="D240" r:id="rId1" display="1. Go to https://ilyn.global/ &#10; 2. Click &quot;FRAGRANCE&quot; menu &#10; 3. Click &quot;Luxury&quot; section &#10; 4. Observe displayed products"/>
    <hyperlink ref="D241" r:id="rId1" display="1. Go to https://ilyn.global/ &#10; 2. Click &quot;FRAGRANCE&quot; menu &#10; 3. Click &quot;Al Haramain&quot; section"/>
    <hyperlink ref="D242" r:id="rId1" display="1. Go to https://ilyn.global/ &#10; 2. Click &quot;FRAGRANCE&quot; menu &#10; 3. Click &quot;Al Haramain&quot; section &#10; 4. Observe displayed products"/>
    <hyperlink ref="D245" r:id="rId1" display="1. Go to https://ilyn.global/ &#10; 2. Click &quot;ACCESSORIES&quot; menu &#10; 3. Observe all listed sections under ACCESSORIES menu"/>
    <hyperlink ref="D246" r:id="rId1" display="1. Go to https://ilyn.global/ &#10; 2. Click &quot;ACCESSORIES&quot; menu &#10; 3. Click &quot;All Accessories&quot; section"/>
    <hyperlink ref="D247" r:id="rId1" display="1. Go to https://ilyn.global/ &#10; 2. Click &quot;ACCESSORIES&quot; menu &#10; 3. Click &quot;All Accessories&quot; section &#10; 4. Observe all products"/>
    <hyperlink ref="D248" r:id="rId1" display="1. Go to https://ilyn.global/ &#10; 2. Click &quot;ACCESSORIES&quot; menu &#10; 3. Click &quot;Bags&quot; section"/>
    <hyperlink ref="D249" r:id="rId1" display="1. Go to https://ilyn.global/ &#10; 2. Click &quot;ACCESSORIES&quot; menu &#10; 3. Click &quot;Bags&quot; section &#10; 4. Observe displayed products"/>
    <hyperlink ref="D250" r:id="rId1" display="1. Go to https://ilyn.global/ &#10; 2. Click &quot;ACCESSORIES&quot; menu &#10; 3. Click &quot;Home Decor&quot; section"/>
    <hyperlink ref="D251" r:id="rId1" display="1. Go to https://ilyn.global/ &#10; 2. Click &quot;ACCESSORIES&quot; menu &#10; 3. Click &quot;Home Decor&quot; section &#10; 4. Observe displayed products"/>
    <hyperlink ref="D252" r:id="rId1" display="1. Go to https://ilyn.global/ &#10; 2. Click &quot;ACCESSORIES&quot; menu &#10; 3. Click &quot;Watches&quot; section"/>
    <hyperlink ref="D253" r:id="rId1" display="1. Go to https://ilyn.global/ &#10; 2. Click &quot;ACCESSORIES&quot; menu &#10; 3. Click &quot;Watches&quot; section &#10; 4. Observe displayed products"/>
    <hyperlink ref="D254" r:id="rId1" display="1. Go to https://ilyn.global/ &#10; 2. Click &quot;ACCESSORIES&quot; menu &#10; 3. Click &quot;Wallets&quot; section"/>
    <hyperlink ref="D255" r:id="rId1" display="1. Go to https://ilyn.global/ &#10; 2. Click &quot;ACCESSORIES&quot; menu &#10; 3. Click &quot;Wallets&quot; section &#10; 4. Observe displayed products"/>
    <hyperlink ref="D256" r:id="rId1" display="1. Go to https://ilyn.global/ &#10; 2. Click &quot;ACCESSORIES&quot; menu &#10; 3. Click &quot;Cardholder&quot; section"/>
    <hyperlink ref="D257" r:id="rId1" display="1. Go to https://ilyn.global/ &#10; 2. Click &quot;ACCESSORIES&quot; menu &#10; 3. Click &quot;Cardholder&quot; section &#10; 4. Observe displayed products"/>
    <hyperlink ref="D258" r:id="rId1" display="1. Go to https://ilyn.global/ &#10; 2. Click &quot;ACCESSORIES&quot; menu &#10; 3. Click &quot;Prayer Caps&quot; section"/>
    <hyperlink ref="D259" r:id="rId1" display="1. Go to https://ilyn.global/ &#10; 2. Click &quot;ACCESSORIES&quot; menu &#10; 3. Click &quot;Prayer Caps&quot; section &#10; 4. Observe displayed products"/>
    <hyperlink ref="D260" r:id="rId1" display="1. Go to https://ilyn.global/ &#10; 2. Click &quot;ACCESSORIES&quot; menu &#10; 3. Click &quot;Handbags&quot; section"/>
    <hyperlink ref="D261" r:id="rId1" display="1. Go to https://ilyn.global/ &#10; 2. Click &quot;ACCESSORIES&quot; menu &#10; 3. Click &quot;Handbags&quot; section &#10; 4. Observe displayed products"/>
    <hyperlink ref="D262" r:id="rId1" display="1. Go to https://ilyn.global/ &#10; 2. Click &quot;ACCESSORIES&quot; menu &#10; 3. Observe all listed sections under ACCESSORIES menu"/>
    <hyperlink ref="D263" r:id="rId1" display="1. Go to https://ilyn.global/ &#10; 2. Click &quot;ACCESSORIES&quot; menu &#10; 3. Click &quot;All Accessories&quot; section"/>
    <hyperlink ref="D264" r:id="rId1" display="1. Go to https://ilyn.global/ &#10; 2. Click &quot;ACCESSORIES&quot; menu &#10; 3. Click &quot;All Accessories&quot; section &#10; 4. Observe all products"/>
    <hyperlink ref="D265" r:id="rId1" display="1. Go to https://ilyn.global/ &#10; 2. Click &quot;ACCESSORIES&quot; menu &#10; 3. Click &quot;Bags&quot; section"/>
    <hyperlink ref="D266" r:id="rId1" display="1. Go to https://ilyn.global/ &#10; 2. Click &quot;ACCESSORIES&quot; menu &#10; 3. Click &quot;Bags&quot; section &#10; 4. Observe displayed products"/>
    <hyperlink ref="D267" r:id="rId1" display="1. Go to https://ilyn.global/ &#10; 2. Click &quot;ACCESSORIES&quot; menu &#10; 3. Click &quot;Home Decor&quot; section"/>
    <hyperlink ref="D268" r:id="rId1" display="1. Go to https://ilyn.global/ &#10; 2. Click &quot;ACCESSORIES&quot; menu &#10; 3. Click &quot;Home Decor&quot; section &#10; 4. Observe displayed products"/>
    <hyperlink ref="D269" r:id="rId1" display="1. Go to https://ilyn.global/ &#10; 2. Click &quot;ACCESSORIES&quot; menu &#10; 3. Click &quot;Watches&quot; section"/>
    <hyperlink ref="D270" r:id="rId1" display="1. Go to https://ilyn.global/ &#10; 2. Click &quot;ACCESSORIES&quot; menu &#10; 3. Click &quot;Watches&quot; section &#10; 4. Observe displayed products"/>
    <hyperlink ref="D271" r:id="rId1" display="1. Go to https://ilyn.global/ &#10; 2. Click &quot;ACCESSORIES&quot; menu &#10; 3. Click &quot;Wallets&quot; section"/>
    <hyperlink ref="D272" r:id="rId1" display="1. Go to https://ilyn.global/ &#10; 2. Click &quot;ACCESSORIES&quot; menu &#10; 3. Click &quot;Wallets&quot; section &#10; 4. Observe displayed products"/>
    <hyperlink ref="D273" r:id="rId1" display="1. Go to https://ilyn.global/ &#10; 2. Click &quot;ACCESSORIES&quot; menu &#10; 3. Click &quot;Cardholder&quot; section"/>
    <hyperlink ref="D274" r:id="rId1" display="1. Go to https://ilyn.global/ &#10; 2. Click &quot;ACCESSORIES&quot; menu &#10; 3. Click &quot;Cardholder&quot; section &#10; 4. Observe displayed products"/>
    <hyperlink ref="D275" r:id="rId1" display="1. Go to https://ilyn.global/ &#10; 2. Click &quot;ACCESSORIES&quot; menu &#10; 3. Click &quot;Prayer Caps&quot; section"/>
    <hyperlink ref="D278" r:id="rId1" display="1. Go to https://ilyn.global/ &#10; 2. Click &quot;Furniture&quot; menu &#10; 3. Observe the sections listed under Furniture"/>
    <hyperlink ref="D279" r:id="rId1" display="1. Go to https://ilyn.global/ &#10; 2. Click &quot;Furniture&quot; menu &#10; 3. Hover over or click &quot;All Products&quot; section &#10; 4. Observe variants"/>
    <hyperlink ref="D280" r:id="rId1" display="1. Go to https://ilyn.global/ &#10; 2. Click &quot;Furniture&quot; menu &#10; 3. Click &quot;All Products&quot; section"/>
    <hyperlink ref="D281" r:id="rId1" display="1. Go to https://ilyn.global/ &#10; 2. Click &quot;Furniture&quot; menu &#10; 3. Click &quot;All Products&quot; section &#10; 4. Observe displayed products"/>
    <hyperlink ref="D282" r:id="rId1" display="1. Go to https://ilyn.global/ &#10; 2. Click &quot;Furniture&quot; menu &#10; 3. Hover over or click &quot;Luxury&quot; section &#10; 4. Observe variants"/>
    <hyperlink ref="D283" r:id="rId1" display="1. Go to https://ilyn.global/ &#10; 2. Click &quot;Furniture&quot; menu &#10; 3. Click &quot;Luxury&quot; section"/>
    <hyperlink ref="D284" r:id="rId1" display="1. Go to https://ilyn.global/ &#10; 2. Click &quot;Furniture&quot; menu &#10; 3. Click &quot;Luxury&quot; section &#10; 4. Observe displayed products"/>
    <hyperlink ref="D285" r:id="rId1" display="1. Go to https://ilyn.global/ &#10; 2. Click &quot;Furniture&quot; menu &#10; 3. Hover over or click &quot;Premium&quot; section &#10; 4. Observe variants"/>
    <hyperlink ref="D286" r:id="rId1" display="1. Go to https://ilyn.global/ &#10; 2. Click &quot;Furniture&quot; menu &#10; 3. Click &quot;Premium&quot; section"/>
    <hyperlink ref="D287" r:id="rId1" display="1. Go to https://ilyn.global/ &#10; 2. Click &quot;Furniture&quot; menu &#10; 3. Click &quot;Premium&quot; section &#10; 4. Observe displayed products"/>
    <hyperlink ref="D288" r:id="rId1" display="1. Go to https://ilyn.global/ &#10; 2. Click &quot;Furniture&quot; menu &#10; 3. Hover over or click &quot;Business&quot; section &#10; 4. Observe variants"/>
    <hyperlink ref="D289" r:id="rId1" display="1. Go to https://ilyn.global/ &#10; 2. Click &quot;Furniture&quot; menu &#10; 3. Click &quot;Business&quot; section"/>
    <hyperlink ref="D290" r:id="rId1" display="1. Go to https://ilyn.global/ &#10; 2. Click &quot;Furniture&quot; menu &#10; 3. Click &quot;Business&quot; section &#10; 4. Observe displayed products"/>
    <hyperlink ref="D291" r:id="rId1" display="1. Go to https://ilyn.global/ &#10; 2. Click &quot;Furniture&quot; menu &#10; 3. Hover over or click &quot;Industriè&quot; section &#10; 4. Observe variants"/>
    <hyperlink ref="D292" r:id="rId1" display="1. Go to https://ilyn.global/ &#10; 2. Click &quot;Furniture&quot; menu &#10; 3. Click &quot;Industriè&quot; section"/>
    <hyperlink ref="D293" r:id="rId1" display="1. Go to https://ilyn.global/ &#10; 2. Click &quot;Furniture&quot; menu &#10; 3. Click &quot;Industriè&quot; section &#10; 4. Observe displayed products"/>
    <hyperlink ref="D296" r:id="rId1" display="1. Go to https://ilyn.global/ &#10; 2. Click &quot;GIFT CARD&quot; menu &#10;"/>
    <hyperlink ref="D297" r:id="rId1" display="1. Go to https://ilyn.global/ &#10; 2. Click &quot;GIFT CARD&quot; menu &#10; 3. Observe displayed products"/>
    <hyperlink ref="D300" r:id="rId1" display="1. Go to https://ilyn.global/ &#10; 2. Click &quot;COTTOCOOL TECHNOLOGY&quot; menu"/>
    <hyperlink ref="D301" r:id="rId1" display="1. Go to https://ilyn.global/ &#10; 2. Click &quot;COTTOCOOL TECHNOLOGY&quot; menu &#10; 3. Observe displayed products"/>
    <hyperlink ref="D304" r:id="rId1" display="1. Go to https://ilyn.global/ &#10; 2. Click &quot;APPS&quot; menu &#10; 3. Click &quot;Waqt Al Salaah&quot; section &#10; 4. Observe &quot;Waqt Al Salaah&quot; and &quot;Memorize Quran&quot; sections"/>
    <hyperlink ref="D305" r:id="rId1" display="1. Go to https://ilyn.global/ &#10; 2. Click &quot;APPS&quot; menu &#10; 3. Click &quot;Waqt Al Salaah&quot; section"/>
    <hyperlink ref="D306" r:id="rId1" display="1. Go to https://ilyn.global/ &#10; 2. Click &quot;APPS&quot; menu &#10; 3. Click &quot;Waqt Al Salaah&quot; section &#10; 4. Observe the logo"/>
    <hyperlink ref="D307" r:id="rId1" display="1. Go to https://ilyn.global/ &#10; 2. Click &quot;APPS&quot; menu &#10; 3. Click &quot;Waqt Al Salaah&quot; section &#10; 4. Observe the page title"/>
    <hyperlink ref="D308" r:id="rId1" display="1. Go to https://ilyn.global/ &#10; 2. Click &quot;APPS&quot; menu &#10; 3. Click &quot;Waqt Al Salaah&quot; section &#10; 4. Observe the description text"/>
    <hyperlink ref="D309" r:id="rId1" display="1. Go to https://ilyn.global/ &#10; 2. Click &quot;APPS&quot; menu &#10; 3. Click &quot;Waqt Al Salaah&quot; section &#10; 4. Observe the mobile mockup image"/>
    <hyperlink ref="D310" r:id="rId1" display="1. Go to https://ilyn.global/ &#10; 2. Click &quot;APPS&quot; menu &#10; 3. Click &quot;Waqt Al Salaah&quot; section &#10; 4. Observe the Play Store button"/>
    <hyperlink ref="D311" r:id="rId1" display="1. Go to https://ilyn.global/ &#10; 2. Click &quot;APPS&quot; menu &#10; 3. Click &quot;Waqt Al Salaah&quot; section &#10; 4. Observe the App Store button"/>
    <hyperlink ref="D312" r:id="rId1" display="1. Go to https://ilyn.global/ &#10; 2. Click &quot;APPS&quot; menu &#10; 3. Click &quot;Waqt Al Salaah&quot; section &#10; 4. Click App Store button"/>
    <hyperlink ref="D313" r:id="rId1" display="1. Go to https://ilyn.global/ &#10; 2. Click &quot;APPS&quot; menu &#10; 3. Click &quot;Waqt Al Salaah&quot; section"/>
    <hyperlink ref="D314" r:id="rId1" display="1. Go to https://ilyn.global/ &#10; 2. Click &quot;APPS&quot; menu &#10; 3. Click &quot;Waqt Al Salaah&quot; section &#10; 4. Observe the Qibla Locator card"/>
    <hyperlink ref="D315" r:id="rId1" display="1. Go to https://ilyn.global/ &#10; 2. Click &quot;APPS&quot; menu &#10; 3. Click &quot;Waqt Al Salaah&quot; section &#10; 4. Observe the Tasbih card"/>
    <hyperlink ref="D316" r:id="rId1" display="1. Go to https://ilyn.global/ &#10; 2. Click &quot;APPS&quot; menu &#10; 3. Click &quot;Waqt Al Salaah&quot; section &#10; 4. Observe the Suhoor and Iftar Time card"/>
    <hyperlink ref="D317" r:id="rId1" display="1. Go to https://ilyn.global/ &#10; 2. Click &quot;APPS&quot; menu &#10; 3. Click &quot;Waqt Al Salaah&quot; section &#10; 4. Observe the Hijri Calendar card"/>
    <hyperlink ref="D318" r:id="rId1" display="1. Go to https://ilyn.global/ &#10; 2. Click &quot;APPS&quot; menu &#10; 3. Click &quot;Waqt Al Salaah&quot; section &#10; 4. Observe the Find Mosque Nearby card"/>
    <hyperlink ref="D319" r:id="rId1" display="1. Go to https://ilyn.global/ &#10; 2. Click &quot;APPS&quot; menu &#10; 3. Click &quot;Waqt Al Salaah&quot; section &#10; 4. Observe the background map"/>
    <hyperlink ref="D320" r:id="rId1" display="1. Go to https://ilyn.global/ &#10; 2. Click &quot;APPS&quot; menu &#10; 3. Click &quot;Waqt Al Salaah&quot; section &#10; 4. Observe the map line graphic"/>
    <hyperlink ref="D321" r:id="rId1" display="1. Go to https://ilyn.global/ &#10; 2. Click &quot;APPS&quot; menu &#10; 3. Click &quot;Waqt Al Salaah&quot; section &#10; 4. Observe the color theme description"/>
    <hyperlink ref="D322" r:id="rId1" display="1. Go to https://ilyn.global/ &#10; 2. Click &quot;APPS&quot; menu &#10; 3. Click &quot;Waqt Al Salaah&quot; section &#10; 4. Observe the Light Mode toggle button"/>
    <hyperlink ref="D323" r:id="rId1" display="1. Go to https://ilyn.global/ &#10; 2. Click &quot;APPS&quot; menu &#10; 3. Click &quot;Waqt Al Salaah&quot; section &#10; 4. Click Light Mode toggle"/>
    <hyperlink ref="D324" r:id="rId1" display="1. Go to https://ilyn.global/ &#10; 2. Click &quot;APPS&quot; menu &#10; 3. Click &quot;Waqt Al Salaah&quot; section &#10; 4. Click Light Mode toggle"/>
    <hyperlink ref="D325" r:id="rId1" display="1. Go to https://ilyn.global/ &#10; 2. Click &quot;APPS&quot; menu &#10; 3. Click &quot;Waqt Al Salaah&quot; section &#10; 4. Observe radio buttons"/>
    <hyperlink ref="D326" r:id="rId1" display="1. Go to https://ilyn.global/ &#10; 2. Click &quot;APPS&quot; menu &#10; 3. Click &quot;Waqt Al Salaah&quot; section &#10; 4. Click each radio button and observe image"/>
    <hyperlink ref="D327" r:id="rId1" display="1. Go to https://ilyn.global/ &#10; 2. Click &quot;APPS&quot; menu &#10; 3. Click &quot;Waqt Al Salaah&quot; section &#10; 4. Select multiple radio buttons"/>
    <hyperlink ref="D328" r:id="rId1" display="1. Go to https://ilyn.global/ &#10; 2. Click &quot;APPS&quot; menu &#10; 3. Click &quot;Waqt Al Salaah&quot; section &#10; 4. Observe the image"/>
    <hyperlink ref="D329" r:id="rId1" display="1. Go to https://ilyn.global/ &#10; 2. Click &quot;APPS&quot; menu &#10; 3. Click &quot;Waqt Al Salaah&quot; section &#10; 4. Observe the &quot;Powered by illiyeen&quot; image"/>
    <hyperlink ref="D330" r:id="rId1" display="1. Go to https://ilyn.global/ &#10; 2. Click &quot;APPS&quot; menu &#10; 3. Click &quot;Waqt Al Salaah&quot; section &#10; 4. Observe the text"/>
    <hyperlink ref="D331" r:id="rId1" display="1. Go to https://ilyn.global/ &#10; 2. Click &quot;APPS&quot; menu &#10; 3. Click &quot;Waqt Al Salaah&quot; section &#10; 4. Observe the text"/>
    <hyperlink ref="D332" r:id="rId1" display="1. Go to https://ilyn.global/ &#10; 2. Click &quot;APPS&quot; menu &#10; 3. Click &quot;Waqt Al Salaah&quot; section &#10; 4. Observe the QR scan code"/>
    <hyperlink ref="D333" r:id="rId1" display="1. Go to https://ilyn.global/ &#10; 2. Click &quot;APPS&quot; menu &#10; 3. Click &quot;Waqt Al Salaah&quot; section &#10; 4. Observe the Play Store button"/>
    <hyperlink ref="D25" r:id="rId1" display="1.Go to https://ilyn.global/&#10;2.Click on &quot;SIGN IN &quot; Link&#10;3.Click  &quot;SIGN UP&quot; button&#10;4.Insert valid data in the field&#10;5.Click &quot;NEXT&quot; button"/>
    <hyperlink ref="D24" r:id="rId1" display="1.Go to https://ilyn.global/&#10;2.Click on &quot;SIGN IN &quot; Link&#10;3.Click  &quot;SIGN UP&quot; button&#10;4.Click &quot;MOBILE&quot;section.&#10;4.Insert invalid phone number in phone number field&#10;5.Click &quot;NEXT&quot; button"/>
    <hyperlink ref="D22" r:id="rId1" display="1.Go to https://ilyn.global/&#10;2. Click on &quot;SIGN IN &quot; Link&#10;3.Click  &quot;SIGN UP&quot;  button&#10;3.Click &quot;MOBILE&quot; section.&#10;4.Click the field and do not give any data and click outside of the field"/>
    <hyperlink ref="D21" r:id="rId2" display="1.Go to https://ilyn.global/&#10;2.Click on &quot;SIGN IN &quot; Link&#10;3.Click  &quot;SIGN UP&quot; button&#10;4.Click &quot;MOBILE&quot;section.&#10;"/>
    <hyperlink ref="D20" r:id="rId2" display="1.Go to https://ilyn.global/&#10;2.Click on &quot;SIGN IN &quot; Link&#10;3.Click  &quot;SIGN UP&quot; button&#10;4.Click &quot;EMAIL&quot;section.&#10;4.Insert valid email in email field&#10;5.click &quot;NEXT&quot; button"/>
    <hyperlink ref="D19" r:id="rId2" display="1.Go to https://ilyn.global/&#10;2.Click on &quot;SIGN IN &quot; Link&#10;3.Click  &quot;SIGN UP&quot; button&#10;4.Click &quot;EMAIL&quot;section.&#10;4.Insert invalid email in email field&#10;5.click &quot;NEXT&quot; button"/>
    <hyperlink ref="D18" r:id="rId1" display="1.Go to https://ilyn.global/&#10;2. Click on &quot;SIGN IN &quot; Link&#10;3.Click  &quot;SIGN UP&quot; button&#10;4.Click &quot;EMAIL&quot;section.&#10;5.Click the field and put only a character"/>
    <hyperlink ref="D17" r:id="rId1" display="1.Go to https://ilyn.global/&#10;2. Click on &quot;SIGN IN &quot; Link&#10;3.Click  &quot;SIGN UP&quot;  button&#10;3.Click &quot;EMAIL&quot; section.&#10;4.Click the field and do not give any data and click outside of the field"/>
    <hyperlink ref="D16" r:id="rId1" display="1.Go to https://ilyn.global/&#10;2.Click on &quot;SIGN IN &quot; Link&#10;3.Click  &quot;SIGN UP&quot;  button&#10;4. Click &quot;NEXT button"/>
    <hyperlink ref="D15" r:id="rId1" display="1.Go to https://ilyn.global/&#10;2.Click on &quot;SIGN IN &quot; Link&#10;3.Click  &quot;SIGN UP&quot;  button&#10;"/>
    <hyperlink ref="D14" r:id="rId1" display="1.Go to https://ilyn.global/&#10;2.Click on &quot;SIGN IN &quot; Link&#10;3.Click  &quot;SIGN UP&quot;  button&#10;4.Click &quot;EMAIL&quot; section"/>
    <hyperlink ref="D13" r:id="rId1" display="1.Go to https://ilyn.global/&#10;2.Click on &quot;SIGN IN &quot; Link&#10;3.Click  &quot;SIGN UP&quot;  button&#10;4.Click email section"/>
    <hyperlink ref="D12" r:id="rId1" display="1.Go to https://ilyn.global/&#10;2.Click on &quot;SIGN IN &quot; Link&#10;3.Click  &quot;SIGN UP&quot;  button"/>
    <hyperlink ref="D11" r:id="rId1" display="1.Go to https://ilyn.global/&#10;2.Click on &quot;SIGN IN &quot; Link&#10;3.Click  &quot;SIGN UP&quot;  button&#10;4.Check the content of info box"/>
    <hyperlink ref="D10" r:id="rId1" display="1.Go to https://ilyn.global/&#10;2.Click on &quot;SIGN IN &quot; Link&#10;3.Click  &quot;SIGN UP&quot;  button&#10;4.Click the info box"/>
    <hyperlink ref="D9" r:id="rId1" display="1.Go to https://ilyn.global/&#10;2.Click on &quot;SIGN IN &quot; Link&#10;3.Click  &quot;SIGN UP&quot;  button&#10;4.Observ the page&#10;5.Check the text."/>
    <hyperlink ref="D8" r:id="rId1" display="1.Go to https://ilyn.global/&#10;2.Click on &quot;SIGN IN &quot; Link&#10;3.Click  &quot;SIGN UP&quot;  button&#10;4.Observ the page"/>
    <hyperlink ref="D7" r:id="rId1" display="1.Go to https://ilyn.global/&#10;2.Click on &quot;SIGN IN &quot; Link&#10;3.Click  &quot;SIGN UP&quot; button&#10;4.Observ the page."/>
    <hyperlink ref="D105" r:id="rId1" display="1.Go to https://ilyn.global/ &#10;2.Click &quot;All&quot; section.&#10; 3.Click &quot;MEN&quot; section."/>
    <hyperlink ref="D104" r:id="rId1" display="1.Go to https://ilyn.global/ &#10;2.Click &quot;All&quot; section. &#10;3.check the &quot;breadcrumb&quot;."/>
    <hyperlink ref="D103" r:id="rId1" display="1.Go to https://ilyn.global/ &#10;2.Click &quot;All&quot; section. &#10;3.Check the image information."/>
    <hyperlink ref="D102" r:id="rId1" display="1.Go to https://ilyn.global/ &#10;2.Click &quot;All&quot; section. &#10;3.check number of items match with number of product showed in the page"/>
    <hyperlink ref="D101" r:id="rId1" display="1.Go to https://ilyn.global/ &#10;2.Click &quot;All&quot; section. &#10;3.check the &quot;breadcrumb&quot;."/>
    <hyperlink ref="D100" r:id="rId1" display="1.Go to https://ilyn.global/ &#10;2.Click &quot;All&quot; section."/>
    <hyperlink ref="D99" r:id="rId1" display="1.Go to https://ilyn.global/ &#10;2.Click &quot;All&quot; section."/>
    <hyperlink ref="D98" r:id="rId1" display="1.Go to https://ilyn.global/ &#10;2.click on &quot;AW25 NEW ARRIVALS&quot; menu &#10;3.click on sections."/>
    <hyperlink ref="D97" r:id="rId1" display="1.Go to https://ilyn.global/ &#10;2.click on &quot;AW25 NEW ARRIVALS&quot; menu"/>
    <hyperlink ref="D94" r:id="rId1" display="1. Go to https://ilyn.global/ &#10; 2. Observe the “AW25 New Arrivals” link and related logo text. &#10; 3. Check the vertical and horizontal alignment."/>
    <hyperlink ref="D93" r:id="rId1" display="1. Go to https://ilyn.global/ &#10; 2. Observe the homepage background."/>
    <hyperlink ref="D92" r:id="rId1" display="1. Go to https://ilyn.global/ &#10; 2. Locate the “AW25 New Arrivals” link. &#10; 3. Click the link."/>
    <hyperlink ref="D91" r:id="rId1" display="1. Go to https://ilyn.global/ &#10; 2. Observe the section showing the “AW25 New Arrivals” banner. &#10; 3. Check for the “IN STORES AND ONLINE” text."/>
    <hyperlink ref="D90" r:id="rId1" display="1. Go to https://ilyn.global/ &#10; 2. Scroll through each section of the homepage. &#10; 3. Observe if the promotional message appears consistently."/>
    <hyperlink ref="D89" r:id="rId1" display="1. Go to https://ilyn.global/ &#10; 2. Observe the menu bars. &#10; 3. Click each menu section."/>
    <hyperlink ref="D88" r:id="rId1" display="1. Go to https://ilyn.global/ &#10; 2. Click all the menu sections."/>
    <hyperlink ref="D87" r:id="rId1" display="1. Go to https://ilyn.global/ &#10; 2. Check the logo and its alignment."/>
    <hyperlink ref="D86" r:id="rId1" display="1. Go to https://ilyn.global/ &#10; 2. Observe each link text and its corresponding icon."/>
    <hyperlink ref="D85" r:id="rId1" display="1. Go to https://ilyn.global/ &#10; 2. Check the icon and text alignment."/>
    <hyperlink ref="D84" r:id="rId1" display="1. Go to https://ilyn.global/ &#10; 2. Observe the header section."/>
    <hyperlink ref="D83" r:id="rId1" display="1. Go to https://ilyn.global/ &#10; 2. Observe the page."/>
    <hyperlink ref="D80" r:id="rId1" display="1.Go to https://ilyn.global/&#10;2.Click on &quot;SIGN IN &quot; Link&#10;3.Click   &quot;Recover Password&quot;  link&#10;4.Insert valid data in the field&#10;5.Click &quot;NEXT&quot; button&#10;6.Insert valid data in all the fields&#10;7.Click  &quot;SIGN IN&quot; button"/>
    <hyperlink ref="D79" r:id="rId1" display="1.Go to https://ilyn.global/&#10;2.Click on &quot;SIGN IN &quot; Link&#10;3.Click   &quot;Recover Password&quot;  link&#10;4.Insert valid data in the field&#10;5.Click &quot;NEXT&quot; button&#10;6.Insert valid data in all the fields&#10;7.Click  &quot;SIGN IN&quot; button"/>
    <hyperlink ref="D78" r:id="rId1" display="1.Go to https://ilyn.global/&#10;2.Click on &quot;SIGN IN &quot; Link&#10;3.Click   &quot;Recover Password&quot;  link&#10;4.Insert valid data in the field&#10;5.Click &quot;NEXT&quot; button&#10;6.Click the fields and do not give any data and click outside of the fields&#10;"/>
    <hyperlink ref="D77" r:id="rId1" display="1.Go to https://ilyn.global/&#10;2.Click on &quot;SIGN IN &quot; Link&#10;3.Click   &quot;Recover Password&quot;  link&#10;4.Insert valid data in the field&#10;5.Click &quot;NEXT&quot; button&#10;6.Insert valid data in &quot;PASSWORD&quot; field and invalid password to the &quot;CONFIRM PASSWORD&quot; field&#10;7.Click  &quot;SIGN IN&quot; button"/>
    <hyperlink ref="D76" r:id="rId1" display="1.Go to https://ilyn.global/&#10;2.Click on &quot;SIGN IN &quot; Link&#10;3.Click   &quot;Recover Password&quot;  link&#10;4.Insert valid data in the field&#10;5.Click &quot;NEXT&quot; button&#10;6.Insert valid data in all the fields except password field&#10;7.Click  &quot;SIGN IN&quot; button"/>
    <hyperlink ref="D75" r:id="rId1" display="1.Go to https://ilyn.global/&#10;2.Click on &quot;SIGN IN &quot; Link&#10;3.Click   &quot;Recover Password&quot;  link&#10;4.Insert valid data in the field&#10;5.Click &quot;NEXT&quot; button&#10;6.Insert valid data in all the fields&#10;7.Click  &quot;SIGN IN&quot; button"/>
    <hyperlink ref="D74" r:id="rId1" display="1.Go to https://ilyn.global/&#10;2.Click on &quot;SIGN IN &quot; Link&#10;3.Click   &quot;Recover Password&quot;  link&#10;4.Insert valid data in the field &#10;5.Click &quot;NEXT&quot; button&#10;6.Insert valid data in all the field except &quot;NAME&quot; field&#10;7.Click  &quot;SIGN IN&quot; button."/>
    <hyperlink ref="D73" r:id="rId1" display="1.Go to https://ilyn.global/&#10;2.Click on &quot;SIGN IN &quot; Link&#10;3.Click   &quot;Recover Password&quot;  link&#10;4.Insert valid data in the field&#10;5.Click &quot;NEXT&quot; button&#10;6.Insert valid data in all the fields&#10;7.Click  &quot;SIGN IN&quot; button"/>
    <hyperlink ref="D72" r:id="rId1" display="1.Go to https://ilyn.global/&#10;2.Click on &quot;SIGN IN &quot; Link&#10;3.Click   &quot;Recover Password&quot;  link&#10;4.Insert valid data in the field&#10;5.Click &quot;NEXT&quot; button&#10;6.Insert valid data in the field&#10;7.Click  &quot;SIGN IN&quot; button"/>
    <hyperlink ref="D70" r:id="rId1" display="1.Go to https://ilyn.global/&#10;2.Click on &quot;SIGN IN &quot; Link&#10;3.Click   &quot;Recover Password&quot;  link&#10;4.Insert valid data in the field&#10;5.Click &quot;NEXT&quot; button&#10;6.Note the time when OTP is received"/>
    <hyperlink ref="D69" r:id="rId1" display="1.Go to https://ilyn.global/&#10;2.Click on &quot;SIGN IN &quot; Link&#10;3.Click  &quot;SIGN UP&quot; button&#10;4.Insert valid data in the field&#10;5.Click &quot;NEXT&quot; button"/>
    <hyperlink ref="D68" r:id="rId2" display="1.Go to https://ilyn.global/&#10;2.Click on &quot;SIGN IN &quot; Link&#10;3.Click   &quot;Recover Password&quot;  link&#10;4.Click &quot;MOIBILE&quot; section.&#10;4.Insert valid data in the mobile field&#10;5.click &quot;NEXT&quot; button&#10;6.Observ the content"/>
    <hyperlink ref="D67" r:id="rId2" display="1.Go to https://ilyn.global/&#10;2.Click on &quot;SIGN IN &quot; Link&#10;3.Click   &quot;Recover Password&quot;  link&#10;4.Click &quot;MOIBILE&quot; section.&#10;4.Insert valid data in the mobile field&#10;5.click &quot;NEXT&quot; button"/>
    <hyperlink ref="D66" r:id="rId2" display="1.Go to https://ilyn.global/&#10;2.Click on &quot;SIGN IN &quot; Link&#10;3.Click   &quot;Recover Password&quot;  link&#10;4.Click &quot;MOIBILE&quot; section.&#10;4.Insert invalid data in the mobile field&#10;5.click &quot;NEXT&quot; button"/>
    <hyperlink ref="D65" r:id="rId1" display="1.Go to https://ilyn.global/&#10;2. Click on &quot;SIGN IN &quot; Link&#10;3.Click   &quot;Recover Password&quot;  link&#10;4.Click &quot;MOBILE&quot; section.&#10;5.Check the text"/>
    <hyperlink ref="D64" r:id="rId1" display="1.Go to https://ilyn.global/&#10;2. Click on &quot;SIGN IN &quot; Link&#10;3.Click   &quot;Recover Password&quot;  link&#10;4.Click &quot;MOBILE&quot; section.&#10;5.Click the field and do  give any character and click outside of the field"/>
    <hyperlink ref="D63" r:id="rId1" display="1.Go to https://ilyn.global/&#10;2. Click on &quot;SIGN IN &quot; Link&#10;3.Click   &quot;Recover Password&quot;  link&#10;4.Click &quot;MOBILE&quot; section."/>
    <hyperlink ref="D62" r:id="rId2" display="1.Go to https://ilyn.global/&#10;2.Click on &quot;SIGN IN &quot; Link&#10;3.Click   &quot;Recover Password&quot;  link&#10;4.Click &quot;EMAIL&quot; section.&#10;4.Insert valid data in the email field&#10;5.click &quot;NEXT&quot; button"/>
    <hyperlink ref="D61" r:id="rId2" display="1.Go to https://ilyn.global/&#10;2.Click on &quot;SIGN IN &quot; Link&#10;3.Click   &quot;Recover Password&quot;  link&#10;4.Click &quot;EMAIL&quot; section.&#10;4.Insert invalid data in the email field&#10;5.click &quot;NEXT&quot; button"/>
    <hyperlink ref="D60" r:id="rId1" display="1.Go to https://ilyn.global/&#10;2. Click on &quot;SIGN IN &quot; Link&#10;3.Click   &quot;Recover Password&quot;  link&#10;4.Click &quot;EMAIL&quot; section.&#10;5.Click the field and do  give any character and click outside of the field"/>
    <hyperlink ref="D59" r:id="rId1" display="1.Go to https://ilyn.global/&#10;2. Click on &quot;SIGN IN &quot; Link&#10;3.Click   &quot;Recover Password&quot;  link&#10;3.Click &quot;EMAIL&quot; section.&#10;4.Click the field and do not give any data and click outside of the field"/>
    <hyperlink ref="D58" r:id="rId1" display="1.Go to https://ilyn.global/&#10;2. Click on &quot;SIGN IN &quot; Link&#10;3.Click &quot;Recover Password&quot; link&#10;4.Click &quot;NEXT&quot;"/>
    <hyperlink ref="D57" r:id="rId1" display="1.Go to https://ilyn.global/&#10;2. Click on &quot;SIGN IN &quot; Link&#10;3.Click &quot;Recover Password&quot; link&#10;4.Observ the text"/>
    <hyperlink ref="D56" r:id="rId1" display="1.Go to https://ilyn.global/&#10;2. Click on &quot;SIGN IN &quot; Link&#10;3.Click &quot;Recover Password&quot; link&#10;4.Observ the form"/>
    <hyperlink ref="D55" r:id="rId1" display="1.Go to https://ilyn.global/&#10;2. Click on &quot;SIGN IN &quot; Link&#10;3.Click &quot;Recover Password&quot; link"/>
    <hyperlink ref="D54" r:id="rId1" display="1.Go to https://ilyn.global/&#10;2.Click on &quot;SIGN IN &quot; Link&#10;3. Insert valid data all the field.&#10;4. Click on &quot;sign in&quot; button"/>
    <hyperlink ref="D53" r:id="rId2" display="1. Go to https://ilyn.global/&#10;2.Click on &quot;SIGN IN &quot; Link&#10;3. Insert valid data all the field.&#10;4. Click on &quot;sign in&quot; button"/>
    <hyperlink ref="D52" r:id="rId1" display="1. Go to https://ilyn.global/&#10;2.Click on &quot;SIGN IN &quot; Link&#10;3. Insert valid data all the field except phone number field.&#10;4. Click on &quot;Sign In&quot; button"/>
    <hyperlink ref="D51" r:id="rId1" display="1.Go to https://ilyn.global/&#10;2.Click on &quot;SIGN IN &quot; Link&#10;3.click email section.&#10;4.Insert valid data all the field&#10;5.click &quot;sign in&quot; button"/>
    <hyperlink ref="D50" r:id="rId1" display="1.Go to https://ilyn.global/&#10;2.Click on &quot;SIGN IN &quot; Link&#10;3.click email section.&#10;4.Insert valid data all the field except password field&#10;5.click &quot;sign in&quot; button"/>
    <hyperlink ref="D49" r:id="rId1" display="1.Go to https://ilyn.global/&#10;2.Click on &quot;SIGN IN &quot; Link&#10;3.click email section.&#10;4.Insert valid data all the field&#10;5.click &quot;sign in&quot; button"/>
    <hyperlink ref="C49" r:id="rId3" display="fahimfattahulhasangmail.com"/>
    <hyperlink ref="D48" r:id="rId2" display="1.Go to https://ilyn.global/&#10;2.Click on &quot;SIGN IN &quot; Link&#10;3.click email section.&#10;4.Insert valid data all the field except email field&#10;5.click &quot;sign in&quot; button"/>
    <hyperlink ref="D47" r:id="rId4" display="1.Go to https://ilyn.global/&#10;2.Click on &quot;SIGN IN &quot; Link&#10;3.click mobile section.&#10;4.click the field and do not give any data and click outside of the field"/>
    <hyperlink ref="D46" r:id="rId1" display="1.Go to https://ilyn.global/&#10;2.Click on &quot;SIGN IN &quot; Link&#10;3.click mobile section."/>
    <hyperlink ref="D45" r:id="rId1" display="1.Go to https://ilyn.global/&#10;2.Click on &quot;SIGN IN &quot; Link&#10;3.click email section.&#10;4.click the fields and do not give any data and click outside of the fields"/>
    <hyperlink ref="D44" r:id="rId1" display="1.Go to https://ilyn.global/&#10;2.Click on &quot;SIGN IN &quot; Link&#10;3.click email section."/>
    <hyperlink ref="D43" r:id="rId1" display="1.Go to https://ilyn.global/&#10;2. Click on &quot;SIGN IN &quot; Link.&#10;3.click email section."/>
    <hyperlink ref="D42" r:id="rId1" display="1.Go to https://ilyn.global/&#10;2. Click on &quot;SIGN IN &quot; Link.&#10;3.Observ the text.&#10;4.Click the link."/>
    <hyperlink ref="D41" r:id="rId1" display="1.Go to https://ilyn.global/&#10;2. Click on &quot;SIGN IN &quot; Link&#10;3.Click the &quot;Sign Up&quot; button"/>
    <hyperlink ref="D40" r:id="rId1" display="1.Go to https://ilyn.global/&#10;2.Click on &quot;SIGN IN &quot; Link&#10;3.Check the text"/>
    <hyperlink ref="D39" r:id="rId1" display="1.Go to https://ilyn.global/&#10;2. Click on &quot;SIGN IN &quot; Link&#10;3.Ovserv the page"/>
    <hyperlink ref="D36" r:id="rId1" display="1.Go to https://ilyn.global/&#10;2.Click on &quot;SIGN IN &quot; Link&#10;3.Click  &quot;SIGN UP&quot; button&#10;4.Insert valid data in the field&#10;5.Click &quot;NEXT&quot; button&#10;6.Insert valid data in all the fields&#10;7.Click  &quot;SIGN UP&quot; button"/>
    <hyperlink ref="D35" r:id="rId1" display="1.Go to https://ilyn.global/&#10;2.Click on &quot;SIGN IN &quot; Link&#10;3.Click  &quot;SIGN UP&quot; button&#10;4.Insert valid data in the field&#10;5.Click &quot;NEXT&quot; button&#10;6.Click the fields and do not give any data and click outside of the fields&#10;"/>
    <hyperlink ref="D34" r:id="rId1" display="1.Go to https://ilyn.global/&#10;2.Click on &quot;SIGN IN &quot; Link&#10;3.Click  &quot;SIGN UP&quot; button&#10;4.Insert valid data in the field&#10;5.Click &quot;NEXT&quot; button&#10;6.Insert valid data in &quot;PASSWORD&quot; field and invalid password to the &quot;CONFIRM PASSWORD&quot; field&#10;7.Click  &quot;SIGN UP&quot; button"/>
    <hyperlink ref="D33" r:id="rId1" display="1.Go to https://ilyn.global/&#10;2.Click on &quot;SIGN IN &quot; Link&#10;3.Click  &quot;SIGN UP&quot; button&#10;4.Insert valid data in the field&#10;5.Click &quot;NEXT&quot; button&#10;6.Insert valid data in all the fields except password field&#10;7.Click  &quot;SIGN UP&quot; button"/>
    <hyperlink ref="D32" r:id="rId1" display="1.Go to https://ilyn.global/&#10;2.Click on &quot;SIGN IN &quot; Link&#10;3.Click  &quot;SIGN UP&quot; button&#10;4.Insert valid data in the field&#10;5.Click &quot;NEXT&quot; button&#10;6.Insert valid data in all the fields&#10;7.Click  &quot;SIGN UP&quot; button"/>
    <hyperlink ref="D31" r:id="rId1" display="1.Go to https://ilyn.global/&#10;2.Click on &quot;SIGN IN &quot; Link&#10;3.Click  &quot;SIGN UP&quot; button&#10;4.Insert valid data in the field &#10;5.Click &quot;NEXT&quot; button&#10;6.Insert valid data in all the field except &quot;NAME&quot; field&#10;7.Click  &quot;SIGN UP&quot; button"/>
    <hyperlink ref="D30" r:id="rId1" display="1.Go to https://ilyn.global/&#10;2.Click on &quot;SIGN IN &quot; Link&#10;3.Click  &quot;SIGN UP&quot; button&#10;4.Insert valid data in the field&#10;5.Click &quot;NEXT&quot; button&#10;6.Insert valid data in all the fields&#10;7.Click  &quot;SIGN UP&quot; button."/>
    <hyperlink ref="D29" r:id="rId1" display="1.Go to https://ilyn.global/&#10;2.Click on &quot;SIGN IN &quot; Link&#10;3.Click  &quot;SIGN UP&quot; button&#10;4.Insert valid data in the field&#10;5.Click &quot;NEXT&quot; button&#10;6.Insert valid data in the field&#10;7.Click  &quot;SIGN UP&quot; button"/>
    <hyperlink ref="D28" r:id="rId1" display="1.Go to https://ilyn.global/&#10;2.Click on &quot;SIGN IN &quot; Link&#10;3.Click  &quot;SIGN UP&quot; button&#10;4.Insert valid data in the field&#10;5.Click &quot;NEXT&quot; button&#10;6.Fill up &quot;OTP&quot; field old generated OTP&#10;7.Insert valid data in the field&#10;8.Click  &quot;SIGN UP&quot; button"/>
    <hyperlink ref="D27" r:id="rId1" display="1.Go to https://ilyn.global/&#10;2.Click on &quot;SIGN IN &quot; Link&#10;3.Click  &quot;SIGN UP&quot; button&#10;4.Insert valid data in the field&#10;5.Click &quot;NEXT&quot; button&#10;6.Note the time when OTP is received"/>
    <hyperlink ref="D26" r:id="rId1" display="1.Go to https://ilyn.global/&#10;2.Click on &quot;SIGN IN &quot; Link&#10;3.Click  &quot;SIGN UP&quot; button&#10;4.Insert valid data in the field&#10;5.Click &quot;NEXT&quot; button"/>
    <hyperlink ref="D334" r:id="rId1" display="1. Go to https://ilyn.global/ &#10; 2. Click &quot;APPS&quot; menu &#10; 3. Click &quot;Waqt Al Salaah&quot; section &#10; 4. Observe the App Store button"/>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
  <sheetViews>
    <sheetView workbookViewId="0">
      <selection activeCell="D5" sqref="D5"/>
    </sheetView>
  </sheetViews>
  <sheetFormatPr defaultColWidth="8.88888888888889" defaultRowHeight="13.2" outlineLevelRow="2"/>
  <cols>
    <col min="1" max="1" width="13.6666666666667" style="65" customWidth="1"/>
    <col min="2" max="2" width="23.7777777777778" style="65" customWidth="1"/>
    <col min="3" max="3" width="24.2222222222222" style="65" customWidth="1"/>
    <col min="4" max="4" width="16.1111111111111" style="65" customWidth="1"/>
    <col min="5" max="5" width="15.7777777777778" style="65" customWidth="1"/>
    <col min="6" max="6" width="15.6666666666667" style="65" customWidth="1"/>
    <col min="7" max="7" width="30.3333333333333" style="65" customWidth="1"/>
    <col min="8" max="16384" width="8.88888888888889" style="65"/>
  </cols>
  <sheetData>
    <row r="1" s="64" customFormat="1" ht="31.05" customHeight="1" spans="1:24">
      <c r="A1" s="66" t="s">
        <v>1214</v>
      </c>
      <c r="B1" s="66" t="s">
        <v>1215</v>
      </c>
      <c r="C1" s="66" t="s">
        <v>1216</v>
      </c>
      <c r="D1" s="66" t="s">
        <v>28</v>
      </c>
      <c r="E1" s="66" t="s">
        <v>29</v>
      </c>
      <c r="F1" s="66" t="s">
        <v>32</v>
      </c>
      <c r="G1" s="66" t="s">
        <v>1217</v>
      </c>
      <c r="H1" s="66" t="s">
        <v>1093</v>
      </c>
      <c r="I1" s="66" t="s">
        <v>1094</v>
      </c>
      <c r="J1" s="74"/>
      <c r="K1" s="75"/>
      <c r="L1" s="75"/>
      <c r="M1" s="75"/>
      <c r="N1" s="75"/>
      <c r="O1" s="75"/>
      <c r="P1" s="75"/>
      <c r="Q1" s="75"/>
      <c r="R1" s="75"/>
      <c r="S1" s="75"/>
      <c r="T1" s="75"/>
      <c r="U1" s="75"/>
      <c r="V1" s="75"/>
      <c r="W1" s="75"/>
      <c r="X1" s="75"/>
    </row>
    <row r="2" ht="94.05" customHeight="1" spans="1:9">
      <c r="A2" s="67">
        <v>1</v>
      </c>
      <c r="B2" s="68" t="s">
        <v>77</v>
      </c>
      <c r="C2" s="69" t="s">
        <v>1218</v>
      </c>
      <c r="D2" s="68" t="s">
        <v>79</v>
      </c>
      <c r="E2" s="68" t="s">
        <v>80</v>
      </c>
      <c r="F2" s="70" t="s">
        <v>39</v>
      </c>
      <c r="G2" s="71" t="s">
        <v>1219</v>
      </c>
      <c r="H2" s="72" t="s">
        <v>1100</v>
      </c>
      <c r="I2" s="72" t="s">
        <v>1098</v>
      </c>
    </row>
    <row r="3" ht="110.4" spans="1:9">
      <c r="A3" s="67">
        <v>2</v>
      </c>
      <c r="B3" s="68" t="s">
        <v>233</v>
      </c>
      <c r="C3" s="73" t="s">
        <v>234</v>
      </c>
      <c r="D3" s="68" t="s">
        <v>79</v>
      </c>
      <c r="E3" s="68" t="s">
        <v>235</v>
      </c>
      <c r="F3" s="70" t="s">
        <v>39</v>
      </c>
      <c r="G3" s="71" t="s">
        <v>1219</v>
      </c>
      <c r="H3" s="72" t="s">
        <v>1097</v>
      </c>
      <c r="I3" s="72" t="s">
        <v>1098</v>
      </c>
    </row>
  </sheetData>
  <hyperlinks>
    <hyperlink ref="C2" r:id="rId1" display="1.Go to https://ilyn.global/&#10;2. Click on &quot;SIGN IN &quot; Link&#10;3.Click  &quot;SIGN UP&quot;  button&#10;3.Click &quot;EMAIL&quot; section.&#10;4.Click the field and do not give any data and click outside of the field"/>
    <hyperlink ref="C3" r:id="rId1" display="1.Go to https://ilyn.global/&#10;2. Click on &quot;SIGN IN &quot; Link&#10;3.Click   &quot;Recover Password&quot;  link&#10;3.Click &quot;EMAIL&quot; section.&#10;4.Click the field and do not give any data and click outside of the field"/>
    <hyperlink ref="G2" r:id="rId2" display="https://prnt.sc/rSDiOhAVi1ey"/>
    <hyperlink ref="G3" r:id="rId2" display="https://prnt.sc/rSDiOhAVi1ey"/>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R57"/>
  <sheetViews>
    <sheetView tabSelected="1" zoomScale="91" zoomScaleNormal="91" topLeftCell="A5" workbookViewId="0">
      <selection activeCell="O44" sqref="O44"/>
    </sheetView>
  </sheetViews>
  <sheetFormatPr defaultColWidth="8.88888888888889" defaultRowHeight="13.2"/>
  <cols>
    <col min="5" max="5" width="16" customWidth="1"/>
    <col min="6" max="6" width="23.0740740740741" customWidth="1"/>
    <col min="13" max="13" width="14" customWidth="1"/>
    <col min="15" max="15" width="14" customWidth="1"/>
    <col min="16" max="16" width="13.8888888888889" customWidth="1"/>
    <col min="17" max="17" width="22.4444444444444" customWidth="1"/>
    <col min="18" max="18" width="24.2962962962963" customWidth="1"/>
  </cols>
  <sheetData>
    <row r="4" ht="13.95" spans="3:18">
      <c r="C4" s="1"/>
      <c r="D4" s="1"/>
      <c r="E4" s="1"/>
      <c r="F4" s="1"/>
      <c r="G4" s="1"/>
      <c r="H4" s="1"/>
      <c r="I4" s="1"/>
      <c r="J4" s="1"/>
      <c r="K4" s="1"/>
      <c r="L4" s="1"/>
      <c r="M4" s="1"/>
      <c r="N4" s="1"/>
      <c r="O4" s="1"/>
      <c r="P4" s="1"/>
      <c r="Q4" s="1"/>
      <c r="R4" s="1"/>
    </row>
    <row r="5" ht="31.95" spans="3:18">
      <c r="C5" s="1"/>
      <c r="D5" s="1"/>
      <c r="E5" s="2" t="s">
        <v>1220</v>
      </c>
      <c r="F5" s="2"/>
      <c r="G5" s="2"/>
      <c r="H5" s="2"/>
      <c r="I5" s="2"/>
      <c r="J5" s="2"/>
      <c r="K5" s="1"/>
      <c r="L5" s="40" t="s">
        <v>1221</v>
      </c>
      <c r="M5" s="40" t="s">
        <v>30</v>
      </c>
      <c r="N5" s="41"/>
      <c r="O5" s="42" t="s">
        <v>1222</v>
      </c>
      <c r="P5" s="41"/>
      <c r="Q5" s="41"/>
      <c r="R5" s="41"/>
    </row>
    <row r="6" ht="15.15" spans="3:18">
      <c r="C6" s="1"/>
      <c r="D6" s="1"/>
      <c r="E6" s="3" t="s">
        <v>1223</v>
      </c>
      <c r="F6" s="4" t="s">
        <v>1</v>
      </c>
      <c r="G6" s="5"/>
      <c r="H6" s="5"/>
      <c r="I6" s="5"/>
      <c r="J6" s="43"/>
      <c r="K6" s="1"/>
      <c r="L6" s="44">
        <f>SUM(F16)</f>
        <v>303</v>
      </c>
      <c r="M6" s="45" t="s">
        <v>11</v>
      </c>
      <c r="N6" s="46"/>
      <c r="O6" s="46"/>
      <c r="P6" s="41"/>
      <c r="Q6" s="41"/>
      <c r="R6" s="41"/>
    </row>
    <row r="7" ht="15.15" spans="3:18">
      <c r="C7" s="1"/>
      <c r="D7" s="1"/>
      <c r="E7" s="6" t="s">
        <v>1224</v>
      </c>
      <c r="F7" s="4"/>
      <c r="G7" s="5"/>
      <c r="H7" s="5"/>
      <c r="I7" s="5"/>
      <c r="J7" s="43"/>
      <c r="K7" s="1"/>
      <c r="L7" s="44">
        <f>SUM(G16)</f>
        <v>2</v>
      </c>
      <c r="M7" s="45" t="s">
        <v>15</v>
      </c>
      <c r="N7" s="46"/>
      <c r="O7" s="47"/>
      <c r="P7" s="41"/>
      <c r="Q7" s="41"/>
      <c r="R7" s="41"/>
    </row>
    <row r="8" ht="15.15" spans="3:18">
      <c r="C8" s="1"/>
      <c r="D8" s="1"/>
      <c r="E8" s="7" t="s">
        <v>1225</v>
      </c>
      <c r="F8" s="4"/>
      <c r="G8" s="5"/>
      <c r="H8" s="5"/>
      <c r="I8" s="5"/>
      <c r="J8" s="43"/>
      <c r="K8" s="1"/>
      <c r="L8" s="44">
        <v>0</v>
      </c>
      <c r="M8" s="48" t="s">
        <v>1226</v>
      </c>
      <c r="N8" s="41"/>
      <c r="O8" s="49" t="s">
        <v>1227</v>
      </c>
      <c r="P8" s="50" t="s">
        <v>1228</v>
      </c>
      <c r="Q8" s="61" t="s">
        <v>1229</v>
      </c>
      <c r="R8" s="62"/>
    </row>
    <row r="9" ht="15.15" spans="3:18">
      <c r="C9" s="1"/>
      <c r="D9" s="1"/>
      <c r="E9" s="7" t="s">
        <v>1230</v>
      </c>
      <c r="F9" s="4" t="s">
        <v>13</v>
      </c>
      <c r="G9" s="5"/>
      <c r="H9" s="5"/>
      <c r="I9" s="5"/>
      <c r="J9" s="43"/>
      <c r="K9" s="1"/>
      <c r="L9" s="44">
        <v>0</v>
      </c>
      <c r="M9" s="48" t="s">
        <v>1231</v>
      </c>
      <c r="N9" s="41"/>
      <c r="O9" s="51"/>
      <c r="P9" s="51"/>
      <c r="Q9" s="63" t="s">
        <v>1232</v>
      </c>
      <c r="R9" s="63" t="s">
        <v>1233</v>
      </c>
    </row>
    <row r="10" ht="15.15" spans="3:18">
      <c r="C10" s="1"/>
      <c r="D10" s="1"/>
      <c r="E10" s="7" t="s">
        <v>1234</v>
      </c>
      <c r="F10" s="4" t="s">
        <v>13</v>
      </c>
      <c r="G10" s="5"/>
      <c r="H10" s="5"/>
      <c r="I10" s="5"/>
      <c r="J10" s="43"/>
      <c r="K10" s="1"/>
      <c r="L10" s="1"/>
      <c r="M10" s="1"/>
      <c r="N10" s="1"/>
      <c r="O10" s="52"/>
      <c r="P10" s="52"/>
      <c r="Q10" s="52"/>
      <c r="R10" s="52"/>
    </row>
    <row r="11" ht="15.15" spans="3:18">
      <c r="C11" s="1"/>
      <c r="D11" s="1"/>
      <c r="E11" s="7" t="s">
        <v>1235</v>
      </c>
      <c r="F11" s="4"/>
      <c r="G11" s="5"/>
      <c r="H11" s="5"/>
      <c r="I11" s="5"/>
      <c r="J11" s="43"/>
      <c r="K11" s="1"/>
      <c r="L11" s="1"/>
      <c r="M11" s="1"/>
      <c r="N11" s="1"/>
      <c r="O11" s="1"/>
      <c r="P11" s="1"/>
      <c r="Q11" s="1"/>
      <c r="R11" s="1"/>
    </row>
    <row r="12" ht="13.95" spans="3:18">
      <c r="C12" s="1"/>
      <c r="D12" s="1"/>
      <c r="E12" s="8" t="s">
        <v>1236</v>
      </c>
      <c r="F12" s="8"/>
      <c r="G12" s="8"/>
      <c r="H12" s="8"/>
      <c r="I12" s="8"/>
      <c r="J12" s="8"/>
      <c r="K12" s="1"/>
      <c r="L12" s="1"/>
      <c r="M12" s="1"/>
      <c r="N12" s="1"/>
      <c r="O12" s="1"/>
      <c r="P12" s="1"/>
      <c r="Q12" s="1"/>
      <c r="R12" s="1"/>
    </row>
    <row r="13" ht="13.95" spans="3:18">
      <c r="C13" s="1"/>
      <c r="D13" s="1"/>
      <c r="E13" s="8"/>
      <c r="F13" s="8"/>
      <c r="G13" s="8"/>
      <c r="H13" s="8"/>
      <c r="I13" s="8"/>
      <c r="J13" s="8"/>
      <c r="K13" s="1"/>
      <c r="L13" s="1"/>
      <c r="M13" s="1"/>
      <c r="N13" s="1"/>
      <c r="O13" s="1"/>
      <c r="P13" s="1"/>
      <c r="Q13" s="1"/>
      <c r="R13" s="1"/>
    </row>
    <row r="14" ht="46.8" spans="3:18">
      <c r="C14" s="1"/>
      <c r="D14" s="1"/>
      <c r="E14" s="9" t="s">
        <v>1237</v>
      </c>
      <c r="F14" s="10" t="s">
        <v>11</v>
      </c>
      <c r="G14" s="10" t="s">
        <v>15</v>
      </c>
      <c r="H14" s="10" t="s">
        <v>1226</v>
      </c>
      <c r="I14" s="10" t="s">
        <v>1238</v>
      </c>
      <c r="J14" s="53" t="s">
        <v>1239</v>
      </c>
      <c r="K14" s="1"/>
      <c r="L14" s="1"/>
      <c r="M14" s="1"/>
      <c r="N14" s="1"/>
      <c r="O14" s="1"/>
      <c r="P14" s="1"/>
      <c r="Q14" s="1"/>
      <c r="R14" s="1"/>
    </row>
    <row r="15" ht="14.4" spans="3:18">
      <c r="C15" s="1"/>
      <c r="D15" s="1"/>
      <c r="E15" s="11"/>
      <c r="F15" s="12">
        <f>'[2]Testcase Execution'!I2</f>
        <v>303</v>
      </c>
      <c r="G15" s="13">
        <f>'[2]Testcase Execution'!I3</f>
        <v>2</v>
      </c>
      <c r="H15" s="14">
        <v>0</v>
      </c>
      <c r="I15" s="54">
        <v>0</v>
      </c>
      <c r="J15" s="55">
        <f>'[2]Testcase Execution'!I5</f>
        <v>305</v>
      </c>
      <c r="K15" s="1"/>
      <c r="L15" s="1"/>
      <c r="M15" s="1"/>
      <c r="N15" s="1"/>
      <c r="O15" s="1"/>
      <c r="P15" s="1"/>
      <c r="Q15" s="1"/>
      <c r="R15" s="1"/>
    </row>
    <row r="16" ht="18.75" spans="3:18">
      <c r="C16" s="1"/>
      <c r="D16" s="1"/>
      <c r="E16" s="15" t="s">
        <v>1240</v>
      </c>
      <c r="F16" s="16">
        <f t="shared" ref="F16:J16" si="0">SUM(F15)</f>
        <v>303</v>
      </c>
      <c r="G16" s="17">
        <f t="shared" si="0"/>
        <v>2</v>
      </c>
      <c r="H16" s="16">
        <f t="shared" si="0"/>
        <v>0</v>
      </c>
      <c r="I16" s="16">
        <f t="shared" si="0"/>
        <v>0</v>
      </c>
      <c r="J16" s="56">
        <f t="shared" si="0"/>
        <v>305</v>
      </c>
      <c r="K16" s="1"/>
      <c r="L16" s="1"/>
      <c r="M16" s="1"/>
      <c r="N16" s="1"/>
      <c r="O16" s="1"/>
      <c r="P16" s="1"/>
      <c r="Q16" s="1"/>
      <c r="R16" s="1"/>
    </row>
    <row r="17" spans="3:18">
      <c r="C17" s="1"/>
      <c r="D17" s="1"/>
      <c r="E17" s="1"/>
      <c r="F17" s="1"/>
      <c r="G17" s="1"/>
      <c r="H17" s="1"/>
      <c r="I17" s="1"/>
      <c r="J17" s="1"/>
      <c r="K17" s="1"/>
      <c r="L17" s="1"/>
      <c r="M17" s="1"/>
      <c r="N17" s="1"/>
      <c r="O17" s="1"/>
      <c r="P17" s="1"/>
      <c r="Q17" s="1"/>
      <c r="R17" s="1"/>
    </row>
    <row r="18" spans="3:18">
      <c r="C18" s="1"/>
      <c r="D18" s="1"/>
      <c r="E18" s="1"/>
      <c r="F18" s="1"/>
      <c r="G18" s="1"/>
      <c r="H18" s="1"/>
      <c r="I18" s="1"/>
      <c r="J18" s="1"/>
      <c r="K18" s="1"/>
      <c r="L18" s="1"/>
      <c r="M18" s="1"/>
      <c r="N18" s="1"/>
      <c r="O18" s="1"/>
      <c r="P18" s="1"/>
      <c r="Q18" s="1"/>
      <c r="R18" s="1"/>
    </row>
    <row r="19" spans="3:18">
      <c r="C19" s="1"/>
      <c r="D19" s="1"/>
      <c r="E19" s="1"/>
      <c r="F19" s="1"/>
      <c r="G19" s="1"/>
      <c r="H19" s="1"/>
      <c r="I19" s="1"/>
      <c r="J19" s="1"/>
      <c r="K19" s="1"/>
      <c r="L19" s="1"/>
      <c r="M19" s="1"/>
      <c r="N19" s="1"/>
      <c r="O19" s="1"/>
      <c r="P19" s="1"/>
      <c r="Q19" s="1"/>
      <c r="R19" s="1"/>
    </row>
    <row r="20" ht="14.4" spans="3:18">
      <c r="C20" s="1"/>
      <c r="D20" s="1"/>
      <c r="E20" s="18" t="s">
        <v>1241</v>
      </c>
      <c r="F20" s="19"/>
      <c r="G20" s="19"/>
      <c r="H20" s="19"/>
      <c r="I20" s="19"/>
      <c r="J20" s="57"/>
      <c r="K20" s="1"/>
      <c r="L20" s="1"/>
      <c r="M20" s="1"/>
      <c r="N20" s="1"/>
      <c r="O20" s="1"/>
      <c r="P20" s="1"/>
      <c r="Q20" s="1"/>
      <c r="R20" s="1"/>
    </row>
    <row r="21" ht="14.4" spans="3:18">
      <c r="C21" s="1"/>
      <c r="D21" s="1"/>
      <c r="E21" s="20" t="s">
        <v>1242</v>
      </c>
      <c r="F21" s="21"/>
      <c r="G21" s="22"/>
      <c r="H21" s="23"/>
      <c r="I21" s="23" t="s">
        <v>1243</v>
      </c>
      <c r="J21" s="23" t="s">
        <v>1244</v>
      </c>
      <c r="K21" s="1"/>
      <c r="L21" s="1"/>
      <c r="M21" s="1"/>
      <c r="N21" s="1"/>
      <c r="O21" s="1"/>
      <c r="P21" s="1"/>
      <c r="Q21" s="1"/>
      <c r="R21" s="1"/>
    </row>
    <row r="22" ht="14.4" spans="3:18">
      <c r="C22" s="1"/>
      <c r="D22" s="1"/>
      <c r="E22" s="24" t="s">
        <v>1245</v>
      </c>
      <c r="F22" s="21"/>
      <c r="G22" s="22"/>
      <c r="H22" s="25"/>
      <c r="I22" s="25" t="s">
        <v>19</v>
      </c>
      <c r="J22" s="25" t="s">
        <v>19</v>
      </c>
      <c r="K22" s="1"/>
      <c r="L22" s="1"/>
      <c r="M22" s="1"/>
      <c r="N22" s="1"/>
      <c r="O22" s="1"/>
      <c r="P22" s="1"/>
      <c r="Q22" s="1"/>
      <c r="R22" s="1"/>
    </row>
    <row r="23" ht="14.4" spans="3:18">
      <c r="C23" s="1"/>
      <c r="D23" s="1"/>
      <c r="E23" s="24" t="s">
        <v>1246</v>
      </c>
      <c r="F23" s="21"/>
      <c r="G23" s="22"/>
      <c r="H23" s="25"/>
      <c r="I23" s="25" t="s">
        <v>19</v>
      </c>
      <c r="J23" s="25" t="s">
        <v>19</v>
      </c>
      <c r="K23" s="1"/>
      <c r="L23" s="1"/>
      <c r="M23" s="1"/>
      <c r="N23" s="1"/>
      <c r="O23" s="1"/>
      <c r="P23" s="1"/>
      <c r="Q23" s="1"/>
      <c r="R23" s="1"/>
    </row>
    <row r="24" ht="13.95" spans="3:18">
      <c r="C24" s="1"/>
      <c r="D24" s="1"/>
      <c r="E24" s="26"/>
      <c r="F24" s="26"/>
      <c r="G24" s="26"/>
      <c r="H24" s="26"/>
      <c r="I24" s="26"/>
      <c r="J24" s="26"/>
      <c r="K24" s="1"/>
      <c r="L24" s="1"/>
      <c r="M24" s="1"/>
      <c r="N24" s="1"/>
      <c r="O24" s="1"/>
      <c r="P24" s="1"/>
      <c r="Q24" s="1"/>
      <c r="R24" s="1"/>
    </row>
    <row r="25" spans="3:18">
      <c r="C25" s="1"/>
      <c r="D25" s="1"/>
      <c r="E25" s="27"/>
      <c r="F25" s="28" t="s">
        <v>1247</v>
      </c>
      <c r="G25" s="29" t="s">
        <v>1248</v>
      </c>
      <c r="H25" s="30"/>
      <c r="I25" s="30"/>
      <c r="J25" s="58"/>
      <c r="K25" s="1"/>
      <c r="L25" s="1"/>
      <c r="M25" s="1"/>
      <c r="N25" s="1"/>
      <c r="O25" s="1"/>
      <c r="P25" s="1"/>
      <c r="Q25" s="1"/>
      <c r="R25" s="1"/>
    </row>
    <row r="26" spans="3:18">
      <c r="C26" s="1"/>
      <c r="D26" s="1"/>
      <c r="E26" s="31"/>
      <c r="F26" s="31"/>
      <c r="G26" s="32"/>
      <c r="H26" s="26"/>
      <c r="I26" s="26"/>
      <c r="J26" s="59"/>
      <c r="K26" s="1"/>
      <c r="L26" s="1"/>
      <c r="M26" s="1"/>
      <c r="N26" s="1"/>
      <c r="O26" s="1"/>
      <c r="P26" s="1"/>
      <c r="Q26" s="1"/>
      <c r="R26" s="1"/>
    </row>
    <row r="27" spans="3:18">
      <c r="C27" s="1"/>
      <c r="D27" s="1"/>
      <c r="E27" s="31"/>
      <c r="F27" s="31"/>
      <c r="G27" s="32"/>
      <c r="H27" s="26"/>
      <c r="I27" s="26"/>
      <c r="J27" s="59"/>
      <c r="K27" s="1"/>
      <c r="L27" s="1"/>
      <c r="M27" s="1"/>
      <c r="N27" s="1"/>
      <c r="O27" s="1"/>
      <c r="P27" s="1"/>
      <c r="Q27" s="1"/>
      <c r="R27" s="1"/>
    </row>
    <row r="28" ht="13.95" spans="3:18">
      <c r="C28" s="1"/>
      <c r="D28" s="1"/>
      <c r="E28" s="33"/>
      <c r="F28" s="33"/>
      <c r="G28" s="34"/>
      <c r="H28" s="35"/>
      <c r="I28" s="35"/>
      <c r="J28" s="60"/>
      <c r="K28" s="1"/>
      <c r="L28" s="1"/>
      <c r="M28" s="1"/>
      <c r="N28" s="1"/>
      <c r="O28" s="1"/>
      <c r="P28" s="1"/>
      <c r="Q28" s="1"/>
      <c r="R28" s="1"/>
    </row>
    <row r="29" spans="3:18">
      <c r="C29" s="1"/>
      <c r="D29" s="1"/>
      <c r="E29" s="36" t="s">
        <v>1249</v>
      </c>
      <c r="F29" s="37" t="s">
        <v>1250</v>
      </c>
      <c r="G29" s="38" t="s">
        <v>1251</v>
      </c>
      <c r="H29" s="30"/>
      <c r="I29" s="30"/>
      <c r="J29" s="58"/>
      <c r="K29" s="1"/>
      <c r="L29" s="1"/>
      <c r="M29" s="1"/>
      <c r="N29" s="1"/>
      <c r="O29" s="1"/>
      <c r="P29" s="1"/>
      <c r="Q29" s="1"/>
      <c r="R29" s="1"/>
    </row>
    <row r="30" spans="3:18">
      <c r="C30" s="1"/>
      <c r="D30" s="1"/>
      <c r="E30" s="31"/>
      <c r="F30" s="31"/>
      <c r="G30" s="32"/>
      <c r="H30" s="26"/>
      <c r="I30" s="26"/>
      <c r="J30" s="59"/>
      <c r="K30" s="1"/>
      <c r="L30" s="1"/>
      <c r="M30" s="1"/>
      <c r="N30" s="1"/>
      <c r="O30" s="1"/>
      <c r="P30" s="1"/>
      <c r="Q30" s="1"/>
      <c r="R30" s="1"/>
    </row>
    <row r="31" spans="3:18">
      <c r="C31" s="1"/>
      <c r="D31" s="1"/>
      <c r="E31" s="31"/>
      <c r="F31" s="31"/>
      <c r="G31" s="32"/>
      <c r="H31" s="26"/>
      <c r="I31" s="26"/>
      <c r="J31" s="59"/>
      <c r="K31" s="1"/>
      <c r="L31" s="1"/>
      <c r="M31" s="1"/>
      <c r="N31" s="1"/>
      <c r="O31" s="1"/>
      <c r="P31" s="1"/>
      <c r="Q31" s="1"/>
      <c r="R31" s="1"/>
    </row>
    <row r="32" ht="13.95" spans="3:18">
      <c r="C32" s="1"/>
      <c r="D32" s="1"/>
      <c r="E32" s="33"/>
      <c r="F32" s="33"/>
      <c r="G32" s="34"/>
      <c r="H32" s="35"/>
      <c r="I32" s="35"/>
      <c r="J32" s="60"/>
      <c r="K32" s="1"/>
      <c r="L32" s="1"/>
      <c r="M32" s="1"/>
      <c r="N32" s="1"/>
      <c r="O32" s="1"/>
      <c r="P32" s="1"/>
      <c r="Q32" s="1"/>
      <c r="R32" s="1"/>
    </row>
    <row r="33" spans="3:18">
      <c r="C33" s="1"/>
      <c r="D33" s="1"/>
      <c r="E33" s="36" t="s">
        <v>1249</v>
      </c>
      <c r="F33" s="37" t="s">
        <v>1252</v>
      </c>
      <c r="G33" s="38" t="s">
        <v>1253</v>
      </c>
      <c r="H33" s="30"/>
      <c r="I33" s="30"/>
      <c r="J33" s="58"/>
      <c r="K33" s="1"/>
      <c r="L33" s="1"/>
      <c r="M33" s="1"/>
      <c r="N33" s="1"/>
      <c r="O33" s="1"/>
      <c r="P33" s="1"/>
      <c r="Q33" s="1"/>
      <c r="R33" s="1"/>
    </row>
    <row r="34" spans="3:18">
      <c r="C34" s="1"/>
      <c r="D34" s="1"/>
      <c r="E34" s="31"/>
      <c r="F34" s="31"/>
      <c r="G34" s="32"/>
      <c r="H34" s="26"/>
      <c r="I34" s="26"/>
      <c r="J34" s="59"/>
      <c r="K34" s="1"/>
      <c r="L34" s="1"/>
      <c r="M34" s="1"/>
      <c r="N34" s="1"/>
      <c r="O34" s="1"/>
      <c r="P34" s="1"/>
      <c r="Q34" s="1"/>
      <c r="R34" s="1"/>
    </row>
    <row r="35" spans="3:18">
      <c r="C35" s="1"/>
      <c r="D35" s="1"/>
      <c r="E35" s="31"/>
      <c r="F35" s="31"/>
      <c r="G35" s="32"/>
      <c r="H35" s="26"/>
      <c r="I35" s="26"/>
      <c r="J35" s="59"/>
      <c r="K35" s="1"/>
      <c r="L35" s="1"/>
      <c r="M35" s="1"/>
      <c r="N35" s="1"/>
      <c r="O35" s="1"/>
      <c r="P35" s="1"/>
      <c r="Q35" s="1"/>
      <c r="R35" s="1"/>
    </row>
    <row r="36" ht="13.95" spans="3:18">
      <c r="C36" s="1"/>
      <c r="D36" s="1"/>
      <c r="E36" s="33"/>
      <c r="F36" s="33"/>
      <c r="G36" s="34"/>
      <c r="H36" s="35"/>
      <c r="I36" s="35"/>
      <c r="J36" s="60"/>
      <c r="K36" s="1"/>
      <c r="L36" s="1"/>
      <c r="M36" s="1"/>
      <c r="N36" s="1"/>
      <c r="O36" s="1"/>
      <c r="P36" s="1"/>
      <c r="Q36" s="1"/>
      <c r="R36" s="1"/>
    </row>
    <row r="37" spans="3:18">
      <c r="C37" s="1"/>
      <c r="D37" s="1"/>
      <c r="E37" s="36" t="s">
        <v>1249</v>
      </c>
      <c r="F37" s="37" t="s">
        <v>1254</v>
      </c>
      <c r="G37" s="38" t="s">
        <v>1255</v>
      </c>
      <c r="H37" s="30"/>
      <c r="I37" s="30"/>
      <c r="J37" s="58"/>
      <c r="K37" s="1"/>
      <c r="L37" s="1"/>
      <c r="M37" s="1"/>
      <c r="N37" s="1"/>
      <c r="O37" s="1"/>
      <c r="P37" s="1"/>
      <c r="Q37" s="1"/>
      <c r="R37" s="1"/>
    </row>
    <row r="38" spans="3:18">
      <c r="C38" s="1"/>
      <c r="D38" s="1"/>
      <c r="E38" s="31"/>
      <c r="F38" s="31"/>
      <c r="G38" s="32"/>
      <c r="H38" s="26"/>
      <c r="I38" s="26"/>
      <c r="J38" s="59"/>
      <c r="K38" s="1"/>
      <c r="L38" s="1"/>
      <c r="M38" s="1"/>
      <c r="N38" s="1"/>
      <c r="O38" s="1"/>
      <c r="P38" s="1"/>
      <c r="Q38" s="1"/>
      <c r="R38" s="1"/>
    </row>
    <row r="39" spans="3:18">
      <c r="C39" s="1"/>
      <c r="D39" s="1"/>
      <c r="E39" s="31"/>
      <c r="F39" s="31"/>
      <c r="G39" s="32"/>
      <c r="H39" s="26"/>
      <c r="I39" s="26"/>
      <c r="J39" s="59"/>
      <c r="K39" s="1"/>
      <c r="L39" s="1"/>
      <c r="M39" s="1"/>
      <c r="N39" s="1"/>
      <c r="O39" s="1"/>
      <c r="P39" s="1"/>
      <c r="Q39" s="1"/>
      <c r="R39" s="1"/>
    </row>
    <row r="40" ht="13.95" spans="3:18">
      <c r="C40" s="1"/>
      <c r="D40" s="1"/>
      <c r="E40" s="33"/>
      <c r="F40" s="33"/>
      <c r="G40" s="34"/>
      <c r="H40" s="35"/>
      <c r="I40" s="35"/>
      <c r="J40" s="60"/>
      <c r="K40" s="1"/>
      <c r="L40" s="1"/>
      <c r="M40" s="1"/>
      <c r="N40" s="1"/>
      <c r="O40" s="1"/>
      <c r="P40" s="1"/>
      <c r="Q40" s="1"/>
      <c r="R40" s="1"/>
    </row>
    <row r="41" spans="3:18">
      <c r="C41" s="1"/>
      <c r="D41" s="1"/>
      <c r="E41" s="36" t="s">
        <v>1249</v>
      </c>
      <c r="F41" s="37" t="s">
        <v>1256</v>
      </c>
      <c r="G41" s="38" t="s">
        <v>1257</v>
      </c>
      <c r="H41" s="30"/>
      <c r="I41" s="30"/>
      <c r="J41" s="58"/>
      <c r="K41" s="1"/>
      <c r="L41" s="1"/>
      <c r="M41" s="1"/>
      <c r="N41" s="1"/>
      <c r="O41" s="1"/>
      <c r="P41" s="1"/>
      <c r="Q41" s="1"/>
      <c r="R41" s="1"/>
    </row>
    <row r="42" spans="3:18">
      <c r="C42" s="1"/>
      <c r="D42" s="1"/>
      <c r="E42" s="31"/>
      <c r="F42" s="31"/>
      <c r="G42" s="32"/>
      <c r="H42" s="26"/>
      <c r="I42" s="26"/>
      <c r="J42" s="59"/>
      <c r="K42" s="1"/>
      <c r="L42" s="1"/>
      <c r="M42" s="1"/>
      <c r="N42" s="1"/>
      <c r="O42" s="1"/>
      <c r="P42" s="1"/>
      <c r="Q42" s="1"/>
      <c r="R42" s="1"/>
    </row>
    <row r="43" spans="3:18">
      <c r="C43" s="1"/>
      <c r="D43" s="1"/>
      <c r="E43" s="31"/>
      <c r="F43" s="31"/>
      <c r="G43" s="32"/>
      <c r="H43" s="26"/>
      <c r="I43" s="26"/>
      <c r="J43" s="59"/>
      <c r="K43" s="1"/>
      <c r="L43" s="1"/>
      <c r="M43" s="1"/>
      <c r="N43" s="1"/>
      <c r="O43" s="1"/>
      <c r="P43" s="1"/>
      <c r="Q43" s="1"/>
      <c r="R43" s="1"/>
    </row>
    <row r="44" ht="13.95" spans="3:18">
      <c r="C44" s="1"/>
      <c r="D44" s="1"/>
      <c r="E44" s="33"/>
      <c r="F44" s="33"/>
      <c r="G44" s="34"/>
      <c r="H44" s="35"/>
      <c r="I44" s="35"/>
      <c r="J44" s="60"/>
      <c r="K44" s="1"/>
      <c r="L44" s="1"/>
      <c r="M44" s="1"/>
      <c r="N44" s="1"/>
      <c r="O44" s="1"/>
      <c r="P44" s="1"/>
      <c r="Q44" s="1"/>
      <c r="R44" s="1"/>
    </row>
    <row r="45" spans="3:18">
      <c r="C45" s="1"/>
      <c r="D45" s="1"/>
      <c r="E45" s="36" t="s">
        <v>1249</v>
      </c>
      <c r="F45" s="39" t="s">
        <v>1258</v>
      </c>
      <c r="G45" s="38" t="s">
        <v>1259</v>
      </c>
      <c r="H45" s="30"/>
      <c r="I45" s="30"/>
      <c r="J45" s="58"/>
      <c r="K45" s="1"/>
      <c r="L45" s="1"/>
      <c r="M45" s="1"/>
      <c r="N45" s="1"/>
      <c r="O45" s="1"/>
      <c r="P45" s="1"/>
      <c r="Q45" s="1"/>
      <c r="R45" s="1"/>
    </row>
    <row r="46" spans="3:18">
      <c r="C46" s="1"/>
      <c r="D46" s="1"/>
      <c r="E46" s="31"/>
      <c r="F46" s="31"/>
      <c r="G46" s="32"/>
      <c r="H46" s="26"/>
      <c r="I46" s="26"/>
      <c r="J46" s="59"/>
      <c r="K46" s="1"/>
      <c r="L46" s="1"/>
      <c r="M46" s="1"/>
      <c r="N46" s="1"/>
      <c r="O46" s="1"/>
      <c r="P46" s="1"/>
      <c r="Q46" s="1"/>
      <c r="R46" s="1"/>
    </row>
    <row r="47" spans="3:18">
      <c r="C47" s="1"/>
      <c r="D47" s="1"/>
      <c r="E47" s="31"/>
      <c r="F47" s="31"/>
      <c r="G47" s="32"/>
      <c r="H47" s="26"/>
      <c r="I47" s="26"/>
      <c r="J47" s="59"/>
      <c r="K47" s="1"/>
      <c r="L47" s="1"/>
      <c r="M47" s="1"/>
      <c r="N47" s="1"/>
      <c r="O47" s="1"/>
      <c r="P47" s="1"/>
      <c r="Q47" s="1"/>
      <c r="R47" s="1"/>
    </row>
    <row r="48" ht="13.95" spans="3:18">
      <c r="C48" s="1"/>
      <c r="D48" s="1"/>
      <c r="E48" s="33"/>
      <c r="F48" s="33"/>
      <c r="G48" s="34"/>
      <c r="H48" s="35"/>
      <c r="I48" s="35"/>
      <c r="J48" s="60"/>
      <c r="K48" s="1"/>
      <c r="L48" s="1"/>
      <c r="M48" s="1"/>
      <c r="N48" s="1"/>
      <c r="O48" s="1"/>
      <c r="P48" s="1"/>
      <c r="Q48" s="1"/>
      <c r="R48" s="1"/>
    </row>
    <row r="49" spans="3:18">
      <c r="C49" s="1"/>
      <c r="D49" s="1"/>
      <c r="E49" s="36" t="s">
        <v>1249</v>
      </c>
      <c r="F49" s="39" t="s">
        <v>1260</v>
      </c>
      <c r="G49" s="38" t="s">
        <v>1261</v>
      </c>
      <c r="H49" s="30"/>
      <c r="I49" s="30"/>
      <c r="J49" s="58"/>
      <c r="K49" s="1"/>
      <c r="L49" s="1"/>
      <c r="M49" s="1"/>
      <c r="N49" s="1"/>
      <c r="O49" s="1"/>
      <c r="P49" s="1"/>
      <c r="Q49" s="1"/>
      <c r="R49" s="1"/>
    </row>
    <row r="50" spans="3:18">
      <c r="C50" s="1"/>
      <c r="D50" s="1"/>
      <c r="E50" s="31"/>
      <c r="F50" s="31"/>
      <c r="G50" s="32"/>
      <c r="H50" s="26"/>
      <c r="I50" s="26"/>
      <c r="J50" s="59"/>
      <c r="K50" s="1"/>
      <c r="L50" s="1"/>
      <c r="M50" s="1"/>
      <c r="N50" s="1"/>
      <c r="O50" s="1"/>
      <c r="P50" s="1"/>
      <c r="Q50" s="1"/>
      <c r="R50" s="1"/>
    </row>
    <row r="51" spans="3:18">
      <c r="C51" s="1"/>
      <c r="D51" s="1"/>
      <c r="E51" s="31"/>
      <c r="F51" s="31"/>
      <c r="G51" s="32"/>
      <c r="H51" s="26"/>
      <c r="I51" s="26"/>
      <c r="J51" s="59"/>
      <c r="K51" s="1"/>
      <c r="L51" s="1"/>
      <c r="M51" s="1"/>
      <c r="N51" s="1"/>
      <c r="O51" s="1"/>
      <c r="P51" s="1"/>
      <c r="Q51" s="1"/>
      <c r="R51" s="1"/>
    </row>
    <row r="52" ht="13.95" spans="3:18">
      <c r="C52" s="1"/>
      <c r="D52" s="1"/>
      <c r="E52" s="33"/>
      <c r="F52" s="33"/>
      <c r="G52" s="34"/>
      <c r="H52" s="35"/>
      <c r="I52" s="35"/>
      <c r="J52" s="60"/>
      <c r="K52" s="1"/>
      <c r="L52" s="1"/>
      <c r="M52" s="1"/>
      <c r="N52" s="1"/>
      <c r="O52" s="1"/>
      <c r="P52" s="1"/>
      <c r="Q52" s="1"/>
      <c r="R52" s="1"/>
    </row>
    <row r="53" spans="3:18">
      <c r="C53" s="1"/>
      <c r="D53" s="1"/>
      <c r="E53" s="36" t="s">
        <v>1249</v>
      </c>
      <c r="F53" s="39" t="s">
        <v>1262</v>
      </c>
      <c r="G53" s="38" t="s">
        <v>1263</v>
      </c>
      <c r="H53" s="30"/>
      <c r="I53" s="30"/>
      <c r="J53" s="58"/>
      <c r="K53" s="1"/>
      <c r="L53" s="1"/>
      <c r="M53" s="1"/>
      <c r="N53" s="1"/>
      <c r="O53" s="1"/>
      <c r="P53" s="1"/>
      <c r="Q53" s="1"/>
      <c r="R53" s="1"/>
    </row>
    <row r="54" spans="3:18">
      <c r="C54" s="1"/>
      <c r="D54" s="1"/>
      <c r="E54" s="31"/>
      <c r="F54" s="31"/>
      <c r="G54" s="32"/>
      <c r="H54" s="26"/>
      <c r="I54" s="26"/>
      <c r="J54" s="59"/>
      <c r="K54" s="1"/>
      <c r="L54" s="1"/>
      <c r="M54" s="1"/>
      <c r="N54" s="1"/>
      <c r="O54" s="1"/>
      <c r="P54" s="1"/>
      <c r="Q54" s="1"/>
      <c r="R54" s="1"/>
    </row>
    <row r="55" spans="3:18">
      <c r="C55" s="1"/>
      <c r="D55" s="1"/>
      <c r="E55" s="31"/>
      <c r="F55" s="31"/>
      <c r="G55" s="32"/>
      <c r="H55" s="26"/>
      <c r="I55" s="26"/>
      <c r="J55" s="59"/>
      <c r="K55" s="1"/>
      <c r="L55" s="1"/>
      <c r="M55" s="1"/>
      <c r="N55" s="1"/>
      <c r="O55" s="1"/>
      <c r="P55" s="1"/>
      <c r="Q55" s="1"/>
      <c r="R55" s="1"/>
    </row>
    <row r="56" ht="13.95" spans="3:18">
      <c r="C56" s="1"/>
      <c r="D56" s="1"/>
      <c r="E56" s="33"/>
      <c r="F56" s="33"/>
      <c r="G56" s="34"/>
      <c r="H56" s="35"/>
      <c r="I56" s="35"/>
      <c r="J56" s="60"/>
      <c r="K56" s="1"/>
      <c r="L56" s="1"/>
      <c r="M56" s="1"/>
      <c r="N56" s="1"/>
      <c r="O56" s="1"/>
      <c r="P56" s="1"/>
      <c r="Q56" s="1"/>
      <c r="R56" s="1"/>
    </row>
    <row r="57" spans="3:18">
      <c r="C57" s="1"/>
      <c r="D57" s="1"/>
      <c r="E57" s="1"/>
      <c r="F57" s="1"/>
      <c r="G57" s="1"/>
      <c r="H57" s="1"/>
      <c r="I57" s="1"/>
      <c r="J57" s="1"/>
      <c r="K57" s="1"/>
      <c r="L57" s="1"/>
      <c r="M57" s="1"/>
      <c r="N57" s="1"/>
      <c r="O57" s="1"/>
      <c r="P57" s="1"/>
      <c r="Q57" s="1"/>
      <c r="R57" s="1"/>
    </row>
  </sheetData>
  <mergeCells count="37">
    <mergeCell ref="E5:J5"/>
    <mergeCell ref="F6:J6"/>
    <mergeCell ref="F7:J7"/>
    <mergeCell ref="F8:J8"/>
    <mergeCell ref="Q8:R8"/>
    <mergeCell ref="F9:J9"/>
    <mergeCell ref="F10:J10"/>
    <mergeCell ref="F11:J11"/>
    <mergeCell ref="E20:J20"/>
    <mergeCell ref="E21:G21"/>
    <mergeCell ref="E22:G22"/>
    <mergeCell ref="E23:G23"/>
    <mergeCell ref="E25:E28"/>
    <mergeCell ref="E29:E32"/>
    <mergeCell ref="E33:E36"/>
    <mergeCell ref="E37:E40"/>
    <mergeCell ref="E41:E44"/>
    <mergeCell ref="E45:E48"/>
    <mergeCell ref="E49:E52"/>
    <mergeCell ref="E53:E56"/>
    <mergeCell ref="F25:F28"/>
    <mergeCell ref="F29:F32"/>
    <mergeCell ref="F33:F36"/>
    <mergeCell ref="F37:F40"/>
    <mergeCell ref="F41:F44"/>
    <mergeCell ref="F45:F48"/>
    <mergeCell ref="F49:F52"/>
    <mergeCell ref="F53:F56"/>
    <mergeCell ref="E12:J13"/>
    <mergeCell ref="G25:J28"/>
    <mergeCell ref="G29:J32"/>
    <mergeCell ref="G33:J36"/>
    <mergeCell ref="G37:J40"/>
    <mergeCell ref="G41:J44"/>
    <mergeCell ref="G45:J48"/>
    <mergeCell ref="G49:J52"/>
    <mergeCell ref="G53:J56"/>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Testcase Execution</vt:lpstr>
      <vt:lpstr>Testcase</vt:lpstr>
      <vt:lpstr>Bug Report</vt:lpstr>
      <vt:lpstr>Test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Fahmidul Hasan Famim</dc:creator>
  <cp:lastModifiedBy>Fattahul Hasan Fahim</cp:lastModifiedBy>
  <dcterms:created xsi:type="dcterms:W3CDTF">2025-10-22T15:08:00Z</dcterms:created>
  <dcterms:modified xsi:type="dcterms:W3CDTF">2026-01-04T17:28:09Z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25884A446AF0477A968D840EE5A62CBF_13</vt:lpwstr>
  </property>
  <property fmtid="{D5CDD505-2E9C-101B-9397-08002B2CF9AE}" pid="3" name="KSOProductBuildVer">
    <vt:lpwstr>1033-12.2.0.23196</vt:lpwstr>
  </property>
</Properties>
</file>